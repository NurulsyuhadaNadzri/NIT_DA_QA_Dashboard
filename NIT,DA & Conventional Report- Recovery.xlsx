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pbgroup-my.sharepoint.com/personal/syuhada_nadzi_ffmb_com_my/Documents/Technical Flour QA/NIT_DA_Conventional_QA_Dashboard/"/>
    </mc:Choice>
  </mc:AlternateContent>
  <xr:revisionPtr revIDLastSave="87" documentId="8_{5A464EFB-8766-4C1C-A061-3BA7A83BE1C5}" xr6:coauthVersionLast="47" xr6:coauthVersionMax="47" xr10:uidLastSave="{FA49934B-9769-4758-837E-30505F54E161}"/>
  <bookViews>
    <workbookView xWindow="28680" yWindow="-120" windowWidth="29040" windowHeight="15720" activeTab="2" xr2:uid="{D64D1968-5A97-4A43-8DA2-AAD7AB432926}"/>
  </bookViews>
  <sheets>
    <sheet name="Background" sheetId="4" r:id="rId1"/>
    <sheet name="Moisture Weekly Trend" sheetId="5" r:id="rId2"/>
    <sheet name="Moisture " sheetId="1" r:id="rId3"/>
    <sheet name="Protein" sheetId="2" r:id="rId4"/>
    <sheet name="Ash" sheetId="3" r:id="rId5"/>
  </sheets>
  <definedNames>
    <definedName name="____xlnm.Print_Area_1">"#REF!"</definedName>
    <definedName name="____xlnm.Print_Area_2">"#REF!"</definedName>
    <definedName name="____xlnm.Print_Area_3">"#REF!"</definedName>
    <definedName name="____xlnm.Print_Titles_3">"#REF!"</definedName>
    <definedName name="___xlnm.Print_Area_1">"#REF!"</definedName>
    <definedName name="___xlnm.Print_Area_2">"#REF!"</definedName>
    <definedName name="___xlnm.Print_Area_3">"#REF!"</definedName>
    <definedName name="___xlnm.Print_Titles_3">"#REF!"</definedName>
    <definedName name="__xlnm.Print_Area_1">"#REF!"</definedName>
    <definedName name="__xlnm.Print_Area_2">"#REF!"</definedName>
    <definedName name="__xlnm.Print_Area_3">"#REF!"</definedName>
    <definedName name="__xlnm.Print_Titles_3">"#REF!"</definedName>
    <definedName name="_xlnm._FilterDatabase" localSheetId="4" hidden="1">Ash!$A$1:$K$625</definedName>
    <definedName name="_xlnm._FilterDatabase" localSheetId="2" hidden="1">'Moisture '!$A$1:$L$1</definedName>
    <definedName name="_xlnm._FilterDatabase" localSheetId="3" hidden="1">Protein!$A$1:$L$1</definedName>
    <definedName name="_xlnm.Print_Area" localSheetId="2">'Moisture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9" i="1" l="1"/>
  <c r="H12" i="5"/>
  <c r="H11" i="5"/>
  <c r="H10" i="5"/>
  <c r="H9" i="5"/>
  <c r="H8" i="5"/>
  <c r="H7" i="5"/>
  <c r="H6" i="5"/>
  <c r="G12" i="5"/>
  <c r="G11" i="5"/>
  <c r="G10" i="5"/>
  <c r="G9" i="5"/>
  <c r="G8" i="5"/>
  <c r="G7" i="5"/>
  <c r="G6" i="5"/>
  <c r="F12" i="5"/>
  <c r="F11" i="5"/>
  <c r="F10" i="5"/>
  <c r="F9" i="5"/>
  <c r="F8" i="5"/>
  <c r="F7" i="5"/>
  <c r="F6" i="5"/>
  <c r="E12" i="5"/>
  <c r="E11" i="5"/>
  <c r="E10" i="5"/>
  <c r="E9" i="5"/>
  <c r="E8" i="5"/>
  <c r="E7" i="5"/>
  <c r="E6" i="5"/>
  <c r="D12" i="5"/>
  <c r="D11" i="5"/>
  <c r="D10" i="5"/>
  <c r="D9" i="5"/>
  <c r="D8" i="5"/>
  <c r="D7" i="5"/>
  <c r="D6" i="5"/>
  <c r="C12" i="5"/>
  <c r="C11" i="5"/>
  <c r="C10" i="5"/>
  <c r="C9" i="5"/>
  <c r="C8" i="5"/>
  <c r="C7" i="5"/>
  <c r="C6" i="5"/>
  <c r="B12" i="5"/>
  <c r="B11" i="5"/>
  <c r="B10" i="5"/>
  <c r="B9" i="5"/>
  <c r="B8" i="5"/>
  <c r="B7" i="5"/>
  <c r="B6" i="5"/>
  <c r="C57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2" i="1"/>
  <c r="C596" i="1"/>
  <c r="C584" i="1"/>
  <c r="C560" i="1"/>
  <c r="C556" i="1"/>
  <c r="C553" i="1"/>
  <c r="C544" i="1"/>
  <c r="C536" i="1"/>
  <c r="C524" i="1"/>
  <c r="C505" i="1"/>
  <c r="C476" i="1"/>
  <c r="C452" i="1"/>
  <c r="C445" i="1"/>
  <c r="C433" i="1"/>
  <c r="C417" i="1"/>
  <c r="C412" i="1"/>
  <c r="C400" i="1"/>
  <c r="C392" i="1"/>
  <c r="C376" i="1"/>
  <c r="C368" i="1"/>
  <c r="C357" i="1"/>
  <c r="C352" i="1"/>
  <c r="C340" i="1"/>
  <c r="C337" i="1"/>
  <c r="C328" i="1"/>
  <c r="C322" i="1"/>
  <c r="C321" i="1"/>
  <c r="C316" i="1"/>
  <c r="C308" i="1"/>
  <c r="C296" i="1"/>
  <c r="C272" i="1"/>
  <c r="C265" i="1"/>
  <c r="C261" i="1"/>
  <c r="C253" i="1"/>
  <c r="C248" i="1"/>
  <c r="C241" i="1"/>
  <c r="C226" i="1"/>
  <c r="C225" i="1"/>
  <c r="C212" i="1"/>
  <c r="C208" i="1"/>
  <c r="C200" i="1"/>
  <c r="C196" i="1"/>
  <c r="C184" i="1"/>
  <c r="C176" i="1"/>
  <c r="C172" i="1"/>
  <c r="C157" i="1"/>
  <c r="C154" i="1"/>
  <c r="C140" i="1"/>
  <c r="C124" i="1"/>
  <c r="C112" i="1"/>
  <c r="C109" i="1"/>
  <c r="C106" i="1"/>
  <c r="C104" i="1"/>
  <c r="C82" i="1"/>
  <c r="C73" i="1"/>
  <c r="C68" i="1"/>
  <c r="C64" i="1"/>
  <c r="C58" i="1"/>
  <c r="C56" i="1"/>
  <c r="C52" i="1"/>
  <c r="C40" i="1"/>
  <c r="C34" i="1"/>
  <c r="C32" i="1"/>
  <c r="C28" i="1"/>
  <c r="C16" i="1"/>
  <c r="C13" i="1"/>
  <c r="C12" i="1"/>
  <c r="C21" i="1"/>
  <c r="C33" i="1"/>
  <c r="C72" i="1"/>
  <c r="C93" i="1"/>
  <c r="C96" i="1"/>
  <c r="C105" i="1"/>
  <c r="C108" i="1"/>
  <c r="C120" i="1"/>
  <c r="C141" i="1"/>
  <c r="C156" i="1"/>
  <c r="C177" i="1"/>
  <c r="C181" i="1"/>
  <c r="C189" i="1"/>
  <c r="C240" i="1"/>
  <c r="C264" i="1"/>
  <c r="C276" i="1"/>
  <c r="C285" i="1"/>
  <c r="C301" i="1"/>
  <c r="C324" i="1"/>
  <c r="C325" i="1"/>
  <c r="C336" i="1"/>
  <c r="C345" i="1"/>
  <c r="C360" i="1"/>
  <c r="C361" i="1"/>
  <c r="C372" i="1"/>
  <c r="C373" i="1"/>
  <c r="C432" i="1"/>
  <c r="C444" i="1"/>
  <c r="C489" i="1"/>
  <c r="C504" i="1"/>
  <c r="C516" i="1"/>
  <c r="C517" i="1"/>
  <c r="C588" i="1"/>
  <c r="C589" i="1"/>
  <c r="C609" i="1"/>
  <c r="C557" i="1"/>
  <c r="C545" i="1"/>
  <c r="C533" i="1"/>
  <c r="C413" i="1"/>
  <c r="C401" i="1"/>
  <c r="C389" i="1"/>
  <c r="C377" i="1"/>
  <c r="C366" i="1"/>
  <c r="C365" i="1"/>
  <c r="C359" i="1"/>
  <c r="C354" i="1"/>
  <c r="C353" i="1"/>
  <c r="C346" i="1"/>
  <c r="C342" i="1"/>
  <c r="C341" i="1"/>
  <c r="C330" i="1"/>
  <c r="C329" i="1"/>
  <c r="C318" i="1"/>
  <c r="C317" i="1"/>
  <c r="C305" i="1"/>
  <c r="C293" i="1"/>
  <c r="C287" i="1"/>
  <c r="C281" i="1"/>
  <c r="C274" i="1"/>
  <c r="C270" i="1"/>
  <c r="C269" i="1"/>
  <c r="C257" i="1"/>
  <c r="C245" i="1"/>
  <c r="C233" i="1"/>
  <c r="C222" i="1"/>
  <c r="C221" i="1"/>
  <c r="C215" i="1"/>
  <c r="C210" i="1"/>
  <c r="C209" i="1"/>
  <c r="C198" i="1"/>
  <c r="C197" i="1"/>
  <c r="C186" i="1"/>
  <c r="C185" i="1"/>
  <c r="C174" i="1"/>
  <c r="C173" i="1"/>
  <c r="C161" i="1"/>
  <c r="C149" i="1"/>
  <c r="C143" i="1"/>
  <c r="C137" i="1"/>
  <c r="C130" i="1"/>
  <c r="C126" i="1"/>
  <c r="C125" i="1"/>
  <c r="C113" i="1"/>
  <c r="C101" i="1"/>
  <c r="C89" i="1"/>
  <c r="C78" i="1"/>
  <c r="C77" i="1"/>
  <c r="C71" i="1"/>
  <c r="C65" i="1"/>
  <c r="C54" i="1"/>
  <c r="C53" i="1"/>
  <c r="C42" i="1"/>
  <c r="C41" i="1"/>
  <c r="C30" i="1"/>
  <c r="C29" i="1"/>
  <c r="C17" i="1"/>
  <c r="C5" i="1"/>
  <c r="C3" i="1"/>
  <c r="C7" i="1"/>
  <c r="C11" i="1"/>
  <c r="C15" i="1"/>
  <c r="C23" i="1"/>
  <c r="C24" i="1"/>
  <c r="C26" i="1"/>
  <c r="C27" i="1"/>
  <c r="C35" i="1"/>
  <c r="C39" i="1"/>
  <c r="C44" i="1"/>
  <c r="C46" i="1"/>
  <c r="C47" i="1"/>
  <c r="C48" i="1"/>
  <c r="C49" i="1"/>
  <c r="C50" i="1"/>
  <c r="C51" i="1"/>
  <c r="C59" i="1"/>
  <c r="C62" i="1"/>
  <c r="C63" i="1"/>
  <c r="C70" i="1"/>
  <c r="C74" i="1"/>
  <c r="C75" i="1"/>
  <c r="C80" i="1"/>
  <c r="C83" i="1"/>
  <c r="C86" i="1"/>
  <c r="C87" i="1"/>
  <c r="C90" i="1"/>
  <c r="C94" i="1"/>
  <c r="C95" i="1"/>
  <c r="C98" i="1"/>
  <c r="C99" i="1"/>
  <c r="C102" i="1"/>
  <c r="C103" i="1"/>
  <c r="C107" i="1"/>
  <c r="C111" i="1"/>
  <c r="C114" i="1"/>
  <c r="C115" i="1"/>
  <c r="C118" i="1"/>
  <c r="C122" i="1"/>
  <c r="C123" i="1"/>
  <c r="C127" i="1"/>
  <c r="C128" i="1"/>
  <c r="C131" i="1"/>
  <c r="C134" i="1"/>
  <c r="C135" i="1"/>
  <c r="C138" i="1"/>
  <c r="C139" i="1"/>
  <c r="C142" i="1"/>
  <c r="C146" i="1"/>
  <c r="C147" i="1"/>
  <c r="C151" i="1"/>
  <c r="C153" i="1"/>
  <c r="C155" i="1"/>
  <c r="C158" i="1"/>
  <c r="C159" i="1"/>
  <c r="C165" i="1"/>
  <c r="C166" i="1"/>
  <c r="C167" i="1"/>
  <c r="C168" i="1"/>
  <c r="C169" i="1"/>
  <c r="C170" i="1"/>
  <c r="C171" i="1"/>
  <c r="C175" i="1"/>
  <c r="C178" i="1"/>
  <c r="C179" i="1"/>
  <c r="C180" i="1"/>
  <c r="C182" i="1"/>
  <c r="C183" i="1"/>
  <c r="C188" i="1"/>
  <c r="C190" i="1"/>
  <c r="C191" i="1"/>
  <c r="C194" i="1"/>
  <c r="C195" i="1"/>
  <c r="C199" i="1"/>
  <c r="C203" i="1"/>
  <c r="C204" i="1"/>
  <c r="C206" i="1"/>
  <c r="C207" i="1"/>
  <c r="C214" i="1"/>
  <c r="C218" i="1"/>
  <c r="C219" i="1"/>
  <c r="C223" i="1"/>
  <c r="C227" i="1"/>
  <c r="C230" i="1"/>
  <c r="C231" i="1"/>
  <c r="C234" i="1"/>
  <c r="C238" i="1"/>
  <c r="C239" i="1"/>
  <c r="C242" i="1"/>
  <c r="C243" i="1"/>
  <c r="C246" i="1"/>
  <c r="C247" i="1"/>
  <c r="C250" i="1"/>
  <c r="C251" i="1"/>
  <c r="C252" i="1"/>
  <c r="C254" i="1"/>
  <c r="C255" i="1"/>
  <c r="C258" i="1"/>
  <c r="C259" i="1"/>
  <c r="C262" i="1"/>
  <c r="C263" i="1"/>
  <c r="C266" i="1"/>
  <c r="C267" i="1"/>
  <c r="C271" i="1"/>
  <c r="C275" i="1"/>
  <c r="C278" i="1"/>
  <c r="C279" i="1"/>
  <c r="C282" i="1"/>
  <c r="C283" i="1"/>
  <c r="C286" i="1"/>
  <c r="C290" i="1"/>
  <c r="C291" i="1"/>
  <c r="C295" i="1"/>
  <c r="C298" i="1"/>
  <c r="C299" i="1"/>
  <c r="C300" i="1"/>
  <c r="C302" i="1"/>
  <c r="C303" i="1"/>
  <c r="C310" i="1"/>
  <c r="C311" i="1"/>
  <c r="C312" i="1"/>
  <c r="C314" i="1"/>
  <c r="C315" i="1"/>
  <c r="C319" i="1"/>
  <c r="C323" i="1"/>
  <c r="C326" i="1"/>
  <c r="C327" i="1"/>
  <c r="C334" i="1"/>
  <c r="C335" i="1"/>
  <c r="C338" i="1"/>
  <c r="C339" i="1"/>
  <c r="C343" i="1"/>
  <c r="C347" i="1"/>
  <c r="C350" i="1"/>
  <c r="C351" i="1"/>
  <c r="C358" i="1"/>
  <c r="C362" i="1"/>
  <c r="C363" i="1"/>
  <c r="C367" i="1"/>
  <c r="C370" i="1"/>
  <c r="C371" i="1"/>
  <c r="C374" i="1"/>
  <c r="C375" i="1"/>
  <c r="C378" i="1"/>
  <c r="C381" i="1"/>
  <c r="C382" i="1"/>
  <c r="C383" i="1"/>
  <c r="C384" i="1"/>
  <c r="C385" i="1"/>
  <c r="C386" i="1"/>
  <c r="C387" i="1"/>
  <c r="C390" i="1"/>
  <c r="C391" i="1"/>
  <c r="C394" i="1"/>
  <c r="C395" i="1"/>
  <c r="C398" i="1"/>
  <c r="C399" i="1"/>
  <c r="C402" i="1"/>
  <c r="C403" i="1"/>
  <c r="C404" i="1"/>
  <c r="C406" i="1"/>
  <c r="C407" i="1"/>
  <c r="C410" i="1"/>
  <c r="C411" i="1"/>
  <c r="C414" i="1"/>
  <c r="C415" i="1"/>
  <c r="C418" i="1"/>
  <c r="C419" i="1"/>
  <c r="C422" i="1"/>
  <c r="C423" i="1"/>
  <c r="C426" i="1"/>
  <c r="C427" i="1"/>
  <c r="C429" i="1"/>
  <c r="C430" i="1"/>
  <c r="C431" i="1"/>
  <c r="C434" i="1"/>
  <c r="C435" i="1"/>
  <c r="C438" i="1"/>
  <c r="C439" i="1"/>
  <c r="C442" i="1"/>
  <c r="C443" i="1"/>
  <c r="C446" i="1"/>
  <c r="C447" i="1"/>
  <c r="C450" i="1"/>
  <c r="C451" i="1"/>
  <c r="C453" i="1"/>
  <c r="C454" i="1"/>
  <c r="C455" i="1"/>
  <c r="C456" i="1"/>
  <c r="C457" i="1"/>
  <c r="C458" i="1"/>
  <c r="C459" i="1"/>
  <c r="C462" i="1"/>
  <c r="C463" i="1"/>
  <c r="C466" i="1"/>
  <c r="C467" i="1"/>
  <c r="C470" i="1"/>
  <c r="C471" i="1"/>
  <c r="C474" i="1"/>
  <c r="C475" i="1"/>
  <c r="C478" i="1"/>
  <c r="C479" i="1"/>
  <c r="C482" i="1"/>
  <c r="C483" i="1"/>
  <c r="C486" i="1"/>
  <c r="C487" i="1"/>
  <c r="C490" i="1"/>
  <c r="C491" i="1"/>
  <c r="C494" i="1"/>
  <c r="C495" i="1"/>
  <c r="C498" i="1"/>
  <c r="C499" i="1"/>
  <c r="C500" i="1"/>
  <c r="C501" i="1"/>
  <c r="C502" i="1"/>
  <c r="C503" i="1"/>
  <c r="C506" i="1"/>
  <c r="C507" i="1"/>
  <c r="C510" i="1"/>
  <c r="C511" i="1"/>
  <c r="C512" i="1"/>
  <c r="C514" i="1"/>
  <c r="C515" i="1"/>
  <c r="C518" i="1"/>
  <c r="C519" i="1"/>
  <c r="C522" i="1"/>
  <c r="C523" i="1"/>
  <c r="C525" i="1"/>
  <c r="C526" i="1"/>
  <c r="C527" i="1"/>
  <c r="C528" i="1"/>
  <c r="C529" i="1"/>
  <c r="C530" i="1"/>
  <c r="C531" i="1"/>
  <c r="C534" i="1"/>
  <c r="C535" i="1"/>
  <c r="C538" i="1"/>
  <c r="C539" i="1"/>
  <c r="C542" i="1"/>
  <c r="C543" i="1"/>
  <c r="C546" i="1"/>
  <c r="C547" i="1"/>
  <c r="C548" i="1"/>
  <c r="C550" i="1"/>
  <c r="C551" i="1"/>
  <c r="C554" i="1"/>
  <c r="C555" i="1"/>
  <c r="C558" i="1"/>
  <c r="C559" i="1"/>
  <c r="C562" i="1"/>
  <c r="C563" i="1"/>
  <c r="C566" i="1"/>
  <c r="C567" i="1"/>
  <c r="C570" i="1"/>
  <c r="C571" i="1"/>
  <c r="C573" i="1"/>
  <c r="C574" i="1"/>
  <c r="C575" i="1"/>
  <c r="C578" i="1"/>
  <c r="C579" i="1"/>
  <c r="C582" i="1"/>
  <c r="C583" i="1"/>
  <c r="C586" i="1"/>
  <c r="C587" i="1"/>
  <c r="C590" i="1"/>
  <c r="C591" i="1"/>
  <c r="C594" i="1"/>
  <c r="C595" i="1"/>
  <c r="C597" i="1"/>
  <c r="C598" i="1"/>
  <c r="C599" i="1"/>
  <c r="C600" i="1"/>
  <c r="C601" i="1"/>
  <c r="C602" i="1"/>
  <c r="C603" i="1"/>
  <c r="C606" i="1"/>
  <c r="C607" i="1"/>
  <c r="C610" i="1"/>
  <c r="C611" i="1"/>
  <c r="C614" i="1"/>
  <c r="C615" i="1"/>
  <c r="J272" i="3"/>
  <c r="M272" i="3" s="1"/>
  <c r="K3" i="3"/>
  <c r="N3" i="3" s="1"/>
  <c r="K4" i="3"/>
  <c r="N4" i="3" s="1"/>
  <c r="K5" i="3"/>
  <c r="N5" i="3" s="1"/>
  <c r="K6" i="3"/>
  <c r="N6" i="3" s="1"/>
  <c r="K7" i="3"/>
  <c r="N7" i="3" s="1"/>
  <c r="K8" i="3"/>
  <c r="N8" i="3" s="1"/>
  <c r="K9" i="3"/>
  <c r="N9" i="3" s="1"/>
  <c r="K10" i="3"/>
  <c r="N10" i="3" s="1"/>
  <c r="K11" i="3"/>
  <c r="N11" i="3" s="1"/>
  <c r="K12" i="3"/>
  <c r="N12" i="3" s="1"/>
  <c r="K13" i="3"/>
  <c r="N13" i="3" s="1"/>
  <c r="K14" i="3"/>
  <c r="N14" i="3" s="1"/>
  <c r="K15" i="3"/>
  <c r="N15" i="3" s="1"/>
  <c r="K16" i="3"/>
  <c r="N16" i="3" s="1"/>
  <c r="K17" i="3"/>
  <c r="N17" i="3" s="1"/>
  <c r="K18" i="3"/>
  <c r="N18" i="3" s="1"/>
  <c r="K19" i="3"/>
  <c r="N19" i="3" s="1"/>
  <c r="K20" i="3"/>
  <c r="N20" i="3" s="1"/>
  <c r="K21" i="3"/>
  <c r="N21" i="3" s="1"/>
  <c r="K22" i="3"/>
  <c r="N22" i="3" s="1"/>
  <c r="K23" i="3"/>
  <c r="N23" i="3" s="1"/>
  <c r="K24" i="3"/>
  <c r="N24" i="3" s="1"/>
  <c r="K25" i="3"/>
  <c r="N25" i="3" s="1"/>
  <c r="K26" i="3"/>
  <c r="N26" i="3" s="1"/>
  <c r="K27" i="3"/>
  <c r="N27" i="3" s="1"/>
  <c r="K28" i="3"/>
  <c r="N28" i="3" s="1"/>
  <c r="K29" i="3"/>
  <c r="N29" i="3" s="1"/>
  <c r="K30" i="3"/>
  <c r="N30" i="3" s="1"/>
  <c r="K31" i="3"/>
  <c r="N31" i="3" s="1"/>
  <c r="K32" i="3"/>
  <c r="N32" i="3" s="1"/>
  <c r="K33" i="3"/>
  <c r="N33" i="3" s="1"/>
  <c r="K34" i="3"/>
  <c r="N34" i="3" s="1"/>
  <c r="K35" i="3"/>
  <c r="N35" i="3" s="1"/>
  <c r="K36" i="3"/>
  <c r="N36" i="3" s="1"/>
  <c r="K37" i="3"/>
  <c r="N37" i="3" s="1"/>
  <c r="K38" i="3"/>
  <c r="N38" i="3" s="1"/>
  <c r="K39" i="3"/>
  <c r="N39" i="3" s="1"/>
  <c r="K40" i="3"/>
  <c r="N40" i="3" s="1"/>
  <c r="K41" i="3"/>
  <c r="N41" i="3" s="1"/>
  <c r="K42" i="3"/>
  <c r="N42" i="3" s="1"/>
  <c r="K43" i="3"/>
  <c r="N43" i="3" s="1"/>
  <c r="K44" i="3"/>
  <c r="N44" i="3" s="1"/>
  <c r="K45" i="3"/>
  <c r="N45" i="3" s="1"/>
  <c r="K46" i="3"/>
  <c r="N46" i="3" s="1"/>
  <c r="K47" i="3"/>
  <c r="N47" i="3" s="1"/>
  <c r="K48" i="3"/>
  <c r="N48" i="3" s="1"/>
  <c r="K49" i="3"/>
  <c r="N49" i="3" s="1"/>
  <c r="K50" i="3"/>
  <c r="N50" i="3" s="1"/>
  <c r="K51" i="3"/>
  <c r="N51" i="3" s="1"/>
  <c r="K52" i="3"/>
  <c r="N52" i="3" s="1"/>
  <c r="K53" i="3"/>
  <c r="N53" i="3" s="1"/>
  <c r="K54" i="3"/>
  <c r="N54" i="3" s="1"/>
  <c r="K55" i="3"/>
  <c r="N55" i="3" s="1"/>
  <c r="K56" i="3"/>
  <c r="N56" i="3" s="1"/>
  <c r="K57" i="3"/>
  <c r="N57" i="3" s="1"/>
  <c r="K58" i="3"/>
  <c r="N58" i="3" s="1"/>
  <c r="K59" i="3"/>
  <c r="N59" i="3" s="1"/>
  <c r="K60" i="3"/>
  <c r="N60" i="3" s="1"/>
  <c r="K61" i="3"/>
  <c r="N61" i="3" s="1"/>
  <c r="K62" i="3"/>
  <c r="N62" i="3" s="1"/>
  <c r="K63" i="3"/>
  <c r="N63" i="3" s="1"/>
  <c r="K64" i="3"/>
  <c r="N64" i="3" s="1"/>
  <c r="K65" i="3"/>
  <c r="N65" i="3" s="1"/>
  <c r="K66" i="3"/>
  <c r="N66" i="3" s="1"/>
  <c r="K67" i="3"/>
  <c r="N67" i="3" s="1"/>
  <c r="K68" i="3"/>
  <c r="N68" i="3" s="1"/>
  <c r="K69" i="3"/>
  <c r="N69" i="3" s="1"/>
  <c r="K70" i="3"/>
  <c r="N70" i="3" s="1"/>
  <c r="K71" i="3"/>
  <c r="N71" i="3" s="1"/>
  <c r="K72" i="3"/>
  <c r="N72" i="3" s="1"/>
  <c r="K73" i="3"/>
  <c r="N73" i="3" s="1"/>
  <c r="K74" i="3"/>
  <c r="N74" i="3" s="1"/>
  <c r="K75" i="3"/>
  <c r="N75" i="3" s="1"/>
  <c r="K76" i="3"/>
  <c r="N76" i="3" s="1"/>
  <c r="K77" i="3"/>
  <c r="N77" i="3" s="1"/>
  <c r="K78" i="3"/>
  <c r="N78" i="3" s="1"/>
  <c r="K79" i="3"/>
  <c r="N79" i="3" s="1"/>
  <c r="K80" i="3"/>
  <c r="N80" i="3" s="1"/>
  <c r="K81" i="3"/>
  <c r="N81" i="3" s="1"/>
  <c r="K82" i="3"/>
  <c r="N82" i="3" s="1"/>
  <c r="K83" i="3"/>
  <c r="N83" i="3" s="1"/>
  <c r="K84" i="3"/>
  <c r="N84" i="3" s="1"/>
  <c r="K85" i="3"/>
  <c r="N85" i="3" s="1"/>
  <c r="K86" i="3"/>
  <c r="N86" i="3" s="1"/>
  <c r="K87" i="3"/>
  <c r="N87" i="3" s="1"/>
  <c r="K88" i="3"/>
  <c r="N88" i="3" s="1"/>
  <c r="K89" i="3"/>
  <c r="N89" i="3" s="1"/>
  <c r="K90" i="3"/>
  <c r="N90" i="3" s="1"/>
  <c r="K91" i="3"/>
  <c r="N91" i="3" s="1"/>
  <c r="K92" i="3"/>
  <c r="N92" i="3" s="1"/>
  <c r="K93" i="3"/>
  <c r="N93" i="3" s="1"/>
  <c r="K94" i="3"/>
  <c r="N94" i="3" s="1"/>
  <c r="K95" i="3"/>
  <c r="N95" i="3" s="1"/>
  <c r="K96" i="3"/>
  <c r="N96" i="3" s="1"/>
  <c r="K97" i="3"/>
  <c r="N97" i="3" s="1"/>
  <c r="K98" i="3"/>
  <c r="N98" i="3" s="1"/>
  <c r="K99" i="3"/>
  <c r="N99" i="3" s="1"/>
  <c r="K100" i="3"/>
  <c r="N100" i="3" s="1"/>
  <c r="K101" i="3"/>
  <c r="N101" i="3" s="1"/>
  <c r="K102" i="3"/>
  <c r="N102" i="3" s="1"/>
  <c r="K103" i="3"/>
  <c r="N103" i="3" s="1"/>
  <c r="K104" i="3"/>
  <c r="N104" i="3" s="1"/>
  <c r="K105" i="3"/>
  <c r="N105" i="3" s="1"/>
  <c r="K106" i="3"/>
  <c r="N106" i="3" s="1"/>
  <c r="K107" i="3"/>
  <c r="N107" i="3" s="1"/>
  <c r="K108" i="3"/>
  <c r="N108" i="3" s="1"/>
  <c r="K109" i="3"/>
  <c r="N109" i="3" s="1"/>
  <c r="K110" i="3"/>
  <c r="N110" i="3" s="1"/>
  <c r="K111" i="3"/>
  <c r="N111" i="3" s="1"/>
  <c r="K112" i="3"/>
  <c r="N112" i="3" s="1"/>
  <c r="K113" i="3"/>
  <c r="N113" i="3" s="1"/>
  <c r="K114" i="3"/>
  <c r="N114" i="3" s="1"/>
  <c r="K115" i="3"/>
  <c r="N115" i="3" s="1"/>
  <c r="K116" i="3"/>
  <c r="N116" i="3" s="1"/>
  <c r="K117" i="3"/>
  <c r="N117" i="3" s="1"/>
  <c r="K118" i="3"/>
  <c r="N118" i="3" s="1"/>
  <c r="K119" i="3"/>
  <c r="N119" i="3" s="1"/>
  <c r="K120" i="3"/>
  <c r="N120" i="3" s="1"/>
  <c r="K121" i="3"/>
  <c r="N121" i="3" s="1"/>
  <c r="K122" i="3"/>
  <c r="N122" i="3" s="1"/>
  <c r="K123" i="3"/>
  <c r="N123" i="3" s="1"/>
  <c r="K124" i="3"/>
  <c r="N124" i="3" s="1"/>
  <c r="K125" i="3"/>
  <c r="N125" i="3" s="1"/>
  <c r="K126" i="3"/>
  <c r="N126" i="3" s="1"/>
  <c r="K127" i="3"/>
  <c r="N127" i="3" s="1"/>
  <c r="K128" i="3"/>
  <c r="N128" i="3" s="1"/>
  <c r="K129" i="3"/>
  <c r="N129" i="3" s="1"/>
  <c r="K130" i="3"/>
  <c r="N130" i="3" s="1"/>
  <c r="K131" i="3"/>
  <c r="N131" i="3" s="1"/>
  <c r="K132" i="3"/>
  <c r="N132" i="3" s="1"/>
  <c r="K133" i="3"/>
  <c r="N133" i="3" s="1"/>
  <c r="K134" i="3"/>
  <c r="N134" i="3" s="1"/>
  <c r="K135" i="3"/>
  <c r="N135" i="3" s="1"/>
  <c r="K136" i="3"/>
  <c r="N136" i="3" s="1"/>
  <c r="K137" i="3"/>
  <c r="N137" i="3" s="1"/>
  <c r="K138" i="3"/>
  <c r="N138" i="3" s="1"/>
  <c r="K139" i="3"/>
  <c r="N139" i="3" s="1"/>
  <c r="K140" i="3"/>
  <c r="N140" i="3" s="1"/>
  <c r="K141" i="3"/>
  <c r="N141" i="3" s="1"/>
  <c r="K142" i="3"/>
  <c r="N142" i="3" s="1"/>
  <c r="K143" i="3"/>
  <c r="N143" i="3" s="1"/>
  <c r="K144" i="3"/>
  <c r="N144" i="3" s="1"/>
  <c r="K145" i="3"/>
  <c r="N145" i="3" s="1"/>
  <c r="K146" i="3"/>
  <c r="N146" i="3" s="1"/>
  <c r="K147" i="3"/>
  <c r="N147" i="3" s="1"/>
  <c r="K148" i="3"/>
  <c r="N148" i="3" s="1"/>
  <c r="K149" i="3"/>
  <c r="N149" i="3" s="1"/>
  <c r="K150" i="3"/>
  <c r="N150" i="3" s="1"/>
  <c r="K151" i="3"/>
  <c r="N151" i="3" s="1"/>
  <c r="K152" i="3"/>
  <c r="N152" i="3" s="1"/>
  <c r="K153" i="3"/>
  <c r="N153" i="3" s="1"/>
  <c r="K154" i="3"/>
  <c r="N154" i="3" s="1"/>
  <c r="K155" i="3"/>
  <c r="N155" i="3" s="1"/>
  <c r="K156" i="3"/>
  <c r="N156" i="3" s="1"/>
  <c r="K157" i="3"/>
  <c r="N157" i="3" s="1"/>
  <c r="K158" i="3"/>
  <c r="N158" i="3" s="1"/>
  <c r="K159" i="3"/>
  <c r="N159" i="3" s="1"/>
  <c r="K160" i="3"/>
  <c r="N160" i="3" s="1"/>
  <c r="K161" i="3"/>
  <c r="N161" i="3" s="1"/>
  <c r="K162" i="3"/>
  <c r="N162" i="3" s="1"/>
  <c r="K163" i="3"/>
  <c r="N163" i="3" s="1"/>
  <c r="K164" i="3"/>
  <c r="N164" i="3" s="1"/>
  <c r="K165" i="3"/>
  <c r="N165" i="3" s="1"/>
  <c r="K166" i="3"/>
  <c r="N166" i="3" s="1"/>
  <c r="K167" i="3"/>
  <c r="N167" i="3" s="1"/>
  <c r="K168" i="3"/>
  <c r="N168" i="3" s="1"/>
  <c r="K169" i="3"/>
  <c r="N169" i="3" s="1"/>
  <c r="K170" i="3"/>
  <c r="N170" i="3" s="1"/>
  <c r="K171" i="3"/>
  <c r="N171" i="3" s="1"/>
  <c r="K172" i="3"/>
  <c r="N172" i="3" s="1"/>
  <c r="K173" i="3"/>
  <c r="N173" i="3" s="1"/>
  <c r="K174" i="3"/>
  <c r="N174" i="3" s="1"/>
  <c r="K175" i="3"/>
  <c r="N175" i="3" s="1"/>
  <c r="K176" i="3"/>
  <c r="N176" i="3" s="1"/>
  <c r="K177" i="3"/>
  <c r="N177" i="3" s="1"/>
  <c r="K178" i="3"/>
  <c r="N178" i="3" s="1"/>
  <c r="K179" i="3"/>
  <c r="N179" i="3" s="1"/>
  <c r="K180" i="3"/>
  <c r="N180" i="3" s="1"/>
  <c r="K181" i="3"/>
  <c r="N181" i="3" s="1"/>
  <c r="K182" i="3"/>
  <c r="N182" i="3" s="1"/>
  <c r="K183" i="3"/>
  <c r="N183" i="3" s="1"/>
  <c r="K184" i="3"/>
  <c r="N184" i="3" s="1"/>
  <c r="K185" i="3"/>
  <c r="N185" i="3" s="1"/>
  <c r="K186" i="3"/>
  <c r="N186" i="3" s="1"/>
  <c r="K187" i="3"/>
  <c r="N187" i="3" s="1"/>
  <c r="K188" i="3"/>
  <c r="N188" i="3" s="1"/>
  <c r="K189" i="3"/>
  <c r="N189" i="3" s="1"/>
  <c r="K190" i="3"/>
  <c r="N190" i="3" s="1"/>
  <c r="K191" i="3"/>
  <c r="N191" i="3" s="1"/>
  <c r="K192" i="3"/>
  <c r="N192" i="3" s="1"/>
  <c r="K193" i="3"/>
  <c r="N193" i="3" s="1"/>
  <c r="K194" i="3"/>
  <c r="N194" i="3" s="1"/>
  <c r="K195" i="3"/>
  <c r="N195" i="3" s="1"/>
  <c r="K196" i="3"/>
  <c r="N196" i="3" s="1"/>
  <c r="K197" i="3"/>
  <c r="N197" i="3" s="1"/>
  <c r="K198" i="3"/>
  <c r="N198" i="3" s="1"/>
  <c r="K199" i="3"/>
  <c r="N199" i="3" s="1"/>
  <c r="K200" i="3"/>
  <c r="N200" i="3" s="1"/>
  <c r="K201" i="3"/>
  <c r="N201" i="3" s="1"/>
  <c r="K202" i="3"/>
  <c r="N202" i="3" s="1"/>
  <c r="K203" i="3"/>
  <c r="N203" i="3" s="1"/>
  <c r="K204" i="3"/>
  <c r="N204" i="3" s="1"/>
  <c r="K205" i="3"/>
  <c r="N205" i="3" s="1"/>
  <c r="K206" i="3"/>
  <c r="N206" i="3" s="1"/>
  <c r="K207" i="3"/>
  <c r="N207" i="3" s="1"/>
  <c r="K208" i="3"/>
  <c r="N208" i="3" s="1"/>
  <c r="K209" i="3"/>
  <c r="N209" i="3" s="1"/>
  <c r="K210" i="3"/>
  <c r="N210" i="3" s="1"/>
  <c r="K211" i="3"/>
  <c r="N211" i="3" s="1"/>
  <c r="K212" i="3"/>
  <c r="N212" i="3" s="1"/>
  <c r="K213" i="3"/>
  <c r="N213" i="3" s="1"/>
  <c r="K214" i="3"/>
  <c r="N214" i="3" s="1"/>
  <c r="K215" i="3"/>
  <c r="N215" i="3" s="1"/>
  <c r="K216" i="3"/>
  <c r="N216" i="3" s="1"/>
  <c r="K217" i="3"/>
  <c r="N217" i="3" s="1"/>
  <c r="K218" i="3"/>
  <c r="N218" i="3" s="1"/>
  <c r="K219" i="3"/>
  <c r="N219" i="3" s="1"/>
  <c r="K220" i="3"/>
  <c r="N220" i="3" s="1"/>
  <c r="K221" i="3"/>
  <c r="N221" i="3" s="1"/>
  <c r="K222" i="3"/>
  <c r="N222" i="3" s="1"/>
  <c r="K223" i="3"/>
  <c r="N223" i="3" s="1"/>
  <c r="K224" i="3"/>
  <c r="N224" i="3" s="1"/>
  <c r="K225" i="3"/>
  <c r="N225" i="3" s="1"/>
  <c r="K226" i="3"/>
  <c r="N226" i="3" s="1"/>
  <c r="K227" i="3"/>
  <c r="N227" i="3" s="1"/>
  <c r="K228" i="3"/>
  <c r="N228" i="3" s="1"/>
  <c r="K229" i="3"/>
  <c r="N229" i="3" s="1"/>
  <c r="K230" i="3"/>
  <c r="N230" i="3" s="1"/>
  <c r="K231" i="3"/>
  <c r="N231" i="3" s="1"/>
  <c r="K232" i="3"/>
  <c r="N232" i="3" s="1"/>
  <c r="K233" i="3"/>
  <c r="N233" i="3" s="1"/>
  <c r="K234" i="3"/>
  <c r="N234" i="3" s="1"/>
  <c r="K235" i="3"/>
  <c r="N235" i="3" s="1"/>
  <c r="K236" i="3"/>
  <c r="N236" i="3" s="1"/>
  <c r="K237" i="3"/>
  <c r="N237" i="3" s="1"/>
  <c r="K238" i="3"/>
  <c r="N238" i="3" s="1"/>
  <c r="K239" i="3"/>
  <c r="N239" i="3" s="1"/>
  <c r="K240" i="3"/>
  <c r="N240" i="3" s="1"/>
  <c r="K241" i="3"/>
  <c r="N241" i="3" s="1"/>
  <c r="K242" i="3"/>
  <c r="N242" i="3" s="1"/>
  <c r="K243" i="3"/>
  <c r="N243" i="3" s="1"/>
  <c r="K244" i="3"/>
  <c r="N244" i="3" s="1"/>
  <c r="K245" i="3"/>
  <c r="N245" i="3" s="1"/>
  <c r="K246" i="3"/>
  <c r="N246" i="3" s="1"/>
  <c r="K247" i="3"/>
  <c r="N247" i="3" s="1"/>
  <c r="K248" i="3"/>
  <c r="N248" i="3" s="1"/>
  <c r="K249" i="3"/>
  <c r="N249" i="3" s="1"/>
  <c r="K250" i="3"/>
  <c r="N250" i="3" s="1"/>
  <c r="K251" i="3"/>
  <c r="N251" i="3" s="1"/>
  <c r="K252" i="3"/>
  <c r="N252" i="3" s="1"/>
  <c r="K253" i="3"/>
  <c r="N253" i="3" s="1"/>
  <c r="K254" i="3"/>
  <c r="N254" i="3" s="1"/>
  <c r="K255" i="3"/>
  <c r="N255" i="3" s="1"/>
  <c r="K256" i="3"/>
  <c r="N256" i="3" s="1"/>
  <c r="K257" i="3"/>
  <c r="N257" i="3" s="1"/>
  <c r="K258" i="3"/>
  <c r="N258" i="3" s="1"/>
  <c r="K259" i="3"/>
  <c r="N259" i="3" s="1"/>
  <c r="K260" i="3"/>
  <c r="N260" i="3" s="1"/>
  <c r="K261" i="3"/>
  <c r="N261" i="3" s="1"/>
  <c r="K262" i="3"/>
  <c r="N262" i="3" s="1"/>
  <c r="K263" i="3"/>
  <c r="N263" i="3" s="1"/>
  <c r="K264" i="3"/>
  <c r="N264" i="3" s="1"/>
  <c r="K265" i="3"/>
  <c r="N265" i="3" s="1"/>
  <c r="K266" i="3"/>
  <c r="N266" i="3" s="1"/>
  <c r="K267" i="3"/>
  <c r="N267" i="3" s="1"/>
  <c r="K268" i="3"/>
  <c r="N268" i="3" s="1"/>
  <c r="K269" i="3"/>
  <c r="N269" i="3" s="1"/>
  <c r="K270" i="3"/>
  <c r="N270" i="3" s="1"/>
  <c r="K271" i="3"/>
  <c r="N271" i="3" s="1"/>
  <c r="K272" i="3"/>
  <c r="N272" i="3" s="1"/>
  <c r="K273" i="3"/>
  <c r="N273" i="3" s="1"/>
  <c r="K274" i="3"/>
  <c r="N274" i="3" s="1"/>
  <c r="K275" i="3"/>
  <c r="N275" i="3" s="1"/>
  <c r="K276" i="3"/>
  <c r="N276" i="3" s="1"/>
  <c r="K277" i="3"/>
  <c r="N277" i="3" s="1"/>
  <c r="K278" i="3"/>
  <c r="N278" i="3" s="1"/>
  <c r="K279" i="3"/>
  <c r="N279" i="3" s="1"/>
  <c r="K280" i="3"/>
  <c r="N280" i="3" s="1"/>
  <c r="K281" i="3"/>
  <c r="N281" i="3" s="1"/>
  <c r="K282" i="3"/>
  <c r="N282" i="3" s="1"/>
  <c r="K283" i="3"/>
  <c r="N283" i="3" s="1"/>
  <c r="K284" i="3"/>
  <c r="N284" i="3" s="1"/>
  <c r="K285" i="3"/>
  <c r="N285" i="3" s="1"/>
  <c r="K286" i="3"/>
  <c r="N286" i="3" s="1"/>
  <c r="K287" i="3"/>
  <c r="N287" i="3" s="1"/>
  <c r="K288" i="3"/>
  <c r="N288" i="3" s="1"/>
  <c r="K289" i="3"/>
  <c r="N289" i="3" s="1"/>
  <c r="K290" i="3"/>
  <c r="N290" i="3" s="1"/>
  <c r="K291" i="3"/>
  <c r="N291" i="3" s="1"/>
  <c r="K292" i="3"/>
  <c r="N292" i="3" s="1"/>
  <c r="K293" i="3"/>
  <c r="N293" i="3" s="1"/>
  <c r="K294" i="3"/>
  <c r="N294" i="3" s="1"/>
  <c r="K295" i="3"/>
  <c r="N295" i="3" s="1"/>
  <c r="K296" i="3"/>
  <c r="N296" i="3" s="1"/>
  <c r="K297" i="3"/>
  <c r="N297" i="3" s="1"/>
  <c r="K298" i="3"/>
  <c r="N298" i="3" s="1"/>
  <c r="K299" i="3"/>
  <c r="N299" i="3" s="1"/>
  <c r="K300" i="3"/>
  <c r="N300" i="3" s="1"/>
  <c r="K301" i="3"/>
  <c r="N301" i="3" s="1"/>
  <c r="K302" i="3"/>
  <c r="N302" i="3" s="1"/>
  <c r="K303" i="3"/>
  <c r="N303" i="3" s="1"/>
  <c r="K304" i="3"/>
  <c r="N304" i="3" s="1"/>
  <c r="K305" i="3"/>
  <c r="N305" i="3" s="1"/>
  <c r="K306" i="3"/>
  <c r="N306" i="3" s="1"/>
  <c r="K307" i="3"/>
  <c r="N307" i="3" s="1"/>
  <c r="K308" i="3"/>
  <c r="N308" i="3" s="1"/>
  <c r="K309" i="3"/>
  <c r="N309" i="3" s="1"/>
  <c r="K310" i="3"/>
  <c r="N310" i="3" s="1"/>
  <c r="K311" i="3"/>
  <c r="N311" i="3" s="1"/>
  <c r="K312" i="3"/>
  <c r="N312" i="3" s="1"/>
  <c r="K313" i="3"/>
  <c r="N313" i="3" s="1"/>
  <c r="K314" i="3"/>
  <c r="N314" i="3" s="1"/>
  <c r="K315" i="3"/>
  <c r="N315" i="3" s="1"/>
  <c r="K316" i="3"/>
  <c r="N316" i="3" s="1"/>
  <c r="K317" i="3"/>
  <c r="N317" i="3" s="1"/>
  <c r="K318" i="3"/>
  <c r="N318" i="3" s="1"/>
  <c r="K319" i="3"/>
  <c r="N319" i="3" s="1"/>
  <c r="K320" i="3"/>
  <c r="N320" i="3" s="1"/>
  <c r="K321" i="3"/>
  <c r="N321" i="3" s="1"/>
  <c r="K322" i="3"/>
  <c r="N322" i="3" s="1"/>
  <c r="K323" i="3"/>
  <c r="N323" i="3" s="1"/>
  <c r="K324" i="3"/>
  <c r="N324" i="3" s="1"/>
  <c r="K325" i="3"/>
  <c r="N325" i="3" s="1"/>
  <c r="K326" i="3"/>
  <c r="N326" i="3" s="1"/>
  <c r="K327" i="3"/>
  <c r="N327" i="3" s="1"/>
  <c r="K328" i="3"/>
  <c r="N328" i="3" s="1"/>
  <c r="K329" i="3"/>
  <c r="N329" i="3" s="1"/>
  <c r="K330" i="3"/>
  <c r="N330" i="3" s="1"/>
  <c r="K331" i="3"/>
  <c r="N331" i="3" s="1"/>
  <c r="K332" i="3"/>
  <c r="N332" i="3" s="1"/>
  <c r="K333" i="3"/>
  <c r="N333" i="3" s="1"/>
  <c r="K334" i="3"/>
  <c r="N334" i="3" s="1"/>
  <c r="K335" i="3"/>
  <c r="N335" i="3" s="1"/>
  <c r="K336" i="3"/>
  <c r="N336" i="3" s="1"/>
  <c r="K337" i="3"/>
  <c r="N337" i="3" s="1"/>
  <c r="K338" i="3"/>
  <c r="N338" i="3" s="1"/>
  <c r="K339" i="3"/>
  <c r="N339" i="3" s="1"/>
  <c r="K340" i="3"/>
  <c r="N340" i="3" s="1"/>
  <c r="K341" i="3"/>
  <c r="N341" i="3" s="1"/>
  <c r="K342" i="3"/>
  <c r="N342" i="3" s="1"/>
  <c r="K343" i="3"/>
  <c r="N343" i="3" s="1"/>
  <c r="K344" i="3"/>
  <c r="N344" i="3" s="1"/>
  <c r="K345" i="3"/>
  <c r="N345" i="3" s="1"/>
  <c r="K346" i="3"/>
  <c r="N346" i="3" s="1"/>
  <c r="K347" i="3"/>
  <c r="N347" i="3" s="1"/>
  <c r="K348" i="3"/>
  <c r="N348" i="3" s="1"/>
  <c r="K349" i="3"/>
  <c r="N349" i="3" s="1"/>
  <c r="K350" i="3"/>
  <c r="N350" i="3" s="1"/>
  <c r="K351" i="3"/>
  <c r="N351" i="3" s="1"/>
  <c r="K352" i="3"/>
  <c r="N352" i="3" s="1"/>
  <c r="K353" i="3"/>
  <c r="N353" i="3" s="1"/>
  <c r="K354" i="3"/>
  <c r="N354" i="3" s="1"/>
  <c r="K355" i="3"/>
  <c r="N355" i="3" s="1"/>
  <c r="K356" i="3"/>
  <c r="N356" i="3" s="1"/>
  <c r="K357" i="3"/>
  <c r="N357" i="3" s="1"/>
  <c r="K358" i="3"/>
  <c r="N358" i="3" s="1"/>
  <c r="K359" i="3"/>
  <c r="N359" i="3" s="1"/>
  <c r="K360" i="3"/>
  <c r="N360" i="3" s="1"/>
  <c r="K361" i="3"/>
  <c r="N361" i="3" s="1"/>
  <c r="K362" i="3"/>
  <c r="N362" i="3" s="1"/>
  <c r="K363" i="3"/>
  <c r="N363" i="3" s="1"/>
  <c r="K364" i="3"/>
  <c r="N364" i="3" s="1"/>
  <c r="K365" i="3"/>
  <c r="N365" i="3" s="1"/>
  <c r="K366" i="3"/>
  <c r="N366" i="3" s="1"/>
  <c r="K367" i="3"/>
  <c r="N367" i="3" s="1"/>
  <c r="K368" i="3"/>
  <c r="N368" i="3" s="1"/>
  <c r="K369" i="3"/>
  <c r="N369" i="3" s="1"/>
  <c r="K370" i="3"/>
  <c r="N370" i="3" s="1"/>
  <c r="K371" i="3"/>
  <c r="N371" i="3" s="1"/>
  <c r="K372" i="3"/>
  <c r="N372" i="3" s="1"/>
  <c r="K373" i="3"/>
  <c r="N373" i="3" s="1"/>
  <c r="K374" i="3"/>
  <c r="N374" i="3" s="1"/>
  <c r="K375" i="3"/>
  <c r="N375" i="3" s="1"/>
  <c r="K376" i="3"/>
  <c r="N376" i="3" s="1"/>
  <c r="K377" i="3"/>
  <c r="N377" i="3" s="1"/>
  <c r="K378" i="3"/>
  <c r="N378" i="3" s="1"/>
  <c r="K379" i="3"/>
  <c r="N379" i="3" s="1"/>
  <c r="K380" i="3"/>
  <c r="N380" i="3" s="1"/>
  <c r="K381" i="3"/>
  <c r="N381" i="3" s="1"/>
  <c r="K382" i="3"/>
  <c r="N382" i="3" s="1"/>
  <c r="K383" i="3"/>
  <c r="N383" i="3" s="1"/>
  <c r="K384" i="3"/>
  <c r="N384" i="3" s="1"/>
  <c r="K385" i="3"/>
  <c r="N385" i="3" s="1"/>
  <c r="K386" i="3"/>
  <c r="N386" i="3" s="1"/>
  <c r="K387" i="3"/>
  <c r="N387" i="3" s="1"/>
  <c r="K388" i="3"/>
  <c r="N388" i="3" s="1"/>
  <c r="K389" i="3"/>
  <c r="N389" i="3" s="1"/>
  <c r="K390" i="3"/>
  <c r="N390" i="3" s="1"/>
  <c r="K391" i="3"/>
  <c r="N391" i="3" s="1"/>
  <c r="K392" i="3"/>
  <c r="N392" i="3" s="1"/>
  <c r="K393" i="3"/>
  <c r="N393" i="3" s="1"/>
  <c r="K394" i="3"/>
  <c r="N394" i="3" s="1"/>
  <c r="K395" i="3"/>
  <c r="N395" i="3" s="1"/>
  <c r="K396" i="3"/>
  <c r="N396" i="3" s="1"/>
  <c r="K397" i="3"/>
  <c r="N397" i="3" s="1"/>
  <c r="K398" i="3"/>
  <c r="N398" i="3" s="1"/>
  <c r="K399" i="3"/>
  <c r="N399" i="3" s="1"/>
  <c r="K400" i="3"/>
  <c r="N400" i="3" s="1"/>
  <c r="K401" i="3"/>
  <c r="N401" i="3" s="1"/>
  <c r="K402" i="3"/>
  <c r="N402" i="3" s="1"/>
  <c r="K403" i="3"/>
  <c r="N403" i="3" s="1"/>
  <c r="K404" i="3"/>
  <c r="N404" i="3" s="1"/>
  <c r="K405" i="3"/>
  <c r="N405" i="3" s="1"/>
  <c r="K406" i="3"/>
  <c r="N406" i="3" s="1"/>
  <c r="K407" i="3"/>
  <c r="N407" i="3" s="1"/>
  <c r="K408" i="3"/>
  <c r="N408" i="3" s="1"/>
  <c r="K409" i="3"/>
  <c r="N409" i="3" s="1"/>
  <c r="K410" i="3"/>
  <c r="N410" i="3" s="1"/>
  <c r="K411" i="3"/>
  <c r="N411" i="3" s="1"/>
  <c r="K412" i="3"/>
  <c r="N412" i="3" s="1"/>
  <c r="K413" i="3"/>
  <c r="N413" i="3" s="1"/>
  <c r="K414" i="3"/>
  <c r="N414" i="3" s="1"/>
  <c r="K415" i="3"/>
  <c r="N415" i="3" s="1"/>
  <c r="K416" i="3"/>
  <c r="N416" i="3" s="1"/>
  <c r="K417" i="3"/>
  <c r="N417" i="3" s="1"/>
  <c r="K418" i="3"/>
  <c r="N418" i="3" s="1"/>
  <c r="K419" i="3"/>
  <c r="N419" i="3" s="1"/>
  <c r="K420" i="3"/>
  <c r="N420" i="3" s="1"/>
  <c r="K421" i="3"/>
  <c r="N421" i="3" s="1"/>
  <c r="K422" i="3"/>
  <c r="N422" i="3" s="1"/>
  <c r="K423" i="3"/>
  <c r="N423" i="3" s="1"/>
  <c r="K424" i="3"/>
  <c r="N424" i="3" s="1"/>
  <c r="K425" i="3"/>
  <c r="N425" i="3" s="1"/>
  <c r="K426" i="3"/>
  <c r="N426" i="3" s="1"/>
  <c r="K427" i="3"/>
  <c r="N427" i="3" s="1"/>
  <c r="K428" i="3"/>
  <c r="N428" i="3" s="1"/>
  <c r="K429" i="3"/>
  <c r="N429" i="3" s="1"/>
  <c r="K430" i="3"/>
  <c r="N430" i="3" s="1"/>
  <c r="K431" i="3"/>
  <c r="N431" i="3" s="1"/>
  <c r="K432" i="3"/>
  <c r="N432" i="3" s="1"/>
  <c r="K433" i="3"/>
  <c r="N433" i="3" s="1"/>
  <c r="K434" i="3"/>
  <c r="N434" i="3" s="1"/>
  <c r="K435" i="3"/>
  <c r="N435" i="3" s="1"/>
  <c r="K436" i="3"/>
  <c r="N436" i="3" s="1"/>
  <c r="K437" i="3"/>
  <c r="N437" i="3" s="1"/>
  <c r="K438" i="3"/>
  <c r="N438" i="3" s="1"/>
  <c r="K439" i="3"/>
  <c r="N439" i="3" s="1"/>
  <c r="K440" i="3"/>
  <c r="N440" i="3" s="1"/>
  <c r="K441" i="3"/>
  <c r="N441" i="3" s="1"/>
  <c r="K442" i="3"/>
  <c r="N442" i="3" s="1"/>
  <c r="K443" i="3"/>
  <c r="N443" i="3" s="1"/>
  <c r="K444" i="3"/>
  <c r="N444" i="3" s="1"/>
  <c r="K445" i="3"/>
  <c r="N445" i="3" s="1"/>
  <c r="K446" i="3"/>
  <c r="N446" i="3" s="1"/>
  <c r="K447" i="3"/>
  <c r="N447" i="3" s="1"/>
  <c r="K448" i="3"/>
  <c r="N448" i="3" s="1"/>
  <c r="K449" i="3"/>
  <c r="N449" i="3" s="1"/>
  <c r="K450" i="3"/>
  <c r="N450" i="3" s="1"/>
  <c r="K451" i="3"/>
  <c r="N451" i="3" s="1"/>
  <c r="K452" i="3"/>
  <c r="N452" i="3" s="1"/>
  <c r="K453" i="3"/>
  <c r="N453" i="3" s="1"/>
  <c r="K454" i="3"/>
  <c r="N454" i="3" s="1"/>
  <c r="K455" i="3"/>
  <c r="N455" i="3" s="1"/>
  <c r="K456" i="3"/>
  <c r="N456" i="3" s="1"/>
  <c r="K457" i="3"/>
  <c r="N457" i="3" s="1"/>
  <c r="K458" i="3"/>
  <c r="N458" i="3" s="1"/>
  <c r="K459" i="3"/>
  <c r="N459" i="3" s="1"/>
  <c r="K460" i="3"/>
  <c r="N460" i="3" s="1"/>
  <c r="K461" i="3"/>
  <c r="N461" i="3" s="1"/>
  <c r="K462" i="3"/>
  <c r="N462" i="3" s="1"/>
  <c r="K463" i="3"/>
  <c r="N463" i="3" s="1"/>
  <c r="K464" i="3"/>
  <c r="N464" i="3" s="1"/>
  <c r="K465" i="3"/>
  <c r="N465" i="3" s="1"/>
  <c r="K466" i="3"/>
  <c r="N466" i="3" s="1"/>
  <c r="K467" i="3"/>
  <c r="N467" i="3" s="1"/>
  <c r="K468" i="3"/>
  <c r="N468" i="3" s="1"/>
  <c r="K469" i="3"/>
  <c r="N469" i="3" s="1"/>
  <c r="K470" i="3"/>
  <c r="N470" i="3" s="1"/>
  <c r="K471" i="3"/>
  <c r="N471" i="3" s="1"/>
  <c r="K472" i="3"/>
  <c r="N472" i="3" s="1"/>
  <c r="K473" i="3"/>
  <c r="N473" i="3" s="1"/>
  <c r="K474" i="3"/>
  <c r="N474" i="3" s="1"/>
  <c r="K475" i="3"/>
  <c r="N475" i="3" s="1"/>
  <c r="K476" i="3"/>
  <c r="N476" i="3" s="1"/>
  <c r="K477" i="3"/>
  <c r="N477" i="3" s="1"/>
  <c r="K478" i="3"/>
  <c r="N478" i="3" s="1"/>
  <c r="K479" i="3"/>
  <c r="N479" i="3" s="1"/>
  <c r="K480" i="3"/>
  <c r="N480" i="3" s="1"/>
  <c r="K481" i="3"/>
  <c r="N481" i="3" s="1"/>
  <c r="K482" i="3"/>
  <c r="N482" i="3" s="1"/>
  <c r="K483" i="3"/>
  <c r="N483" i="3" s="1"/>
  <c r="K484" i="3"/>
  <c r="N484" i="3" s="1"/>
  <c r="K485" i="3"/>
  <c r="N485" i="3" s="1"/>
  <c r="K486" i="3"/>
  <c r="N486" i="3" s="1"/>
  <c r="K487" i="3"/>
  <c r="N487" i="3" s="1"/>
  <c r="K488" i="3"/>
  <c r="N488" i="3" s="1"/>
  <c r="K489" i="3"/>
  <c r="N489" i="3" s="1"/>
  <c r="K490" i="3"/>
  <c r="N490" i="3" s="1"/>
  <c r="K491" i="3"/>
  <c r="N491" i="3" s="1"/>
  <c r="K492" i="3"/>
  <c r="N492" i="3" s="1"/>
  <c r="K493" i="3"/>
  <c r="N493" i="3" s="1"/>
  <c r="K494" i="3"/>
  <c r="N494" i="3" s="1"/>
  <c r="K495" i="3"/>
  <c r="N495" i="3" s="1"/>
  <c r="K496" i="3"/>
  <c r="N496" i="3" s="1"/>
  <c r="K497" i="3"/>
  <c r="N497" i="3" s="1"/>
  <c r="K498" i="3"/>
  <c r="N498" i="3" s="1"/>
  <c r="K499" i="3"/>
  <c r="N499" i="3" s="1"/>
  <c r="K500" i="3"/>
  <c r="N500" i="3" s="1"/>
  <c r="K501" i="3"/>
  <c r="N501" i="3" s="1"/>
  <c r="K502" i="3"/>
  <c r="N502" i="3" s="1"/>
  <c r="K503" i="3"/>
  <c r="N503" i="3" s="1"/>
  <c r="K504" i="3"/>
  <c r="N504" i="3" s="1"/>
  <c r="K505" i="3"/>
  <c r="N505" i="3" s="1"/>
  <c r="K506" i="3"/>
  <c r="N506" i="3" s="1"/>
  <c r="K507" i="3"/>
  <c r="N507" i="3" s="1"/>
  <c r="K508" i="3"/>
  <c r="N508" i="3" s="1"/>
  <c r="K509" i="3"/>
  <c r="N509" i="3" s="1"/>
  <c r="K510" i="3"/>
  <c r="N510" i="3" s="1"/>
  <c r="K511" i="3"/>
  <c r="N511" i="3" s="1"/>
  <c r="K512" i="3"/>
  <c r="N512" i="3" s="1"/>
  <c r="K513" i="3"/>
  <c r="N513" i="3" s="1"/>
  <c r="K514" i="3"/>
  <c r="N514" i="3" s="1"/>
  <c r="K515" i="3"/>
  <c r="N515" i="3" s="1"/>
  <c r="K516" i="3"/>
  <c r="N516" i="3" s="1"/>
  <c r="K517" i="3"/>
  <c r="N517" i="3" s="1"/>
  <c r="K518" i="3"/>
  <c r="N518" i="3" s="1"/>
  <c r="K519" i="3"/>
  <c r="N519" i="3" s="1"/>
  <c r="K520" i="3"/>
  <c r="N520" i="3" s="1"/>
  <c r="K521" i="3"/>
  <c r="N521" i="3" s="1"/>
  <c r="K522" i="3"/>
  <c r="N522" i="3" s="1"/>
  <c r="K523" i="3"/>
  <c r="N523" i="3" s="1"/>
  <c r="K524" i="3"/>
  <c r="N524" i="3" s="1"/>
  <c r="K525" i="3"/>
  <c r="N525" i="3" s="1"/>
  <c r="K526" i="3"/>
  <c r="N526" i="3" s="1"/>
  <c r="K527" i="3"/>
  <c r="N527" i="3" s="1"/>
  <c r="K528" i="3"/>
  <c r="N528" i="3" s="1"/>
  <c r="K529" i="3"/>
  <c r="N529" i="3" s="1"/>
  <c r="K530" i="3"/>
  <c r="N530" i="3" s="1"/>
  <c r="K531" i="3"/>
  <c r="N531" i="3" s="1"/>
  <c r="K532" i="3"/>
  <c r="N532" i="3" s="1"/>
  <c r="K533" i="3"/>
  <c r="N533" i="3" s="1"/>
  <c r="K534" i="3"/>
  <c r="N534" i="3" s="1"/>
  <c r="K535" i="3"/>
  <c r="N535" i="3" s="1"/>
  <c r="K536" i="3"/>
  <c r="N536" i="3" s="1"/>
  <c r="K537" i="3"/>
  <c r="N537" i="3" s="1"/>
  <c r="K538" i="3"/>
  <c r="N538" i="3" s="1"/>
  <c r="K539" i="3"/>
  <c r="N539" i="3" s="1"/>
  <c r="K540" i="3"/>
  <c r="N540" i="3" s="1"/>
  <c r="K541" i="3"/>
  <c r="N541" i="3" s="1"/>
  <c r="K542" i="3"/>
  <c r="N542" i="3" s="1"/>
  <c r="K543" i="3"/>
  <c r="N543" i="3" s="1"/>
  <c r="K544" i="3"/>
  <c r="N544" i="3" s="1"/>
  <c r="K545" i="3"/>
  <c r="N545" i="3" s="1"/>
  <c r="K546" i="3"/>
  <c r="N546" i="3" s="1"/>
  <c r="K547" i="3"/>
  <c r="N547" i="3" s="1"/>
  <c r="K548" i="3"/>
  <c r="N548" i="3" s="1"/>
  <c r="K549" i="3"/>
  <c r="N549" i="3" s="1"/>
  <c r="K550" i="3"/>
  <c r="N550" i="3" s="1"/>
  <c r="K551" i="3"/>
  <c r="N551" i="3" s="1"/>
  <c r="K552" i="3"/>
  <c r="N552" i="3" s="1"/>
  <c r="K553" i="3"/>
  <c r="N553" i="3" s="1"/>
  <c r="K554" i="3"/>
  <c r="N554" i="3" s="1"/>
  <c r="K555" i="3"/>
  <c r="N555" i="3" s="1"/>
  <c r="K556" i="3"/>
  <c r="N556" i="3" s="1"/>
  <c r="K557" i="3"/>
  <c r="N557" i="3" s="1"/>
  <c r="K558" i="3"/>
  <c r="N558" i="3" s="1"/>
  <c r="K559" i="3"/>
  <c r="N559" i="3" s="1"/>
  <c r="K560" i="3"/>
  <c r="N560" i="3" s="1"/>
  <c r="K561" i="3"/>
  <c r="N561" i="3" s="1"/>
  <c r="K562" i="3"/>
  <c r="N562" i="3" s="1"/>
  <c r="K563" i="3"/>
  <c r="N563" i="3" s="1"/>
  <c r="K564" i="3"/>
  <c r="N564" i="3" s="1"/>
  <c r="K565" i="3"/>
  <c r="N565" i="3" s="1"/>
  <c r="K566" i="3"/>
  <c r="N566" i="3" s="1"/>
  <c r="K567" i="3"/>
  <c r="N567" i="3" s="1"/>
  <c r="K568" i="3"/>
  <c r="N568" i="3" s="1"/>
  <c r="K569" i="3"/>
  <c r="N569" i="3" s="1"/>
  <c r="K570" i="3"/>
  <c r="N570" i="3" s="1"/>
  <c r="K571" i="3"/>
  <c r="N571" i="3" s="1"/>
  <c r="K572" i="3"/>
  <c r="N572" i="3" s="1"/>
  <c r="K573" i="3"/>
  <c r="N573" i="3" s="1"/>
  <c r="K574" i="3"/>
  <c r="N574" i="3" s="1"/>
  <c r="K575" i="3"/>
  <c r="N575" i="3" s="1"/>
  <c r="K576" i="3"/>
  <c r="N576" i="3" s="1"/>
  <c r="K577" i="3"/>
  <c r="N577" i="3" s="1"/>
  <c r="K578" i="3"/>
  <c r="N578" i="3" s="1"/>
  <c r="K579" i="3"/>
  <c r="N579" i="3" s="1"/>
  <c r="K580" i="3"/>
  <c r="N580" i="3" s="1"/>
  <c r="K581" i="3"/>
  <c r="N581" i="3" s="1"/>
  <c r="K582" i="3"/>
  <c r="N582" i="3" s="1"/>
  <c r="K583" i="3"/>
  <c r="N583" i="3" s="1"/>
  <c r="K584" i="3"/>
  <c r="N584" i="3" s="1"/>
  <c r="K585" i="3"/>
  <c r="N585" i="3" s="1"/>
  <c r="K586" i="3"/>
  <c r="N586" i="3" s="1"/>
  <c r="K587" i="3"/>
  <c r="N587" i="3" s="1"/>
  <c r="K588" i="3"/>
  <c r="N588" i="3" s="1"/>
  <c r="K589" i="3"/>
  <c r="N589" i="3" s="1"/>
  <c r="K590" i="3"/>
  <c r="N590" i="3" s="1"/>
  <c r="K591" i="3"/>
  <c r="N591" i="3" s="1"/>
  <c r="K592" i="3"/>
  <c r="N592" i="3" s="1"/>
  <c r="K593" i="3"/>
  <c r="N593" i="3" s="1"/>
  <c r="K594" i="3"/>
  <c r="N594" i="3" s="1"/>
  <c r="K595" i="3"/>
  <c r="N595" i="3" s="1"/>
  <c r="K596" i="3"/>
  <c r="N596" i="3" s="1"/>
  <c r="K597" i="3"/>
  <c r="N597" i="3" s="1"/>
  <c r="K598" i="3"/>
  <c r="N598" i="3" s="1"/>
  <c r="K599" i="3"/>
  <c r="N599" i="3" s="1"/>
  <c r="K600" i="3"/>
  <c r="N600" i="3" s="1"/>
  <c r="K601" i="3"/>
  <c r="N601" i="3" s="1"/>
  <c r="K602" i="3"/>
  <c r="N602" i="3" s="1"/>
  <c r="K603" i="3"/>
  <c r="N603" i="3" s="1"/>
  <c r="K604" i="3"/>
  <c r="N604" i="3" s="1"/>
  <c r="K605" i="3"/>
  <c r="N605" i="3" s="1"/>
  <c r="K606" i="3"/>
  <c r="N606" i="3" s="1"/>
  <c r="K607" i="3"/>
  <c r="N607" i="3" s="1"/>
  <c r="K608" i="3"/>
  <c r="N608" i="3" s="1"/>
  <c r="K609" i="3"/>
  <c r="N609" i="3" s="1"/>
  <c r="K610" i="3"/>
  <c r="N610" i="3" s="1"/>
  <c r="K611" i="3"/>
  <c r="N611" i="3" s="1"/>
  <c r="K612" i="3"/>
  <c r="N612" i="3" s="1"/>
  <c r="K613" i="3"/>
  <c r="N613" i="3" s="1"/>
  <c r="K614" i="3"/>
  <c r="N614" i="3" s="1"/>
  <c r="K615" i="3"/>
  <c r="N615" i="3" s="1"/>
  <c r="K616" i="3"/>
  <c r="N616" i="3" s="1"/>
  <c r="K617" i="3"/>
  <c r="N617" i="3" s="1"/>
  <c r="K618" i="3"/>
  <c r="N618" i="3" s="1"/>
  <c r="K619" i="3"/>
  <c r="N619" i="3" s="1"/>
  <c r="K620" i="3"/>
  <c r="N620" i="3" s="1"/>
  <c r="K621" i="3"/>
  <c r="N621" i="3" s="1"/>
  <c r="K622" i="3"/>
  <c r="N622" i="3" s="1"/>
  <c r="K623" i="3"/>
  <c r="N623" i="3" s="1"/>
  <c r="K624" i="3"/>
  <c r="N624" i="3" s="1"/>
  <c r="K625" i="3"/>
  <c r="N625" i="3" s="1"/>
  <c r="K2" i="3"/>
  <c r="N2" i="3" s="1"/>
  <c r="J3" i="3"/>
  <c r="M3" i="3" s="1"/>
  <c r="J4" i="3"/>
  <c r="M4" i="3" s="1"/>
  <c r="J5" i="3"/>
  <c r="M5" i="3" s="1"/>
  <c r="J6" i="3"/>
  <c r="M6" i="3" s="1"/>
  <c r="J7" i="3"/>
  <c r="M7" i="3" s="1"/>
  <c r="J8" i="3"/>
  <c r="M8" i="3" s="1"/>
  <c r="J9" i="3"/>
  <c r="M9" i="3" s="1"/>
  <c r="J10" i="3"/>
  <c r="M10" i="3" s="1"/>
  <c r="J11" i="3"/>
  <c r="M11" i="3" s="1"/>
  <c r="J12" i="3"/>
  <c r="M12" i="3" s="1"/>
  <c r="J13" i="3"/>
  <c r="M13" i="3" s="1"/>
  <c r="J14" i="3"/>
  <c r="M14" i="3" s="1"/>
  <c r="J15" i="3"/>
  <c r="M15" i="3" s="1"/>
  <c r="J16" i="3"/>
  <c r="M16" i="3" s="1"/>
  <c r="J17" i="3"/>
  <c r="M17" i="3" s="1"/>
  <c r="J18" i="3"/>
  <c r="M18" i="3" s="1"/>
  <c r="J19" i="3"/>
  <c r="M19" i="3" s="1"/>
  <c r="J20" i="3"/>
  <c r="M20" i="3" s="1"/>
  <c r="J21" i="3"/>
  <c r="M21" i="3" s="1"/>
  <c r="J22" i="3"/>
  <c r="M22" i="3" s="1"/>
  <c r="J23" i="3"/>
  <c r="M23" i="3" s="1"/>
  <c r="J24" i="3"/>
  <c r="M24" i="3" s="1"/>
  <c r="J25" i="3"/>
  <c r="M25" i="3" s="1"/>
  <c r="J26" i="3"/>
  <c r="M26" i="3" s="1"/>
  <c r="J27" i="3"/>
  <c r="M27" i="3" s="1"/>
  <c r="J28" i="3"/>
  <c r="M28" i="3" s="1"/>
  <c r="J29" i="3"/>
  <c r="M29" i="3" s="1"/>
  <c r="J30" i="3"/>
  <c r="M30" i="3" s="1"/>
  <c r="J31" i="3"/>
  <c r="M31" i="3" s="1"/>
  <c r="J32" i="3"/>
  <c r="M32" i="3" s="1"/>
  <c r="J33" i="3"/>
  <c r="M33" i="3" s="1"/>
  <c r="J34" i="3"/>
  <c r="M34" i="3" s="1"/>
  <c r="J35" i="3"/>
  <c r="M35" i="3" s="1"/>
  <c r="J36" i="3"/>
  <c r="M36" i="3" s="1"/>
  <c r="J37" i="3"/>
  <c r="M37" i="3" s="1"/>
  <c r="J38" i="3"/>
  <c r="M38" i="3" s="1"/>
  <c r="J39" i="3"/>
  <c r="M39" i="3" s="1"/>
  <c r="J40" i="3"/>
  <c r="M40" i="3" s="1"/>
  <c r="J41" i="3"/>
  <c r="M41" i="3" s="1"/>
  <c r="J42" i="3"/>
  <c r="M42" i="3" s="1"/>
  <c r="J43" i="3"/>
  <c r="M43" i="3" s="1"/>
  <c r="J44" i="3"/>
  <c r="M44" i="3" s="1"/>
  <c r="J45" i="3"/>
  <c r="M45" i="3" s="1"/>
  <c r="J46" i="3"/>
  <c r="M46" i="3" s="1"/>
  <c r="J47" i="3"/>
  <c r="M47" i="3" s="1"/>
  <c r="J48" i="3"/>
  <c r="M48" i="3" s="1"/>
  <c r="J49" i="3"/>
  <c r="M49" i="3" s="1"/>
  <c r="J50" i="3"/>
  <c r="M50" i="3" s="1"/>
  <c r="J51" i="3"/>
  <c r="M51" i="3" s="1"/>
  <c r="J52" i="3"/>
  <c r="M52" i="3" s="1"/>
  <c r="J53" i="3"/>
  <c r="M53" i="3" s="1"/>
  <c r="J54" i="3"/>
  <c r="M54" i="3" s="1"/>
  <c r="J55" i="3"/>
  <c r="M55" i="3" s="1"/>
  <c r="J56" i="3"/>
  <c r="M56" i="3" s="1"/>
  <c r="J57" i="3"/>
  <c r="M57" i="3" s="1"/>
  <c r="J58" i="3"/>
  <c r="M58" i="3" s="1"/>
  <c r="J59" i="3"/>
  <c r="M59" i="3" s="1"/>
  <c r="J60" i="3"/>
  <c r="M60" i="3" s="1"/>
  <c r="J61" i="3"/>
  <c r="M61" i="3" s="1"/>
  <c r="J62" i="3"/>
  <c r="M62" i="3" s="1"/>
  <c r="J63" i="3"/>
  <c r="M63" i="3" s="1"/>
  <c r="J64" i="3"/>
  <c r="M64" i="3" s="1"/>
  <c r="J65" i="3"/>
  <c r="M65" i="3" s="1"/>
  <c r="J66" i="3"/>
  <c r="M66" i="3" s="1"/>
  <c r="J67" i="3"/>
  <c r="M67" i="3" s="1"/>
  <c r="J68" i="3"/>
  <c r="M68" i="3" s="1"/>
  <c r="J69" i="3"/>
  <c r="M69" i="3" s="1"/>
  <c r="J70" i="3"/>
  <c r="M70" i="3" s="1"/>
  <c r="J71" i="3"/>
  <c r="M71" i="3" s="1"/>
  <c r="J72" i="3"/>
  <c r="M72" i="3" s="1"/>
  <c r="J73" i="3"/>
  <c r="M73" i="3" s="1"/>
  <c r="J74" i="3"/>
  <c r="M74" i="3" s="1"/>
  <c r="J75" i="3"/>
  <c r="M75" i="3" s="1"/>
  <c r="J76" i="3"/>
  <c r="M76" i="3" s="1"/>
  <c r="J77" i="3"/>
  <c r="M77" i="3" s="1"/>
  <c r="J78" i="3"/>
  <c r="M78" i="3" s="1"/>
  <c r="J79" i="3"/>
  <c r="M79" i="3" s="1"/>
  <c r="J80" i="3"/>
  <c r="M80" i="3" s="1"/>
  <c r="J81" i="3"/>
  <c r="M81" i="3" s="1"/>
  <c r="J82" i="3"/>
  <c r="M82" i="3" s="1"/>
  <c r="J83" i="3"/>
  <c r="M83" i="3" s="1"/>
  <c r="J84" i="3"/>
  <c r="M84" i="3" s="1"/>
  <c r="J85" i="3"/>
  <c r="M85" i="3" s="1"/>
  <c r="J86" i="3"/>
  <c r="M86" i="3" s="1"/>
  <c r="J87" i="3"/>
  <c r="M87" i="3" s="1"/>
  <c r="J88" i="3"/>
  <c r="M88" i="3" s="1"/>
  <c r="J89" i="3"/>
  <c r="M89" i="3" s="1"/>
  <c r="J90" i="3"/>
  <c r="M90" i="3" s="1"/>
  <c r="J91" i="3"/>
  <c r="M91" i="3" s="1"/>
  <c r="J92" i="3"/>
  <c r="M92" i="3" s="1"/>
  <c r="J93" i="3"/>
  <c r="M93" i="3" s="1"/>
  <c r="J94" i="3"/>
  <c r="M94" i="3" s="1"/>
  <c r="J95" i="3"/>
  <c r="M95" i="3" s="1"/>
  <c r="J96" i="3"/>
  <c r="M96" i="3" s="1"/>
  <c r="J97" i="3"/>
  <c r="M97" i="3" s="1"/>
  <c r="J98" i="3"/>
  <c r="M98" i="3" s="1"/>
  <c r="J99" i="3"/>
  <c r="M99" i="3" s="1"/>
  <c r="J100" i="3"/>
  <c r="M100" i="3" s="1"/>
  <c r="J101" i="3"/>
  <c r="M101" i="3" s="1"/>
  <c r="J102" i="3"/>
  <c r="M102" i="3" s="1"/>
  <c r="J103" i="3"/>
  <c r="M103" i="3" s="1"/>
  <c r="J104" i="3"/>
  <c r="M104" i="3" s="1"/>
  <c r="J105" i="3"/>
  <c r="M105" i="3" s="1"/>
  <c r="J106" i="3"/>
  <c r="M106" i="3" s="1"/>
  <c r="J107" i="3"/>
  <c r="M107" i="3" s="1"/>
  <c r="J108" i="3"/>
  <c r="M108" i="3" s="1"/>
  <c r="J109" i="3"/>
  <c r="M109" i="3" s="1"/>
  <c r="J110" i="3"/>
  <c r="M110" i="3" s="1"/>
  <c r="J111" i="3"/>
  <c r="M111" i="3" s="1"/>
  <c r="J112" i="3"/>
  <c r="M112" i="3" s="1"/>
  <c r="J113" i="3"/>
  <c r="M113" i="3" s="1"/>
  <c r="J114" i="3"/>
  <c r="M114" i="3" s="1"/>
  <c r="J115" i="3"/>
  <c r="M115" i="3" s="1"/>
  <c r="J116" i="3"/>
  <c r="M116" i="3" s="1"/>
  <c r="J117" i="3"/>
  <c r="M117" i="3" s="1"/>
  <c r="J118" i="3"/>
  <c r="M118" i="3" s="1"/>
  <c r="J119" i="3"/>
  <c r="M119" i="3" s="1"/>
  <c r="J120" i="3"/>
  <c r="M120" i="3" s="1"/>
  <c r="J121" i="3"/>
  <c r="M121" i="3" s="1"/>
  <c r="J122" i="3"/>
  <c r="M122" i="3" s="1"/>
  <c r="J123" i="3"/>
  <c r="M123" i="3" s="1"/>
  <c r="J124" i="3"/>
  <c r="M124" i="3" s="1"/>
  <c r="J125" i="3"/>
  <c r="M125" i="3" s="1"/>
  <c r="J126" i="3"/>
  <c r="M126" i="3" s="1"/>
  <c r="J127" i="3"/>
  <c r="M127" i="3" s="1"/>
  <c r="J128" i="3"/>
  <c r="M128" i="3" s="1"/>
  <c r="J129" i="3"/>
  <c r="M129" i="3" s="1"/>
  <c r="J130" i="3"/>
  <c r="M130" i="3" s="1"/>
  <c r="J131" i="3"/>
  <c r="M131" i="3" s="1"/>
  <c r="J132" i="3"/>
  <c r="M132" i="3" s="1"/>
  <c r="J133" i="3"/>
  <c r="M133" i="3" s="1"/>
  <c r="J134" i="3"/>
  <c r="M134" i="3" s="1"/>
  <c r="J135" i="3"/>
  <c r="M135" i="3" s="1"/>
  <c r="J136" i="3"/>
  <c r="M136" i="3" s="1"/>
  <c r="J137" i="3"/>
  <c r="M137" i="3" s="1"/>
  <c r="J138" i="3"/>
  <c r="M138" i="3" s="1"/>
  <c r="J139" i="3"/>
  <c r="M139" i="3" s="1"/>
  <c r="J140" i="3"/>
  <c r="M140" i="3" s="1"/>
  <c r="J141" i="3"/>
  <c r="M141" i="3" s="1"/>
  <c r="J142" i="3"/>
  <c r="M142" i="3" s="1"/>
  <c r="J143" i="3"/>
  <c r="M143" i="3" s="1"/>
  <c r="J144" i="3"/>
  <c r="M144" i="3" s="1"/>
  <c r="J145" i="3"/>
  <c r="M145" i="3" s="1"/>
  <c r="J146" i="3"/>
  <c r="M146" i="3" s="1"/>
  <c r="J147" i="3"/>
  <c r="M147" i="3" s="1"/>
  <c r="J148" i="3"/>
  <c r="M148" i="3" s="1"/>
  <c r="J149" i="3"/>
  <c r="M149" i="3" s="1"/>
  <c r="J150" i="3"/>
  <c r="M150" i="3" s="1"/>
  <c r="J151" i="3"/>
  <c r="M151" i="3" s="1"/>
  <c r="J152" i="3"/>
  <c r="M152" i="3" s="1"/>
  <c r="J153" i="3"/>
  <c r="M153" i="3" s="1"/>
  <c r="J154" i="3"/>
  <c r="M154" i="3" s="1"/>
  <c r="J155" i="3"/>
  <c r="M155" i="3" s="1"/>
  <c r="J156" i="3"/>
  <c r="M156" i="3" s="1"/>
  <c r="J157" i="3"/>
  <c r="M157" i="3" s="1"/>
  <c r="J158" i="3"/>
  <c r="M158" i="3" s="1"/>
  <c r="J159" i="3"/>
  <c r="M159" i="3" s="1"/>
  <c r="J160" i="3"/>
  <c r="M160" i="3" s="1"/>
  <c r="J161" i="3"/>
  <c r="M161" i="3" s="1"/>
  <c r="J162" i="3"/>
  <c r="M162" i="3" s="1"/>
  <c r="J163" i="3"/>
  <c r="M163" i="3" s="1"/>
  <c r="J164" i="3"/>
  <c r="M164" i="3" s="1"/>
  <c r="J165" i="3"/>
  <c r="M165" i="3" s="1"/>
  <c r="J166" i="3"/>
  <c r="M166" i="3" s="1"/>
  <c r="J167" i="3"/>
  <c r="M167" i="3" s="1"/>
  <c r="J168" i="3"/>
  <c r="M168" i="3" s="1"/>
  <c r="J169" i="3"/>
  <c r="M169" i="3" s="1"/>
  <c r="J170" i="3"/>
  <c r="M170" i="3" s="1"/>
  <c r="J171" i="3"/>
  <c r="M171" i="3" s="1"/>
  <c r="J172" i="3"/>
  <c r="M172" i="3" s="1"/>
  <c r="J173" i="3"/>
  <c r="M173" i="3" s="1"/>
  <c r="J174" i="3"/>
  <c r="M174" i="3" s="1"/>
  <c r="J175" i="3"/>
  <c r="M175" i="3" s="1"/>
  <c r="J176" i="3"/>
  <c r="M176" i="3" s="1"/>
  <c r="J177" i="3"/>
  <c r="M177" i="3" s="1"/>
  <c r="J178" i="3"/>
  <c r="M178" i="3" s="1"/>
  <c r="J179" i="3"/>
  <c r="M179" i="3" s="1"/>
  <c r="J180" i="3"/>
  <c r="M180" i="3" s="1"/>
  <c r="J181" i="3"/>
  <c r="M181" i="3" s="1"/>
  <c r="J182" i="3"/>
  <c r="M182" i="3" s="1"/>
  <c r="J183" i="3"/>
  <c r="M183" i="3" s="1"/>
  <c r="J184" i="3"/>
  <c r="M184" i="3" s="1"/>
  <c r="J185" i="3"/>
  <c r="M185" i="3" s="1"/>
  <c r="J186" i="3"/>
  <c r="M186" i="3" s="1"/>
  <c r="J187" i="3"/>
  <c r="M187" i="3" s="1"/>
  <c r="J188" i="3"/>
  <c r="M188" i="3" s="1"/>
  <c r="J189" i="3"/>
  <c r="M189" i="3" s="1"/>
  <c r="J190" i="3"/>
  <c r="M190" i="3" s="1"/>
  <c r="J191" i="3"/>
  <c r="M191" i="3" s="1"/>
  <c r="J192" i="3"/>
  <c r="M192" i="3" s="1"/>
  <c r="J193" i="3"/>
  <c r="M193" i="3" s="1"/>
  <c r="J194" i="3"/>
  <c r="M194" i="3" s="1"/>
  <c r="J195" i="3"/>
  <c r="M195" i="3" s="1"/>
  <c r="J196" i="3"/>
  <c r="M196" i="3" s="1"/>
  <c r="J197" i="3"/>
  <c r="M197" i="3" s="1"/>
  <c r="J198" i="3"/>
  <c r="M198" i="3" s="1"/>
  <c r="J199" i="3"/>
  <c r="M199" i="3" s="1"/>
  <c r="J200" i="3"/>
  <c r="M200" i="3" s="1"/>
  <c r="J201" i="3"/>
  <c r="M201" i="3" s="1"/>
  <c r="J202" i="3"/>
  <c r="M202" i="3" s="1"/>
  <c r="J203" i="3"/>
  <c r="M203" i="3" s="1"/>
  <c r="J204" i="3"/>
  <c r="M204" i="3" s="1"/>
  <c r="J205" i="3"/>
  <c r="M205" i="3" s="1"/>
  <c r="J206" i="3"/>
  <c r="M206" i="3" s="1"/>
  <c r="J207" i="3"/>
  <c r="M207" i="3" s="1"/>
  <c r="J208" i="3"/>
  <c r="M208" i="3" s="1"/>
  <c r="J209" i="3"/>
  <c r="M209" i="3" s="1"/>
  <c r="J210" i="3"/>
  <c r="M210" i="3" s="1"/>
  <c r="J211" i="3"/>
  <c r="M211" i="3" s="1"/>
  <c r="J212" i="3"/>
  <c r="M212" i="3" s="1"/>
  <c r="J213" i="3"/>
  <c r="M213" i="3" s="1"/>
  <c r="J214" i="3"/>
  <c r="M214" i="3" s="1"/>
  <c r="J215" i="3"/>
  <c r="M215" i="3" s="1"/>
  <c r="J216" i="3"/>
  <c r="M216" i="3" s="1"/>
  <c r="J217" i="3"/>
  <c r="M217" i="3" s="1"/>
  <c r="J218" i="3"/>
  <c r="M218" i="3" s="1"/>
  <c r="J219" i="3"/>
  <c r="M219" i="3" s="1"/>
  <c r="J220" i="3"/>
  <c r="M220" i="3" s="1"/>
  <c r="J221" i="3"/>
  <c r="M221" i="3" s="1"/>
  <c r="J222" i="3"/>
  <c r="M222" i="3" s="1"/>
  <c r="J223" i="3"/>
  <c r="M223" i="3" s="1"/>
  <c r="J224" i="3"/>
  <c r="M224" i="3" s="1"/>
  <c r="J225" i="3"/>
  <c r="M225" i="3" s="1"/>
  <c r="J226" i="3"/>
  <c r="M226" i="3" s="1"/>
  <c r="J227" i="3"/>
  <c r="M227" i="3" s="1"/>
  <c r="J228" i="3"/>
  <c r="M228" i="3" s="1"/>
  <c r="J229" i="3"/>
  <c r="M229" i="3" s="1"/>
  <c r="J230" i="3"/>
  <c r="M230" i="3" s="1"/>
  <c r="J231" i="3"/>
  <c r="M231" i="3" s="1"/>
  <c r="J232" i="3"/>
  <c r="M232" i="3" s="1"/>
  <c r="J233" i="3"/>
  <c r="M233" i="3" s="1"/>
  <c r="J234" i="3"/>
  <c r="M234" i="3" s="1"/>
  <c r="J235" i="3"/>
  <c r="M235" i="3" s="1"/>
  <c r="J236" i="3"/>
  <c r="M236" i="3" s="1"/>
  <c r="J237" i="3"/>
  <c r="M237" i="3" s="1"/>
  <c r="J238" i="3"/>
  <c r="M238" i="3" s="1"/>
  <c r="J239" i="3"/>
  <c r="M239" i="3" s="1"/>
  <c r="J240" i="3"/>
  <c r="M240" i="3" s="1"/>
  <c r="J241" i="3"/>
  <c r="M241" i="3" s="1"/>
  <c r="J242" i="3"/>
  <c r="M242" i="3" s="1"/>
  <c r="J243" i="3"/>
  <c r="M243" i="3" s="1"/>
  <c r="J244" i="3"/>
  <c r="M244" i="3" s="1"/>
  <c r="J245" i="3"/>
  <c r="M245" i="3" s="1"/>
  <c r="J246" i="3"/>
  <c r="M246" i="3" s="1"/>
  <c r="J247" i="3"/>
  <c r="M247" i="3" s="1"/>
  <c r="J248" i="3"/>
  <c r="M248" i="3" s="1"/>
  <c r="J249" i="3"/>
  <c r="M249" i="3" s="1"/>
  <c r="J250" i="3"/>
  <c r="M250" i="3" s="1"/>
  <c r="J251" i="3"/>
  <c r="M251" i="3" s="1"/>
  <c r="J252" i="3"/>
  <c r="M252" i="3" s="1"/>
  <c r="J253" i="3"/>
  <c r="M253" i="3" s="1"/>
  <c r="J254" i="3"/>
  <c r="M254" i="3" s="1"/>
  <c r="J255" i="3"/>
  <c r="M255" i="3" s="1"/>
  <c r="J256" i="3"/>
  <c r="M256" i="3" s="1"/>
  <c r="J257" i="3"/>
  <c r="M257" i="3" s="1"/>
  <c r="J258" i="3"/>
  <c r="M258" i="3" s="1"/>
  <c r="J259" i="3"/>
  <c r="M259" i="3" s="1"/>
  <c r="J260" i="3"/>
  <c r="M260" i="3" s="1"/>
  <c r="J261" i="3"/>
  <c r="M261" i="3" s="1"/>
  <c r="J262" i="3"/>
  <c r="M262" i="3" s="1"/>
  <c r="J263" i="3"/>
  <c r="M263" i="3" s="1"/>
  <c r="J264" i="3"/>
  <c r="M264" i="3" s="1"/>
  <c r="J265" i="3"/>
  <c r="M265" i="3" s="1"/>
  <c r="J266" i="3"/>
  <c r="M266" i="3" s="1"/>
  <c r="J267" i="3"/>
  <c r="M267" i="3" s="1"/>
  <c r="J268" i="3"/>
  <c r="M268" i="3" s="1"/>
  <c r="J269" i="3"/>
  <c r="M269" i="3" s="1"/>
  <c r="J270" i="3"/>
  <c r="M270" i="3" s="1"/>
  <c r="J271" i="3"/>
  <c r="M271" i="3" s="1"/>
  <c r="J273" i="3"/>
  <c r="M273" i="3" s="1"/>
  <c r="J274" i="3"/>
  <c r="M274" i="3" s="1"/>
  <c r="J275" i="3"/>
  <c r="M275" i="3" s="1"/>
  <c r="J276" i="3"/>
  <c r="M276" i="3" s="1"/>
  <c r="J277" i="3"/>
  <c r="M277" i="3" s="1"/>
  <c r="J278" i="3"/>
  <c r="M278" i="3" s="1"/>
  <c r="J279" i="3"/>
  <c r="M279" i="3" s="1"/>
  <c r="J280" i="3"/>
  <c r="M280" i="3" s="1"/>
  <c r="J281" i="3"/>
  <c r="M281" i="3" s="1"/>
  <c r="J282" i="3"/>
  <c r="M282" i="3" s="1"/>
  <c r="J283" i="3"/>
  <c r="M283" i="3" s="1"/>
  <c r="J284" i="3"/>
  <c r="M284" i="3" s="1"/>
  <c r="J285" i="3"/>
  <c r="M285" i="3" s="1"/>
  <c r="J286" i="3"/>
  <c r="M286" i="3" s="1"/>
  <c r="J287" i="3"/>
  <c r="M287" i="3" s="1"/>
  <c r="J288" i="3"/>
  <c r="M288" i="3" s="1"/>
  <c r="J289" i="3"/>
  <c r="M289" i="3" s="1"/>
  <c r="J290" i="3"/>
  <c r="M290" i="3" s="1"/>
  <c r="J291" i="3"/>
  <c r="M291" i="3" s="1"/>
  <c r="J292" i="3"/>
  <c r="M292" i="3" s="1"/>
  <c r="J293" i="3"/>
  <c r="M293" i="3" s="1"/>
  <c r="J294" i="3"/>
  <c r="M294" i="3" s="1"/>
  <c r="J295" i="3"/>
  <c r="M295" i="3" s="1"/>
  <c r="J296" i="3"/>
  <c r="M296" i="3" s="1"/>
  <c r="J297" i="3"/>
  <c r="M297" i="3" s="1"/>
  <c r="J298" i="3"/>
  <c r="M298" i="3" s="1"/>
  <c r="J299" i="3"/>
  <c r="M299" i="3" s="1"/>
  <c r="J300" i="3"/>
  <c r="M300" i="3" s="1"/>
  <c r="J301" i="3"/>
  <c r="M301" i="3" s="1"/>
  <c r="J302" i="3"/>
  <c r="M302" i="3" s="1"/>
  <c r="J303" i="3"/>
  <c r="M303" i="3" s="1"/>
  <c r="J304" i="3"/>
  <c r="M304" i="3" s="1"/>
  <c r="J305" i="3"/>
  <c r="M305" i="3" s="1"/>
  <c r="J306" i="3"/>
  <c r="M306" i="3" s="1"/>
  <c r="J307" i="3"/>
  <c r="M307" i="3" s="1"/>
  <c r="J308" i="3"/>
  <c r="M308" i="3" s="1"/>
  <c r="J309" i="3"/>
  <c r="M309" i="3" s="1"/>
  <c r="J310" i="3"/>
  <c r="M310" i="3" s="1"/>
  <c r="J311" i="3"/>
  <c r="M311" i="3" s="1"/>
  <c r="J312" i="3"/>
  <c r="M312" i="3" s="1"/>
  <c r="J313" i="3"/>
  <c r="M313" i="3" s="1"/>
  <c r="J314" i="3"/>
  <c r="M314" i="3" s="1"/>
  <c r="J315" i="3"/>
  <c r="M315" i="3" s="1"/>
  <c r="J316" i="3"/>
  <c r="M316" i="3" s="1"/>
  <c r="J317" i="3"/>
  <c r="M317" i="3" s="1"/>
  <c r="J318" i="3"/>
  <c r="M318" i="3" s="1"/>
  <c r="J319" i="3"/>
  <c r="M319" i="3" s="1"/>
  <c r="J320" i="3"/>
  <c r="M320" i="3" s="1"/>
  <c r="J321" i="3"/>
  <c r="M321" i="3" s="1"/>
  <c r="J322" i="3"/>
  <c r="M322" i="3" s="1"/>
  <c r="J323" i="3"/>
  <c r="M323" i="3" s="1"/>
  <c r="J324" i="3"/>
  <c r="M324" i="3" s="1"/>
  <c r="J325" i="3"/>
  <c r="M325" i="3" s="1"/>
  <c r="J326" i="3"/>
  <c r="M326" i="3" s="1"/>
  <c r="J327" i="3"/>
  <c r="M327" i="3" s="1"/>
  <c r="J328" i="3"/>
  <c r="M328" i="3" s="1"/>
  <c r="J329" i="3"/>
  <c r="M329" i="3" s="1"/>
  <c r="J330" i="3"/>
  <c r="M330" i="3" s="1"/>
  <c r="J331" i="3"/>
  <c r="M331" i="3" s="1"/>
  <c r="J332" i="3"/>
  <c r="M332" i="3" s="1"/>
  <c r="J333" i="3"/>
  <c r="M333" i="3" s="1"/>
  <c r="J334" i="3"/>
  <c r="M334" i="3" s="1"/>
  <c r="J335" i="3"/>
  <c r="M335" i="3" s="1"/>
  <c r="J336" i="3"/>
  <c r="M336" i="3" s="1"/>
  <c r="J337" i="3"/>
  <c r="M337" i="3" s="1"/>
  <c r="J338" i="3"/>
  <c r="M338" i="3" s="1"/>
  <c r="J339" i="3"/>
  <c r="M339" i="3" s="1"/>
  <c r="J340" i="3"/>
  <c r="M340" i="3" s="1"/>
  <c r="J341" i="3"/>
  <c r="M341" i="3" s="1"/>
  <c r="J342" i="3"/>
  <c r="M342" i="3" s="1"/>
  <c r="J343" i="3"/>
  <c r="M343" i="3" s="1"/>
  <c r="J344" i="3"/>
  <c r="M344" i="3" s="1"/>
  <c r="J345" i="3"/>
  <c r="M345" i="3" s="1"/>
  <c r="J346" i="3"/>
  <c r="M346" i="3" s="1"/>
  <c r="J347" i="3"/>
  <c r="M347" i="3" s="1"/>
  <c r="J348" i="3"/>
  <c r="M348" i="3" s="1"/>
  <c r="J349" i="3"/>
  <c r="M349" i="3" s="1"/>
  <c r="J350" i="3"/>
  <c r="M350" i="3" s="1"/>
  <c r="J351" i="3"/>
  <c r="M351" i="3" s="1"/>
  <c r="J352" i="3"/>
  <c r="M352" i="3" s="1"/>
  <c r="J353" i="3"/>
  <c r="M353" i="3" s="1"/>
  <c r="J354" i="3"/>
  <c r="M354" i="3" s="1"/>
  <c r="J355" i="3"/>
  <c r="M355" i="3" s="1"/>
  <c r="J356" i="3"/>
  <c r="M356" i="3" s="1"/>
  <c r="J357" i="3"/>
  <c r="M357" i="3" s="1"/>
  <c r="J358" i="3"/>
  <c r="M358" i="3" s="1"/>
  <c r="J359" i="3"/>
  <c r="M359" i="3" s="1"/>
  <c r="J360" i="3"/>
  <c r="M360" i="3" s="1"/>
  <c r="J361" i="3"/>
  <c r="M361" i="3" s="1"/>
  <c r="J362" i="3"/>
  <c r="M362" i="3" s="1"/>
  <c r="J363" i="3"/>
  <c r="M363" i="3" s="1"/>
  <c r="J364" i="3"/>
  <c r="M364" i="3" s="1"/>
  <c r="J365" i="3"/>
  <c r="M365" i="3" s="1"/>
  <c r="J366" i="3"/>
  <c r="M366" i="3" s="1"/>
  <c r="J367" i="3"/>
  <c r="M367" i="3" s="1"/>
  <c r="J368" i="3"/>
  <c r="M368" i="3" s="1"/>
  <c r="J369" i="3"/>
  <c r="M369" i="3" s="1"/>
  <c r="J370" i="3"/>
  <c r="M370" i="3" s="1"/>
  <c r="J371" i="3"/>
  <c r="M371" i="3" s="1"/>
  <c r="J372" i="3"/>
  <c r="M372" i="3" s="1"/>
  <c r="J373" i="3"/>
  <c r="M373" i="3" s="1"/>
  <c r="J374" i="3"/>
  <c r="M374" i="3" s="1"/>
  <c r="J375" i="3"/>
  <c r="M375" i="3" s="1"/>
  <c r="J376" i="3"/>
  <c r="M376" i="3" s="1"/>
  <c r="J377" i="3"/>
  <c r="M377" i="3" s="1"/>
  <c r="J378" i="3"/>
  <c r="M378" i="3" s="1"/>
  <c r="J379" i="3"/>
  <c r="M379" i="3" s="1"/>
  <c r="J380" i="3"/>
  <c r="M380" i="3" s="1"/>
  <c r="J381" i="3"/>
  <c r="M381" i="3" s="1"/>
  <c r="J382" i="3"/>
  <c r="M382" i="3" s="1"/>
  <c r="J383" i="3"/>
  <c r="M383" i="3" s="1"/>
  <c r="J384" i="3"/>
  <c r="M384" i="3" s="1"/>
  <c r="J385" i="3"/>
  <c r="M385" i="3" s="1"/>
  <c r="J386" i="3"/>
  <c r="M386" i="3" s="1"/>
  <c r="J387" i="3"/>
  <c r="M387" i="3" s="1"/>
  <c r="J388" i="3"/>
  <c r="M388" i="3" s="1"/>
  <c r="J389" i="3"/>
  <c r="M389" i="3" s="1"/>
  <c r="J390" i="3"/>
  <c r="M390" i="3" s="1"/>
  <c r="J391" i="3"/>
  <c r="M391" i="3" s="1"/>
  <c r="J392" i="3"/>
  <c r="M392" i="3" s="1"/>
  <c r="J393" i="3"/>
  <c r="M393" i="3" s="1"/>
  <c r="J394" i="3"/>
  <c r="M394" i="3" s="1"/>
  <c r="J395" i="3"/>
  <c r="M395" i="3" s="1"/>
  <c r="J396" i="3"/>
  <c r="M396" i="3" s="1"/>
  <c r="J397" i="3"/>
  <c r="M397" i="3" s="1"/>
  <c r="J398" i="3"/>
  <c r="M398" i="3" s="1"/>
  <c r="J399" i="3"/>
  <c r="M399" i="3" s="1"/>
  <c r="J400" i="3"/>
  <c r="M400" i="3" s="1"/>
  <c r="J401" i="3"/>
  <c r="M401" i="3" s="1"/>
  <c r="J402" i="3"/>
  <c r="M402" i="3" s="1"/>
  <c r="J403" i="3"/>
  <c r="M403" i="3" s="1"/>
  <c r="J404" i="3"/>
  <c r="M404" i="3" s="1"/>
  <c r="J405" i="3"/>
  <c r="M405" i="3" s="1"/>
  <c r="J406" i="3"/>
  <c r="M406" i="3" s="1"/>
  <c r="J407" i="3"/>
  <c r="M407" i="3" s="1"/>
  <c r="J408" i="3"/>
  <c r="M408" i="3" s="1"/>
  <c r="J409" i="3"/>
  <c r="M409" i="3" s="1"/>
  <c r="J410" i="3"/>
  <c r="M410" i="3" s="1"/>
  <c r="J411" i="3"/>
  <c r="M411" i="3" s="1"/>
  <c r="J412" i="3"/>
  <c r="M412" i="3" s="1"/>
  <c r="J413" i="3"/>
  <c r="M413" i="3" s="1"/>
  <c r="J414" i="3"/>
  <c r="M414" i="3" s="1"/>
  <c r="J415" i="3"/>
  <c r="M415" i="3" s="1"/>
  <c r="J416" i="3"/>
  <c r="M416" i="3" s="1"/>
  <c r="J417" i="3"/>
  <c r="M417" i="3" s="1"/>
  <c r="J418" i="3"/>
  <c r="M418" i="3" s="1"/>
  <c r="J419" i="3"/>
  <c r="M419" i="3" s="1"/>
  <c r="J420" i="3"/>
  <c r="M420" i="3" s="1"/>
  <c r="J421" i="3"/>
  <c r="M421" i="3" s="1"/>
  <c r="J422" i="3"/>
  <c r="M422" i="3" s="1"/>
  <c r="J423" i="3"/>
  <c r="M423" i="3" s="1"/>
  <c r="J424" i="3"/>
  <c r="M424" i="3" s="1"/>
  <c r="J425" i="3"/>
  <c r="M425" i="3" s="1"/>
  <c r="J426" i="3"/>
  <c r="M426" i="3" s="1"/>
  <c r="J427" i="3"/>
  <c r="M427" i="3" s="1"/>
  <c r="J428" i="3"/>
  <c r="M428" i="3" s="1"/>
  <c r="J429" i="3"/>
  <c r="M429" i="3" s="1"/>
  <c r="J430" i="3"/>
  <c r="M430" i="3" s="1"/>
  <c r="J431" i="3"/>
  <c r="M431" i="3" s="1"/>
  <c r="J432" i="3"/>
  <c r="M432" i="3" s="1"/>
  <c r="J433" i="3"/>
  <c r="M433" i="3" s="1"/>
  <c r="J434" i="3"/>
  <c r="M434" i="3" s="1"/>
  <c r="J435" i="3"/>
  <c r="M435" i="3" s="1"/>
  <c r="J436" i="3"/>
  <c r="M436" i="3" s="1"/>
  <c r="J437" i="3"/>
  <c r="M437" i="3" s="1"/>
  <c r="J438" i="3"/>
  <c r="M438" i="3" s="1"/>
  <c r="J439" i="3"/>
  <c r="M439" i="3" s="1"/>
  <c r="J440" i="3"/>
  <c r="M440" i="3" s="1"/>
  <c r="J441" i="3"/>
  <c r="M441" i="3" s="1"/>
  <c r="J442" i="3"/>
  <c r="M442" i="3" s="1"/>
  <c r="J443" i="3"/>
  <c r="M443" i="3" s="1"/>
  <c r="J444" i="3"/>
  <c r="M444" i="3" s="1"/>
  <c r="J445" i="3"/>
  <c r="M445" i="3" s="1"/>
  <c r="J446" i="3"/>
  <c r="M446" i="3" s="1"/>
  <c r="J447" i="3"/>
  <c r="M447" i="3" s="1"/>
  <c r="J448" i="3"/>
  <c r="M448" i="3" s="1"/>
  <c r="J449" i="3"/>
  <c r="M449" i="3" s="1"/>
  <c r="J450" i="3"/>
  <c r="M450" i="3" s="1"/>
  <c r="J451" i="3"/>
  <c r="M451" i="3" s="1"/>
  <c r="J452" i="3"/>
  <c r="M452" i="3" s="1"/>
  <c r="J453" i="3"/>
  <c r="M453" i="3" s="1"/>
  <c r="J454" i="3"/>
  <c r="M454" i="3" s="1"/>
  <c r="J455" i="3"/>
  <c r="M455" i="3" s="1"/>
  <c r="J456" i="3"/>
  <c r="M456" i="3" s="1"/>
  <c r="J457" i="3"/>
  <c r="M457" i="3" s="1"/>
  <c r="J458" i="3"/>
  <c r="M458" i="3" s="1"/>
  <c r="J459" i="3"/>
  <c r="M459" i="3" s="1"/>
  <c r="J460" i="3"/>
  <c r="M460" i="3" s="1"/>
  <c r="J461" i="3"/>
  <c r="M461" i="3" s="1"/>
  <c r="J462" i="3"/>
  <c r="M462" i="3" s="1"/>
  <c r="J463" i="3"/>
  <c r="M463" i="3" s="1"/>
  <c r="J464" i="3"/>
  <c r="M464" i="3" s="1"/>
  <c r="J465" i="3"/>
  <c r="M465" i="3" s="1"/>
  <c r="J466" i="3"/>
  <c r="M466" i="3" s="1"/>
  <c r="J467" i="3"/>
  <c r="M467" i="3" s="1"/>
  <c r="J468" i="3"/>
  <c r="M468" i="3" s="1"/>
  <c r="J469" i="3"/>
  <c r="M469" i="3" s="1"/>
  <c r="J470" i="3"/>
  <c r="M470" i="3" s="1"/>
  <c r="J471" i="3"/>
  <c r="M471" i="3" s="1"/>
  <c r="J472" i="3"/>
  <c r="M472" i="3" s="1"/>
  <c r="J473" i="3"/>
  <c r="M473" i="3" s="1"/>
  <c r="J474" i="3"/>
  <c r="M474" i="3" s="1"/>
  <c r="J475" i="3"/>
  <c r="M475" i="3" s="1"/>
  <c r="J476" i="3"/>
  <c r="M476" i="3" s="1"/>
  <c r="J477" i="3"/>
  <c r="M477" i="3" s="1"/>
  <c r="J478" i="3"/>
  <c r="M478" i="3" s="1"/>
  <c r="J479" i="3"/>
  <c r="M479" i="3" s="1"/>
  <c r="J480" i="3"/>
  <c r="M480" i="3" s="1"/>
  <c r="J481" i="3"/>
  <c r="M481" i="3" s="1"/>
  <c r="J482" i="3"/>
  <c r="M482" i="3" s="1"/>
  <c r="J483" i="3"/>
  <c r="M483" i="3" s="1"/>
  <c r="J484" i="3"/>
  <c r="M484" i="3" s="1"/>
  <c r="J485" i="3"/>
  <c r="M485" i="3" s="1"/>
  <c r="J486" i="3"/>
  <c r="M486" i="3" s="1"/>
  <c r="J487" i="3"/>
  <c r="M487" i="3" s="1"/>
  <c r="J488" i="3"/>
  <c r="M488" i="3" s="1"/>
  <c r="J489" i="3"/>
  <c r="M489" i="3" s="1"/>
  <c r="J490" i="3"/>
  <c r="M490" i="3" s="1"/>
  <c r="J491" i="3"/>
  <c r="M491" i="3" s="1"/>
  <c r="J492" i="3"/>
  <c r="M492" i="3" s="1"/>
  <c r="J493" i="3"/>
  <c r="M493" i="3" s="1"/>
  <c r="J494" i="3"/>
  <c r="M494" i="3" s="1"/>
  <c r="J495" i="3"/>
  <c r="M495" i="3" s="1"/>
  <c r="J496" i="3"/>
  <c r="M496" i="3" s="1"/>
  <c r="J497" i="3"/>
  <c r="M497" i="3" s="1"/>
  <c r="J498" i="3"/>
  <c r="M498" i="3" s="1"/>
  <c r="J499" i="3"/>
  <c r="M499" i="3" s="1"/>
  <c r="J500" i="3"/>
  <c r="M500" i="3" s="1"/>
  <c r="J501" i="3"/>
  <c r="M501" i="3" s="1"/>
  <c r="J502" i="3"/>
  <c r="M502" i="3" s="1"/>
  <c r="J503" i="3"/>
  <c r="M503" i="3" s="1"/>
  <c r="J504" i="3"/>
  <c r="M504" i="3" s="1"/>
  <c r="J505" i="3"/>
  <c r="M505" i="3" s="1"/>
  <c r="J506" i="3"/>
  <c r="M506" i="3" s="1"/>
  <c r="J507" i="3"/>
  <c r="M507" i="3" s="1"/>
  <c r="J508" i="3"/>
  <c r="M508" i="3" s="1"/>
  <c r="J509" i="3"/>
  <c r="M509" i="3" s="1"/>
  <c r="J510" i="3"/>
  <c r="M510" i="3" s="1"/>
  <c r="J511" i="3"/>
  <c r="M511" i="3" s="1"/>
  <c r="J512" i="3"/>
  <c r="M512" i="3" s="1"/>
  <c r="J513" i="3"/>
  <c r="M513" i="3" s="1"/>
  <c r="J514" i="3"/>
  <c r="M514" i="3" s="1"/>
  <c r="J515" i="3"/>
  <c r="M515" i="3" s="1"/>
  <c r="J516" i="3"/>
  <c r="M516" i="3" s="1"/>
  <c r="J517" i="3"/>
  <c r="M517" i="3" s="1"/>
  <c r="J518" i="3"/>
  <c r="M518" i="3" s="1"/>
  <c r="J519" i="3"/>
  <c r="M519" i="3" s="1"/>
  <c r="J520" i="3"/>
  <c r="M520" i="3" s="1"/>
  <c r="J521" i="3"/>
  <c r="M521" i="3" s="1"/>
  <c r="J522" i="3"/>
  <c r="M522" i="3" s="1"/>
  <c r="J523" i="3"/>
  <c r="M523" i="3" s="1"/>
  <c r="J524" i="3"/>
  <c r="M524" i="3" s="1"/>
  <c r="J525" i="3"/>
  <c r="M525" i="3" s="1"/>
  <c r="J526" i="3"/>
  <c r="M526" i="3" s="1"/>
  <c r="J527" i="3"/>
  <c r="M527" i="3" s="1"/>
  <c r="J528" i="3"/>
  <c r="M528" i="3" s="1"/>
  <c r="J529" i="3"/>
  <c r="M529" i="3" s="1"/>
  <c r="J530" i="3"/>
  <c r="M530" i="3" s="1"/>
  <c r="J531" i="3"/>
  <c r="M531" i="3" s="1"/>
  <c r="J532" i="3"/>
  <c r="M532" i="3" s="1"/>
  <c r="J533" i="3"/>
  <c r="M533" i="3" s="1"/>
  <c r="J534" i="3"/>
  <c r="M534" i="3" s="1"/>
  <c r="J535" i="3"/>
  <c r="M535" i="3" s="1"/>
  <c r="J536" i="3"/>
  <c r="M536" i="3" s="1"/>
  <c r="J537" i="3"/>
  <c r="M537" i="3" s="1"/>
  <c r="J538" i="3"/>
  <c r="M538" i="3" s="1"/>
  <c r="J539" i="3"/>
  <c r="M539" i="3" s="1"/>
  <c r="J540" i="3"/>
  <c r="M540" i="3" s="1"/>
  <c r="J541" i="3"/>
  <c r="M541" i="3" s="1"/>
  <c r="J542" i="3"/>
  <c r="M542" i="3" s="1"/>
  <c r="J543" i="3"/>
  <c r="M543" i="3" s="1"/>
  <c r="J544" i="3"/>
  <c r="M544" i="3" s="1"/>
  <c r="J545" i="3"/>
  <c r="M545" i="3" s="1"/>
  <c r="J546" i="3"/>
  <c r="M546" i="3" s="1"/>
  <c r="J547" i="3"/>
  <c r="M547" i="3" s="1"/>
  <c r="J548" i="3"/>
  <c r="M548" i="3" s="1"/>
  <c r="J549" i="3"/>
  <c r="M549" i="3" s="1"/>
  <c r="J550" i="3"/>
  <c r="M550" i="3" s="1"/>
  <c r="J551" i="3"/>
  <c r="M551" i="3" s="1"/>
  <c r="J552" i="3"/>
  <c r="M552" i="3" s="1"/>
  <c r="J553" i="3"/>
  <c r="M553" i="3" s="1"/>
  <c r="J554" i="3"/>
  <c r="M554" i="3" s="1"/>
  <c r="J555" i="3"/>
  <c r="M555" i="3" s="1"/>
  <c r="J556" i="3"/>
  <c r="M556" i="3" s="1"/>
  <c r="J557" i="3"/>
  <c r="M557" i="3" s="1"/>
  <c r="J558" i="3"/>
  <c r="M558" i="3" s="1"/>
  <c r="J559" i="3"/>
  <c r="M559" i="3" s="1"/>
  <c r="J560" i="3"/>
  <c r="M560" i="3" s="1"/>
  <c r="J561" i="3"/>
  <c r="M561" i="3" s="1"/>
  <c r="J562" i="3"/>
  <c r="M562" i="3" s="1"/>
  <c r="J563" i="3"/>
  <c r="M563" i="3" s="1"/>
  <c r="J564" i="3"/>
  <c r="M564" i="3" s="1"/>
  <c r="J565" i="3"/>
  <c r="M565" i="3" s="1"/>
  <c r="J566" i="3"/>
  <c r="M566" i="3" s="1"/>
  <c r="J567" i="3"/>
  <c r="M567" i="3" s="1"/>
  <c r="J568" i="3"/>
  <c r="M568" i="3" s="1"/>
  <c r="J569" i="3"/>
  <c r="M569" i="3" s="1"/>
  <c r="J570" i="3"/>
  <c r="M570" i="3" s="1"/>
  <c r="J571" i="3"/>
  <c r="M571" i="3" s="1"/>
  <c r="J572" i="3"/>
  <c r="M572" i="3" s="1"/>
  <c r="J573" i="3"/>
  <c r="M573" i="3" s="1"/>
  <c r="J574" i="3"/>
  <c r="M574" i="3" s="1"/>
  <c r="J575" i="3"/>
  <c r="M575" i="3" s="1"/>
  <c r="J576" i="3"/>
  <c r="M576" i="3" s="1"/>
  <c r="J577" i="3"/>
  <c r="M577" i="3" s="1"/>
  <c r="J578" i="3"/>
  <c r="M578" i="3" s="1"/>
  <c r="J579" i="3"/>
  <c r="M579" i="3" s="1"/>
  <c r="J580" i="3"/>
  <c r="M580" i="3" s="1"/>
  <c r="J581" i="3"/>
  <c r="M581" i="3" s="1"/>
  <c r="J582" i="3"/>
  <c r="M582" i="3" s="1"/>
  <c r="J583" i="3"/>
  <c r="M583" i="3" s="1"/>
  <c r="J584" i="3"/>
  <c r="M584" i="3" s="1"/>
  <c r="J585" i="3"/>
  <c r="M585" i="3" s="1"/>
  <c r="J586" i="3"/>
  <c r="M586" i="3" s="1"/>
  <c r="J587" i="3"/>
  <c r="M587" i="3" s="1"/>
  <c r="J588" i="3"/>
  <c r="M588" i="3" s="1"/>
  <c r="J589" i="3"/>
  <c r="M589" i="3" s="1"/>
  <c r="J590" i="3"/>
  <c r="M590" i="3" s="1"/>
  <c r="J591" i="3"/>
  <c r="M591" i="3" s="1"/>
  <c r="J592" i="3"/>
  <c r="M592" i="3" s="1"/>
  <c r="J593" i="3"/>
  <c r="M593" i="3" s="1"/>
  <c r="J594" i="3"/>
  <c r="M594" i="3" s="1"/>
  <c r="J595" i="3"/>
  <c r="M595" i="3" s="1"/>
  <c r="J596" i="3"/>
  <c r="M596" i="3" s="1"/>
  <c r="J597" i="3"/>
  <c r="M597" i="3" s="1"/>
  <c r="J598" i="3"/>
  <c r="M598" i="3" s="1"/>
  <c r="J599" i="3"/>
  <c r="M599" i="3" s="1"/>
  <c r="J600" i="3"/>
  <c r="M600" i="3" s="1"/>
  <c r="J601" i="3"/>
  <c r="M601" i="3" s="1"/>
  <c r="J602" i="3"/>
  <c r="M602" i="3" s="1"/>
  <c r="J603" i="3"/>
  <c r="M603" i="3" s="1"/>
  <c r="J604" i="3"/>
  <c r="M604" i="3" s="1"/>
  <c r="J605" i="3"/>
  <c r="M605" i="3" s="1"/>
  <c r="J606" i="3"/>
  <c r="M606" i="3" s="1"/>
  <c r="J607" i="3"/>
  <c r="M607" i="3" s="1"/>
  <c r="J608" i="3"/>
  <c r="M608" i="3" s="1"/>
  <c r="J609" i="3"/>
  <c r="M609" i="3" s="1"/>
  <c r="J610" i="3"/>
  <c r="M610" i="3" s="1"/>
  <c r="J611" i="3"/>
  <c r="M611" i="3" s="1"/>
  <c r="J612" i="3"/>
  <c r="M612" i="3" s="1"/>
  <c r="J613" i="3"/>
  <c r="M613" i="3" s="1"/>
  <c r="J614" i="3"/>
  <c r="M614" i="3" s="1"/>
  <c r="J615" i="3"/>
  <c r="M615" i="3" s="1"/>
  <c r="J616" i="3"/>
  <c r="M616" i="3" s="1"/>
  <c r="J617" i="3"/>
  <c r="M617" i="3" s="1"/>
  <c r="J618" i="3"/>
  <c r="M618" i="3" s="1"/>
  <c r="J619" i="3"/>
  <c r="M619" i="3" s="1"/>
  <c r="J620" i="3"/>
  <c r="M620" i="3" s="1"/>
  <c r="J621" i="3"/>
  <c r="M621" i="3" s="1"/>
  <c r="J622" i="3"/>
  <c r="M622" i="3" s="1"/>
  <c r="J623" i="3"/>
  <c r="M623" i="3" s="1"/>
  <c r="J624" i="3"/>
  <c r="M624" i="3" s="1"/>
  <c r="J625" i="3"/>
  <c r="M625" i="3" s="1"/>
  <c r="J2" i="3"/>
  <c r="M2" i="3" s="1"/>
  <c r="I3" i="3"/>
  <c r="L3" i="3" s="1"/>
  <c r="I4" i="3"/>
  <c r="L4" i="3" s="1"/>
  <c r="I5" i="3"/>
  <c r="L5" i="3" s="1"/>
  <c r="I6" i="3"/>
  <c r="L6" i="3" s="1"/>
  <c r="I7" i="3"/>
  <c r="L7" i="3" s="1"/>
  <c r="I8" i="3"/>
  <c r="L8" i="3" s="1"/>
  <c r="I9" i="3"/>
  <c r="L9" i="3" s="1"/>
  <c r="I10" i="3"/>
  <c r="L10" i="3" s="1"/>
  <c r="I11" i="3"/>
  <c r="L11" i="3" s="1"/>
  <c r="I12" i="3"/>
  <c r="L12" i="3" s="1"/>
  <c r="I13" i="3"/>
  <c r="L13" i="3" s="1"/>
  <c r="I14" i="3"/>
  <c r="L14" i="3" s="1"/>
  <c r="I15" i="3"/>
  <c r="L15" i="3" s="1"/>
  <c r="I16" i="3"/>
  <c r="L16" i="3" s="1"/>
  <c r="I17" i="3"/>
  <c r="L17" i="3" s="1"/>
  <c r="I18" i="3"/>
  <c r="L18" i="3" s="1"/>
  <c r="I19" i="3"/>
  <c r="L19" i="3" s="1"/>
  <c r="I20" i="3"/>
  <c r="L20" i="3" s="1"/>
  <c r="I21" i="3"/>
  <c r="L21" i="3" s="1"/>
  <c r="I22" i="3"/>
  <c r="L22" i="3" s="1"/>
  <c r="I23" i="3"/>
  <c r="L23" i="3" s="1"/>
  <c r="I24" i="3"/>
  <c r="L24" i="3" s="1"/>
  <c r="I25" i="3"/>
  <c r="L25" i="3" s="1"/>
  <c r="I26" i="3"/>
  <c r="L26" i="3" s="1"/>
  <c r="I27" i="3"/>
  <c r="L27" i="3" s="1"/>
  <c r="I28" i="3"/>
  <c r="L28" i="3" s="1"/>
  <c r="I29" i="3"/>
  <c r="L29" i="3" s="1"/>
  <c r="I30" i="3"/>
  <c r="L30" i="3" s="1"/>
  <c r="I31" i="3"/>
  <c r="L31" i="3" s="1"/>
  <c r="I32" i="3"/>
  <c r="L32" i="3" s="1"/>
  <c r="I33" i="3"/>
  <c r="L33" i="3" s="1"/>
  <c r="I34" i="3"/>
  <c r="L34" i="3" s="1"/>
  <c r="I35" i="3"/>
  <c r="L35" i="3" s="1"/>
  <c r="I36" i="3"/>
  <c r="L36" i="3" s="1"/>
  <c r="I37" i="3"/>
  <c r="L37" i="3" s="1"/>
  <c r="I38" i="3"/>
  <c r="L38" i="3" s="1"/>
  <c r="I39" i="3"/>
  <c r="L39" i="3" s="1"/>
  <c r="I40" i="3"/>
  <c r="L40" i="3" s="1"/>
  <c r="I41" i="3"/>
  <c r="L41" i="3" s="1"/>
  <c r="I42" i="3"/>
  <c r="L42" i="3" s="1"/>
  <c r="I43" i="3"/>
  <c r="L43" i="3" s="1"/>
  <c r="I44" i="3"/>
  <c r="L44" i="3" s="1"/>
  <c r="I45" i="3"/>
  <c r="L45" i="3" s="1"/>
  <c r="I46" i="3"/>
  <c r="L46" i="3" s="1"/>
  <c r="I47" i="3"/>
  <c r="L47" i="3" s="1"/>
  <c r="I48" i="3"/>
  <c r="L48" i="3" s="1"/>
  <c r="I49" i="3"/>
  <c r="L49" i="3" s="1"/>
  <c r="I50" i="3"/>
  <c r="L50" i="3" s="1"/>
  <c r="I51" i="3"/>
  <c r="L51" i="3" s="1"/>
  <c r="I52" i="3"/>
  <c r="L52" i="3" s="1"/>
  <c r="I53" i="3"/>
  <c r="L53" i="3" s="1"/>
  <c r="I54" i="3"/>
  <c r="L54" i="3" s="1"/>
  <c r="I55" i="3"/>
  <c r="L55" i="3" s="1"/>
  <c r="I56" i="3"/>
  <c r="L56" i="3" s="1"/>
  <c r="I57" i="3"/>
  <c r="L57" i="3" s="1"/>
  <c r="I58" i="3"/>
  <c r="L58" i="3" s="1"/>
  <c r="I59" i="3"/>
  <c r="L59" i="3" s="1"/>
  <c r="I60" i="3"/>
  <c r="L60" i="3" s="1"/>
  <c r="I61" i="3"/>
  <c r="L61" i="3" s="1"/>
  <c r="I62" i="3"/>
  <c r="L62" i="3" s="1"/>
  <c r="I63" i="3"/>
  <c r="L63" i="3" s="1"/>
  <c r="I64" i="3"/>
  <c r="L64" i="3" s="1"/>
  <c r="I65" i="3"/>
  <c r="L65" i="3" s="1"/>
  <c r="I66" i="3"/>
  <c r="L66" i="3" s="1"/>
  <c r="I67" i="3"/>
  <c r="L67" i="3" s="1"/>
  <c r="I68" i="3"/>
  <c r="L68" i="3" s="1"/>
  <c r="I69" i="3"/>
  <c r="L69" i="3" s="1"/>
  <c r="I70" i="3"/>
  <c r="L70" i="3" s="1"/>
  <c r="I71" i="3"/>
  <c r="L71" i="3" s="1"/>
  <c r="I72" i="3"/>
  <c r="L72" i="3" s="1"/>
  <c r="I73" i="3"/>
  <c r="L73" i="3" s="1"/>
  <c r="I74" i="3"/>
  <c r="L74" i="3" s="1"/>
  <c r="I75" i="3"/>
  <c r="L75" i="3" s="1"/>
  <c r="I76" i="3"/>
  <c r="L76" i="3" s="1"/>
  <c r="I77" i="3"/>
  <c r="L77" i="3" s="1"/>
  <c r="I78" i="3"/>
  <c r="L78" i="3" s="1"/>
  <c r="I79" i="3"/>
  <c r="L79" i="3" s="1"/>
  <c r="I80" i="3"/>
  <c r="L80" i="3" s="1"/>
  <c r="I81" i="3"/>
  <c r="L81" i="3" s="1"/>
  <c r="I82" i="3"/>
  <c r="L82" i="3" s="1"/>
  <c r="I83" i="3"/>
  <c r="L83" i="3" s="1"/>
  <c r="I84" i="3"/>
  <c r="L84" i="3" s="1"/>
  <c r="I85" i="3"/>
  <c r="L85" i="3" s="1"/>
  <c r="I86" i="3"/>
  <c r="L86" i="3" s="1"/>
  <c r="I87" i="3"/>
  <c r="L87" i="3" s="1"/>
  <c r="I88" i="3"/>
  <c r="L88" i="3" s="1"/>
  <c r="I89" i="3"/>
  <c r="L89" i="3" s="1"/>
  <c r="I90" i="3"/>
  <c r="L90" i="3" s="1"/>
  <c r="I91" i="3"/>
  <c r="L91" i="3" s="1"/>
  <c r="I92" i="3"/>
  <c r="L92" i="3" s="1"/>
  <c r="I93" i="3"/>
  <c r="L93" i="3" s="1"/>
  <c r="I94" i="3"/>
  <c r="L94" i="3" s="1"/>
  <c r="I95" i="3"/>
  <c r="L95" i="3" s="1"/>
  <c r="I96" i="3"/>
  <c r="L96" i="3" s="1"/>
  <c r="I97" i="3"/>
  <c r="L97" i="3" s="1"/>
  <c r="I98" i="3"/>
  <c r="L98" i="3" s="1"/>
  <c r="I99" i="3"/>
  <c r="L99" i="3" s="1"/>
  <c r="I100" i="3"/>
  <c r="L100" i="3" s="1"/>
  <c r="I101" i="3"/>
  <c r="L101" i="3" s="1"/>
  <c r="I102" i="3"/>
  <c r="L102" i="3" s="1"/>
  <c r="I103" i="3"/>
  <c r="L103" i="3" s="1"/>
  <c r="I104" i="3"/>
  <c r="L104" i="3" s="1"/>
  <c r="I105" i="3"/>
  <c r="L105" i="3" s="1"/>
  <c r="I106" i="3"/>
  <c r="L106" i="3" s="1"/>
  <c r="I107" i="3"/>
  <c r="L107" i="3" s="1"/>
  <c r="I108" i="3"/>
  <c r="L108" i="3" s="1"/>
  <c r="I109" i="3"/>
  <c r="L109" i="3" s="1"/>
  <c r="I110" i="3"/>
  <c r="L110" i="3" s="1"/>
  <c r="I111" i="3"/>
  <c r="L111" i="3" s="1"/>
  <c r="I112" i="3"/>
  <c r="L112" i="3" s="1"/>
  <c r="I113" i="3"/>
  <c r="L113" i="3" s="1"/>
  <c r="I114" i="3"/>
  <c r="L114" i="3" s="1"/>
  <c r="I115" i="3"/>
  <c r="L115" i="3" s="1"/>
  <c r="I116" i="3"/>
  <c r="L116" i="3" s="1"/>
  <c r="I117" i="3"/>
  <c r="L117" i="3" s="1"/>
  <c r="I118" i="3"/>
  <c r="L118" i="3" s="1"/>
  <c r="I119" i="3"/>
  <c r="L119" i="3" s="1"/>
  <c r="I120" i="3"/>
  <c r="L120" i="3" s="1"/>
  <c r="I121" i="3"/>
  <c r="L121" i="3" s="1"/>
  <c r="I122" i="3"/>
  <c r="L122" i="3" s="1"/>
  <c r="I123" i="3"/>
  <c r="L123" i="3" s="1"/>
  <c r="I124" i="3"/>
  <c r="L124" i="3" s="1"/>
  <c r="I125" i="3"/>
  <c r="L125" i="3" s="1"/>
  <c r="I126" i="3"/>
  <c r="L126" i="3" s="1"/>
  <c r="I127" i="3"/>
  <c r="L127" i="3" s="1"/>
  <c r="I128" i="3"/>
  <c r="L128" i="3" s="1"/>
  <c r="I129" i="3"/>
  <c r="L129" i="3" s="1"/>
  <c r="I130" i="3"/>
  <c r="L130" i="3" s="1"/>
  <c r="I131" i="3"/>
  <c r="L131" i="3" s="1"/>
  <c r="I132" i="3"/>
  <c r="L132" i="3" s="1"/>
  <c r="I133" i="3"/>
  <c r="L133" i="3" s="1"/>
  <c r="I134" i="3"/>
  <c r="L134" i="3" s="1"/>
  <c r="I135" i="3"/>
  <c r="L135" i="3" s="1"/>
  <c r="I136" i="3"/>
  <c r="L136" i="3" s="1"/>
  <c r="I137" i="3"/>
  <c r="L137" i="3" s="1"/>
  <c r="I138" i="3"/>
  <c r="L138" i="3" s="1"/>
  <c r="I139" i="3"/>
  <c r="L139" i="3" s="1"/>
  <c r="I140" i="3"/>
  <c r="L140" i="3" s="1"/>
  <c r="I141" i="3"/>
  <c r="L141" i="3" s="1"/>
  <c r="I142" i="3"/>
  <c r="L142" i="3" s="1"/>
  <c r="I143" i="3"/>
  <c r="L143" i="3" s="1"/>
  <c r="I144" i="3"/>
  <c r="L144" i="3" s="1"/>
  <c r="I145" i="3"/>
  <c r="L145" i="3" s="1"/>
  <c r="I146" i="3"/>
  <c r="L146" i="3" s="1"/>
  <c r="I147" i="3"/>
  <c r="L147" i="3" s="1"/>
  <c r="I148" i="3"/>
  <c r="L148" i="3" s="1"/>
  <c r="I149" i="3"/>
  <c r="L149" i="3" s="1"/>
  <c r="I150" i="3"/>
  <c r="L150" i="3" s="1"/>
  <c r="I151" i="3"/>
  <c r="L151" i="3" s="1"/>
  <c r="I152" i="3"/>
  <c r="L152" i="3" s="1"/>
  <c r="I153" i="3"/>
  <c r="L153" i="3" s="1"/>
  <c r="I154" i="3"/>
  <c r="L154" i="3" s="1"/>
  <c r="I155" i="3"/>
  <c r="L155" i="3" s="1"/>
  <c r="I156" i="3"/>
  <c r="L156" i="3" s="1"/>
  <c r="I157" i="3"/>
  <c r="L157" i="3" s="1"/>
  <c r="I158" i="3"/>
  <c r="L158" i="3" s="1"/>
  <c r="I159" i="3"/>
  <c r="L159" i="3" s="1"/>
  <c r="I160" i="3"/>
  <c r="L160" i="3" s="1"/>
  <c r="I161" i="3"/>
  <c r="L161" i="3" s="1"/>
  <c r="I162" i="3"/>
  <c r="L162" i="3" s="1"/>
  <c r="I163" i="3"/>
  <c r="L163" i="3" s="1"/>
  <c r="I164" i="3"/>
  <c r="L164" i="3" s="1"/>
  <c r="I165" i="3"/>
  <c r="L165" i="3" s="1"/>
  <c r="I166" i="3"/>
  <c r="L166" i="3" s="1"/>
  <c r="I167" i="3"/>
  <c r="L167" i="3" s="1"/>
  <c r="I168" i="3"/>
  <c r="L168" i="3" s="1"/>
  <c r="I169" i="3"/>
  <c r="L169" i="3" s="1"/>
  <c r="I170" i="3"/>
  <c r="L170" i="3" s="1"/>
  <c r="I171" i="3"/>
  <c r="L171" i="3" s="1"/>
  <c r="I172" i="3"/>
  <c r="L172" i="3" s="1"/>
  <c r="I173" i="3"/>
  <c r="L173" i="3" s="1"/>
  <c r="I174" i="3"/>
  <c r="L174" i="3" s="1"/>
  <c r="I175" i="3"/>
  <c r="L175" i="3" s="1"/>
  <c r="I176" i="3"/>
  <c r="L176" i="3" s="1"/>
  <c r="I177" i="3"/>
  <c r="L177" i="3" s="1"/>
  <c r="I178" i="3"/>
  <c r="L178" i="3" s="1"/>
  <c r="I179" i="3"/>
  <c r="L179" i="3" s="1"/>
  <c r="I180" i="3"/>
  <c r="L180" i="3" s="1"/>
  <c r="I181" i="3"/>
  <c r="L181" i="3" s="1"/>
  <c r="I182" i="3"/>
  <c r="L182" i="3" s="1"/>
  <c r="I183" i="3"/>
  <c r="L183" i="3" s="1"/>
  <c r="I184" i="3"/>
  <c r="L184" i="3" s="1"/>
  <c r="I185" i="3"/>
  <c r="L185" i="3" s="1"/>
  <c r="I186" i="3"/>
  <c r="L186" i="3" s="1"/>
  <c r="I187" i="3"/>
  <c r="L187" i="3" s="1"/>
  <c r="I188" i="3"/>
  <c r="L188" i="3" s="1"/>
  <c r="I189" i="3"/>
  <c r="L189" i="3" s="1"/>
  <c r="I190" i="3"/>
  <c r="L190" i="3" s="1"/>
  <c r="I191" i="3"/>
  <c r="L191" i="3" s="1"/>
  <c r="I192" i="3"/>
  <c r="L192" i="3" s="1"/>
  <c r="I193" i="3"/>
  <c r="L193" i="3" s="1"/>
  <c r="I194" i="3"/>
  <c r="L194" i="3" s="1"/>
  <c r="I195" i="3"/>
  <c r="L195" i="3" s="1"/>
  <c r="I196" i="3"/>
  <c r="L196" i="3" s="1"/>
  <c r="I197" i="3"/>
  <c r="L197" i="3" s="1"/>
  <c r="I198" i="3"/>
  <c r="L198" i="3" s="1"/>
  <c r="I199" i="3"/>
  <c r="L199" i="3" s="1"/>
  <c r="I200" i="3"/>
  <c r="L200" i="3" s="1"/>
  <c r="I201" i="3"/>
  <c r="L201" i="3" s="1"/>
  <c r="I202" i="3"/>
  <c r="L202" i="3" s="1"/>
  <c r="I203" i="3"/>
  <c r="L203" i="3" s="1"/>
  <c r="I204" i="3"/>
  <c r="L204" i="3" s="1"/>
  <c r="I205" i="3"/>
  <c r="L205" i="3" s="1"/>
  <c r="I206" i="3"/>
  <c r="L206" i="3" s="1"/>
  <c r="I207" i="3"/>
  <c r="L207" i="3" s="1"/>
  <c r="I208" i="3"/>
  <c r="L208" i="3" s="1"/>
  <c r="I209" i="3"/>
  <c r="L209" i="3" s="1"/>
  <c r="I210" i="3"/>
  <c r="L210" i="3" s="1"/>
  <c r="I211" i="3"/>
  <c r="L211" i="3" s="1"/>
  <c r="I212" i="3"/>
  <c r="L212" i="3" s="1"/>
  <c r="I213" i="3"/>
  <c r="L213" i="3" s="1"/>
  <c r="I214" i="3"/>
  <c r="L214" i="3" s="1"/>
  <c r="I215" i="3"/>
  <c r="L215" i="3" s="1"/>
  <c r="I216" i="3"/>
  <c r="L216" i="3" s="1"/>
  <c r="I217" i="3"/>
  <c r="L217" i="3" s="1"/>
  <c r="I218" i="3"/>
  <c r="L218" i="3" s="1"/>
  <c r="I219" i="3"/>
  <c r="L219" i="3" s="1"/>
  <c r="I220" i="3"/>
  <c r="L220" i="3" s="1"/>
  <c r="I221" i="3"/>
  <c r="L221" i="3" s="1"/>
  <c r="I222" i="3"/>
  <c r="L222" i="3" s="1"/>
  <c r="I223" i="3"/>
  <c r="L223" i="3" s="1"/>
  <c r="I224" i="3"/>
  <c r="L224" i="3" s="1"/>
  <c r="I225" i="3"/>
  <c r="L225" i="3" s="1"/>
  <c r="I226" i="3"/>
  <c r="L226" i="3" s="1"/>
  <c r="I227" i="3"/>
  <c r="L227" i="3" s="1"/>
  <c r="I228" i="3"/>
  <c r="L228" i="3" s="1"/>
  <c r="I229" i="3"/>
  <c r="L229" i="3" s="1"/>
  <c r="I230" i="3"/>
  <c r="L230" i="3" s="1"/>
  <c r="I231" i="3"/>
  <c r="L231" i="3" s="1"/>
  <c r="I232" i="3"/>
  <c r="L232" i="3" s="1"/>
  <c r="I233" i="3"/>
  <c r="L233" i="3" s="1"/>
  <c r="I234" i="3"/>
  <c r="L234" i="3" s="1"/>
  <c r="I235" i="3"/>
  <c r="L235" i="3" s="1"/>
  <c r="I236" i="3"/>
  <c r="L236" i="3" s="1"/>
  <c r="I237" i="3"/>
  <c r="L237" i="3" s="1"/>
  <c r="I238" i="3"/>
  <c r="L238" i="3" s="1"/>
  <c r="I239" i="3"/>
  <c r="L239" i="3" s="1"/>
  <c r="I240" i="3"/>
  <c r="L240" i="3" s="1"/>
  <c r="I241" i="3"/>
  <c r="L241" i="3" s="1"/>
  <c r="I242" i="3"/>
  <c r="L242" i="3" s="1"/>
  <c r="I243" i="3"/>
  <c r="L243" i="3" s="1"/>
  <c r="I244" i="3"/>
  <c r="L244" i="3" s="1"/>
  <c r="I245" i="3"/>
  <c r="L245" i="3" s="1"/>
  <c r="I246" i="3"/>
  <c r="L246" i="3" s="1"/>
  <c r="I247" i="3"/>
  <c r="L247" i="3" s="1"/>
  <c r="I248" i="3"/>
  <c r="L248" i="3" s="1"/>
  <c r="I249" i="3"/>
  <c r="L249" i="3" s="1"/>
  <c r="I250" i="3"/>
  <c r="L250" i="3" s="1"/>
  <c r="I251" i="3"/>
  <c r="L251" i="3" s="1"/>
  <c r="I252" i="3"/>
  <c r="L252" i="3" s="1"/>
  <c r="I253" i="3"/>
  <c r="L253" i="3" s="1"/>
  <c r="I254" i="3"/>
  <c r="L254" i="3" s="1"/>
  <c r="I255" i="3"/>
  <c r="L255" i="3" s="1"/>
  <c r="I256" i="3"/>
  <c r="L256" i="3" s="1"/>
  <c r="I257" i="3"/>
  <c r="L257" i="3" s="1"/>
  <c r="I258" i="3"/>
  <c r="L258" i="3" s="1"/>
  <c r="I259" i="3"/>
  <c r="L259" i="3" s="1"/>
  <c r="I260" i="3"/>
  <c r="L260" i="3" s="1"/>
  <c r="I261" i="3"/>
  <c r="L261" i="3" s="1"/>
  <c r="I262" i="3"/>
  <c r="L262" i="3" s="1"/>
  <c r="I263" i="3"/>
  <c r="L263" i="3" s="1"/>
  <c r="I264" i="3"/>
  <c r="L264" i="3" s="1"/>
  <c r="I265" i="3"/>
  <c r="L265" i="3" s="1"/>
  <c r="I266" i="3"/>
  <c r="L266" i="3" s="1"/>
  <c r="I267" i="3"/>
  <c r="L267" i="3" s="1"/>
  <c r="I268" i="3"/>
  <c r="L268" i="3" s="1"/>
  <c r="I269" i="3"/>
  <c r="L269" i="3" s="1"/>
  <c r="I270" i="3"/>
  <c r="L270" i="3" s="1"/>
  <c r="I271" i="3"/>
  <c r="L271" i="3" s="1"/>
  <c r="I272" i="3"/>
  <c r="L272" i="3" s="1"/>
  <c r="I273" i="3"/>
  <c r="L273" i="3" s="1"/>
  <c r="I274" i="3"/>
  <c r="L274" i="3" s="1"/>
  <c r="I275" i="3"/>
  <c r="L275" i="3" s="1"/>
  <c r="I276" i="3"/>
  <c r="L276" i="3" s="1"/>
  <c r="I277" i="3"/>
  <c r="L277" i="3" s="1"/>
  <c r="I278" i="3"/>
  <c r="L278" i="3" s="1"/>
  <c r="I279" i="3"/>
  <c r="L279" i="3" s="1"/>
  <c r="I280" i="3"/>
  <c r="L280" i="3" s="1"/>
  <c r="I281" i="3"/>
  <c r="L281" i="3" s="1"/>
  <c r="I282" i="3"/>
  <c r="L282" i="3" s="1"/>
  <c r="I283" i="3"/>
  <c r="L283" i="3" s="1"/>
  <c r="I284" i="3"/>
  <c r="L284" i="3" s="1"/>
  <c r="I285" i="3"/>
  <c r="L285" i="3" s="1"/>
  <c r="I286" i="3"/>
  <c r="L286" i="3" s="1"/>
  <c r="I287" i="3"/>
  <c r="L287" i="3" s="1"/>
  <c r="I288" i="3"/>
  <c r="L288" i="3" s="1"/>
  <c r="I289" i="3"/>
  <c r="L289" i="3" s="1"/>
  <c r="I290" i="3"/>
  <c r="L290" i="3" s="1"/>
  <c r="I291" i="3"/>
  <c r="L291" i="3" s="1"/>
  <c r="I292" i="3"/>
  <c r="L292" i="3" s="1"/>
  <c r="I293" i="3"/>
  <c r="L293" i="3" s="1"/>
  <c r="I294" i="3"/>
  <c r="L294" i="3" s="1"/>
  <c r="I295" i="3"/>
  <c r="L295" i="3" s="1"/>
  <c r="I296" i="3"/>
  <c r="L296" i="3" s="1"/>
  <c r="I297" i="3"/>
  <c r="L297" i="3" s="1"/>
  <c r="I298" i="3"/>
  <c r="L298" i="3" s="1"/>
  <c r="I299" i="3"/>
  <c r="L299" i="3" s="1"/>
  <c r="I300" i="3"/>
  <c r="L300" i="3" s="1"/>
  <c r="I301" i="3"/>
  <c r="L301" i="3" s="1"/>
  <c r="I302" i="3"/>
  <c r="L302" i="3" s="1"/>
  <c r="I303" i="3"/>
  <c r="L303" i="3" s="1"/>
  <c r="I304" i="3"/>
  <c r="L304" i="3" s="1"/>
  <c r="I305" i="3"/>
  <c r="L305" i="3" s="1"/>
  <c r="I306" i="3"/>
  <c r="L306" i="3" s="1"/>
  <c r="I307" i="3"/>
  <c r="L307" i="3" s="1"/>
  <c r="I308" i="3"/>
  <c r="L308" i="3" s="1"/>
  <c r="I309" i="3"/>
  <c r="L309" i="3" s="1"/>
  <c r="I310" i="3"/>
  <c r="L310" i="3" s="1"/>
  <c r="I311" i="3"/>
  <c r="L311" i="3" s="1"/>
  <c r="I312" i="3"/>
  <c r="L312" i="3" s="1"/>
  <c r="I313" i="3"/>
  <c r="L313" i="3" s="1"/>
  <c r="I314" i="3"/>
  <c r="L314" i="3" s="1"/>
  <c r="I315" i="3"/>
  <c r="L315" i="3" s="1"/>
  <c r="I316" i="3"/>
  <c r="L316" i="3" s="1"/>
  <c r="I317" i="3"/>
  <c r="L317" i="3" s="1"/>
  <c r="I318" i="3"/>
  <c r="L318" i="3" s="1"/>
  <c r="I319" i="3"/>
  <c r="L319" i="3" s="1"/>
  <c r="I320" i="3"/>
  <c r="L320" i="3" s="1"/>
  <c r="I321" i="3"/>
  <c r="L321" i="3" s="1"/>
  <c r="I322" i="3"/>
  <c r="L322" i="3" s="1"/>
  <c r="I323" i="3"/>
  <c r="L323" i="3" s="1"/>
  <c r="I324" i="3"/>
  <c r="L324" i="3" s="1"/>
  <c r="I325" i="3"/>
  <c r="L325" i="3" s="1"/>
  <c r="I326" i="3"/>
  <c r="L326" i="3" s="1"/>
  <c r="I327" i="3"/>
  <c r="L327" i="3" s="1"/>
  <c r="I328" i="3"/>
  <c r="L328" i="3" s="1"/>
  <c r="I329" i="3"/>
  <c r="L329" i="3" s="1"/>
  <c r="I330" i="3"/>
  <c r="L330" i="3" s="1"/>
  <c r="I331" i="3"/>
  <c r="L331" i="3" s="1"/>
  <c r="I332" i="3"/>
  <c r="L332" i="3" s="1"/>
  <c r="I333" i="3"/>
  <c r="L333" i="3" s="1"/>
  <c r="I334" i="3"/>
  <c r="L334" i="3" s="1"/>
  <c r="I335" i="3"/>
  <c r="L335" i="3" s="1"/>
  <c r="I336" i="3"/>
  <c r="L336" i="3" s="1"/>
  <c r="I337" i="3"/>
  <c r="L337" i="3" s="1"/>
  <c r="I338" i="3"/>
  <c r="L338" i="3" s="1"/>
  <c r="I339" i="3"/>
  <c r="L339" i="3" s="1"/>
  <c r="I340" i="3"/>
  <c r="L340" i="3" s="1"/>
  <c r="I341" i="3"/>
  <c r="L341" i="3" s="1"/>
  <c r="I342" i="3"/>
  <c r="L342" i="3" s="1"/>
  <c r="I343" i="3"/>
  <c r="L343" i="3" s="1"/>
  <c r="I344" i="3"/>
  <c r="L344" i="3" s="1"/>
  <c r="I345" i="3"/>
  <c r="L345" i="3" s="1"/>
  <c r="I346" i="3"/>
  <c r="L346" i="3" s="1"/>
  <c r="I347" i="3"/>
  <c r="L347" i="3" s="1"/>
  <c r="I348" i="3"/>
  <c r="L348" i="3" s="1"/>
  <c r="I349" i="3"/>
  <c r="L349" i="3" s="1"/>
  <c r="I350" i="3"/>
  <c r="L350" i="3" s="1"/>
  <c r="I351" i="3"/>
  <c r="L351" i="3" s="1"/>
  <c r="I352" i="3"/>
  <c r="L352" i="3" s="1"/>
  <c r="I353" i="3"/>
  <c r="L353" i="3" s="1"/>
  <c r="I354" i="3"/>
  <c r="L354" i="3" s="1"/>
  <c r="I355" i="3"/>
  <c r="L355" i="3" s="1"/>
  <c r="I356" i="3"/>
  <c r="L356" i="3" s="1"/>
  <c r="I357" i="3"/>
  <c r="L357" i="3" s="1"/>
  <c r="I358" i="3"/>
  <c r="L358" i="3" s="1"/>
  <c r="I359" i="3"/>
  <c r="L359" i="3" s="1"/>
  <c r="I360" i="3"/>
  <c r="L360" i="3" s="1"/>
  <c r="I361" i="3"/>
  <c r="L361" i="3" s="1"/>
  <c r="I362" i="3"/>
  <c r="L362" i="3" s="1"/>
  <c r="I363" i="3"/>
  <c r="L363" i="3" s="1"/>
  <c r="I364" i="3"/>
  <c r="L364" i="3" s="1"/>
  <c r="I365" i="3"/>
  <c r="L365" i="3" s="1"/>
  <c r="I366" i="3"/>
  <c r="L366" i="3" s="1"/>
  <c r="I367" i="3"/>
  <c r="L367" i="3" s="1"/>
  <c r="I368" i="3"/>
  <c r="L368" i="3" s="1"/>
  <c r="I369" i="3"/>
  <c r="L369" i="3" s="1"/>
  <c r="I370" i="3"/>
  <c r="L370" i="3" s="1"/>
  <c r="I371" i="3"/>
  <c r="L371" i="3" s="1"/>
  <c r="I372" i="3"/>
  <c r="L372" i="3" s="1"/>
  <c r="I373" i="3"/>
  <c r="L373" i="3" s="1"/>
  <c r="I374" i="3"/>
  <c r="L374" i="3" s="1"/>
  <c r="I375" i="3"/>
  <c r="L375" i="3" s="1"/>
  <c r="I376" i="3"/>
  <c r="L376" i="3" s="1"/>
  <c r="I377" i="3"/>
  <c r="L377" i="3" s="1"/>
  <c r="I378" i="3"/>
  <c r="L378" i="3" s="1"/>
  <c r="I379" i="3"/>
  <c r="L379" i="3" s="1"/>
  <c r="I380" i="3"/>
  <c r="L380" i="3" s="1"/>
  <c r="I381" i="3"/>
  <c r="L381" i="3" s="1"/>
  <c r="I382" i="3"/>
  <c r="L382" i="3" s="1"/>
  <c r="I383" i="3"/>
  <c r="L383" i="3" s="1"/>
  <c r="I384" i="3"/>
  <c r="L384" i="3" s="1"/>
  <c r="I385" i="3"/>
  <c r="L385" i="3" s="1"/>
  <c r="I386" i="3"/>
  <c r="L386" i="3" s="1"/>
  <c r="I387" i="3"/>
  <c r="L387" i="3" s="1"/>
  <c r="I388" i="3"/>
  <c r="L388" i="3" s="1"/>
  <c r="I389" i="3"/>
  <c r="L389" i="3" s="1"/>
  <c r="I390" i="3"/>
  <c r="L390" i="3" s="1"/>
  <c r="I391" i="3"/>
  <c r="L391" i="3" s="1"/>
  <c r="I392" i="3"/>
  <c r="L392" i="3" s="1"/>
  <c r="I393" i="3"/>
  <c r="L393" i="3" s="1"/>
  <c r="I394" i="3"/>
  <c r="L394" i="3" s="1"/>
  <c r="I395" i="3"/>
  <c r="L395" i="3" s="1"/>
  <c r="I396" i="3"/>
  <c r="L396" i="3" s="1"/>
  <c r="I397" i="3"/>
  <c r="L397" i="3" s="1"/>
  <c r="I398" i="3"/>
  <c r="L398" i="3" s="1"/>
  <c r="I399" i="3"/>
  <c r="L399" i="3" s="1"/>
  <c r="I400" i="3"/>
  <c r="L400" i="3" s="1"/>
  <c r="I401" i="3"/>
  <c r="L401" i="3" s="1"/>
  <c r="I402" i="3"/>
  <c r="L402" i="3" s="1"/>
  <c r="I403" i="3"/>
  <c r="L403" i="3" s="1"/>
  <c r="I404" i="3"/>
  <c r="L404" i="3" s="1"/>
  <c r="I405" i="3"/>
  <c r="L405" i="3" s="1"/>
  <c r="I406" i="3"/>
  <c r="L406" i="3" s="1"/>
  <c r="I407" i="3"/>
  <c r="L407" i="3" s="1"/>
  <c r="I408" i="3"/>
  <c r="L408" i="3" s="1"/>
  <c r="I409" i="3"/>
  <c r="L409" i="3" s="1"/>
  <c r="I410" i="3"/>
  <c r="L410" i="3" s="1"/>
  <c r="I411" i="3"/>
  <c r="L411" i="3" s="1"/>
  <c r="I412" i="3"/>
  <c r="L412" i="3" s="1"/>
  <c r="I413" i="3"/>
  <c r="L413" i="3" s="1"/>
  <c r="I414" i="3"/>
  <c r="L414" i="3" s="1"/>
  <c r="I415" i="3"/>
  <c r="L415" i="3" s="1"/>
  <c r="I416" i="3"/>
  <c r="L416" i="3" s="1"/>
  <c r="I417" i="3"/>
  <c r="L417" i="3" s="1"/>
  <c r="I418" i="3"/>
  <c r="L418" i="3" s="1"/>
  <c r="I419" i="3"/>
  <c r="L419" i="3" s="1"/>
  <c r="I420" i="3"/>
  <c r="L420" i="3" s="1"/>
  <c r="I421" i="3"/>
  <c r="L421" i="3" s="1"/>
  <c r="I422" i="3"/>
  <c r="L422" i="3" s="1"/>
  <c r="I423" i="3"/>
  <c r="L423" i="3" s="1"/>
  <c r="I424" i="3"/>
  <c r="L424" i="3" s="1"/>
  <c r="I425" i="3"/>
  <c r="L425" i="3" s="1"/>
  <c r="I426" i="3"/>
  <c r="L426" i="3" s="1"/>
  <c r="I427" i="3"/>
  <c r="L427" i="3" s="1"/>
  <c r="I428" i="3"/>
  <c r="L428" i="3" s="1"/>
  <c r="I429" i="3"/>
  <c r="L429" i="3" s="1"/>
  <c r="I430" i="3"/>
  <c r="L430" i="3" s="1"/>
  <c r="I431" i="3"/>
  <c r="L431" i="3" s="1"/>
  <c r="I432" i="3"/>
  <c r="L432" i="3" s="1"/>
  <c r="I433" i="3"/>
  <c r="L433" i="3" s="1"/>
  <c r="I434" i="3"/>
  <c r="L434" i="3" s="1"/>
  <c r="I435" i="3"/>
  <c r="L435" i="3" s="1"/>
  <c r="I436" i="3"/>
  <c r="L436" i="3" s="1"/>
  <c r="I437" i="3"/>
  <c r="L437" i="3" s="1"/>
  <c r="I438" i="3"/>
  <c r="L438" i="3" s="1"/>
  <c r="I439" i="3"/>
  <c r="L439" i="3" s="1"/>
  <c r="I440" i="3"/>
  <c r="L440" i="3" s="1"/>
  <c r="I441" i="3"/>
  <c r="L441" i="3" s="1"/>
  <c r="I442" i="3"/>
  <c r="L442" i="3" s="1"/>
  <c r="I443" i="3"/>
  <c r="L443" i="3" s="1"/>
  <c r="I444" i="3"/>
  <c r="L444" i="3" s="1"/>
  <c r="I445" i="3"/>
  <c r="L445" i="3" s="1"/>
  <c r="I446" i="3"/>
  <c r="L446" i="3" s="1"/>
  <c r="I447" i="3"/>
  <c r="L447" i="3" s="1"/>
  <c r="I448" i="3"/>
  <c r="L448" i="3" s="1"/>
  <c r="I449" i="3"/>
  <c r="L449" i="3" s="1"/>
  <c r="I450" i="3"/>
  <c r="L450" i="3" s="1"/>
  <c r="I451" i="3"/>
  <c r="L451" i="3" s="1"/>
  <c r="I452" i="3"/>
  <c r="L452" i="3" s="1"/>
  <c r="I453" i="3"/>
  <c r="L453" i="3" s="1"/>
  <c r="I454" i="3"/>
  <c r="L454" i="3" s="1"/>
  <c r="I455" i="3"/>
  <c r="L455" i="3" s="1"/>
  <c r="I456" i="3"/>
  <c r="L456" i="3" s="1"/>
  <c r="I457" i="3"/>
  <c r="L457" i="3" s="1"/>
  <c r="I458" i="3"/>
  <c r="L458" i="3" s="1"/>
  <c r="I459" i="3"/>
  <c r="L459" i="3" s="1"/>
  <c r="I460" i="3"/>
  <c r="L460" i="3" s="1"/>
  <c r="I461" i="3"/>
  <c r="L461" i="3" s="1"/>
  <c r="I462" i="3"/>
  <c r="L462" i="3" s="1"/>
  <c r="I463" i="3"/>
  <c r="L463" i="3" s="1"/>
  <c r="I464" i="3"/>
  <c r="L464" i="3" s="1"/>
  <c r="I465" i="3"/>
  <c r="L465" i="3" s="1"/>
  <c r="I466" i="3"/>
  <c r="L466" i="3" s="1"/>
  <c r="I467" i="3"/>
  <c r="L467" i="3" s="1"/>
  <c r="I468" i="3"/>
  <c r="L468" i="3" s="1"/>
  <c r="I469" i="3"/>
  <c r="L469" i="3" s="1"/>
  <c r="I470" i="3"/>
  <c r="L470" i="3" s="1"/>
  <c r="I471" i="3"/>
  <c r="L471" i="3" s="1"/>
  <c r="I472" i="3"/>
  <c r="L472" i="3" s="1"/>
  <c r="I473" i="3"/>
  <c r="L473" i="3" s="1"/>
  <c r="I474" i="3"/>
  <c r="L474" i="3" s="1"/>
  <c r="I475" i="3"/>
  <c r="L475" i="3" s="1"/>
  <c r="I476" i="3"/>
  <c r="L476" i="3" s="1"/>
  <c r="I477" i="3"/>
  <c r="L477" i="3" s="1"/>
  <c r="I478" i="3"/>
  <c r="L478" i="3" s="1"/>
  <c r="I479" i="3"/>
  <c r="L479" i="3" s="1"/>
  <c r="I480" i="3"/>
  <c r="L480" i="3" s="1"/>
  <c r="I481" i="3"/>
  <c r="L481" i="3" s="1"/>
  <c r="I482" i="3"/>
  <c r="L482" i="3" s="1"/>
  <c r="I483" i="3"/>
  <c r="L483" i="3" s="1"/>
  <c r="I484" i="3"/>
  <c r="L484" i="3" s="1"/>
  <c r="I485" i="3"/>
  <c r="L485" i="3" s="1"/>
  <c r="I486" i="3"/>
  <c r="L486" i="3" s="1"/>
  <c r="I487" i="3"/>
  <c r="L487" i="3" s="1"/>
  <c r="I488" i="3"/>
  <c r="L488" i="3" s="1"/>
  <c r="I489" i="3"/>
  <c r="L489" i="3" s="1"/>
  <c r="I490" i="3"/>
  <c r="L490" i="3" s="1"/>
  <c r="I491" i="3"/>
  <c r="L491" i="3" s="1"/>
  <c r="I492" i="3"/>
  <c r="L492" i="3" s="1"/>
  <c r="I493" i="3"/>
  <c r="L493" i="3" s="1"/>
  <c r="I494" i="3"/>
  <c r="L494" i="3" s="1"/>
  <c r="I495" i="3"/>
  <c r="L495" i="3" s="1"/>
  <c r="I496" i="3"/>
  <c r="L496" i="3" s="1"/>
  <c r="I497" i="3"/>
  <c r="L497" i="3" s="1"/>
  <c r="I498" i="3"/>
  <c r="L498" i="3" s="1"/>
  <c r="I499" i="3"/>
  <c r="L499" i="3" s="1"/>
  <c r="I500" i="3"/>
  <c r="L500" i="3" s="1"/>
  <c r="I501" i="3"/>
  <c r="L501" i="3" s="1"/>
  <c r="I502" i="3"/>
  <c r="L502" i="3" s="1"/>
  <c r="I503" i="3"/>
  <c r="L503" i="3" s="1"/>
  <c r="I504" i="3"/>
  <c r="L504" i="3" s="1"/>
  <c r="I505" i="3"/>
  <c r="L505" i="3" s="1"/>
  <c r="I506" i="3"/>
  <c r="L506" i="3" s="1"/>
  <c r="I507" i="3"/>
  <c r="L507" i="3" s="1"/>
  <c r="I508" i="3"/>
  <c r="L508" i="3" s="1"/>
  <c r="I509" i="3"/>
  <c r="L509" i="3" s="1"/>
  <c r="I510" i="3"/>
  <c r="L510" i="3" s="1"/>
  <c r="I511" i="3"/>
  <c r="L511" i="3" s="1"/>
  <c r="I512" i="3"/>
  <c r="L512" i="3" s="1"/>
  <c r="I513" i="3"/>
  <c r="L513" i="3" s="1"/>
  <c r="I514" i="3"/>
  <c r="L514" i="3" s="1"/>
  <c r="I515" i="3"/>
  <c r="L515" i="3" s="1"/>
  <c r="I516" i="3"/>
  <c r="L516" i="3" s="1"/>
  <c r="I517" i="3"/>
  <c r="L517" i="3" s="1"/>
  <c r="I518" i="3"/>
  <c r="L518" i="3" s="1"/>
  <c r="I519" i="3"/>
  <c r="L519" i="3" s="1"/>
  <c r="I520" i="3"/>
  <c r="L520" i="3" s="1"/>
  <c r="I521" i="3"/>
  <c r="L521" i="3" s="1"/>
  <c r="I522" i="3"/>
  <c r="L522" i="3" s="1"/>
  <c r="I523" i="3"/>
  <c r="L523" i="3" s="1"/>
  <c r="I524" i="3"/>
  <c r="L524" i="3" s="1"/>
  <c r="I525" i="3"/>
  <c r="L525" i="3" s="1"/>
  <c r="I526" i="3"/>
  <c r="L526" i="3" s="1"/>
  <c r="I527" i="3"/>
  <c r="L527" i="3" s="1"/>
  <c r="I528" i="3"/>
  <c r="L528" i="3" s="1"/>
  <c r="I529" i="3"/>
  <c r="L529" i="3" s="1"/>
  <c r="I530" i="3"/>
  <c r="L530" i="3" s="1"/>
  <c r="I531" i="3"/>
  <c r="L531" i="3" s="1"/>
  <c r="I532" i="3"/>
  <c r="L532" i="3" s="1"/>
  <c r="I533" i="3"/>
  <c r="L533" i="3" s="1"/>
  <c r="I534" i="3"/>
  <c r="L534" i="3" s="1"/>
  <c r="I535" i="3"/>
  <c r="L535" i="3" s="1"/>
  <c r="I536" i="3"/>
  <c r="L536" i="3" s="1"/>
  <c r="I537" i="3"/>
  <c r="L537" i="3" s="1"/>
  <c r="I538" i="3"/>
  <c r="L538" i="3" s="1"/>
  <c r="I539" i="3"/>
  <c r="L539" i="3" s="1"/>
  <c r="I540" i="3"/>
  <c r="L540" i="3" s="1"/>
  <c r="I541" i="3"/>
  <c r="L541" i="3" s="1"/>
  <c r="I542" i="3"/>
  <c r="L542" i="3" s="1"/>
  <c r="I543" i="3"/>
  <c r="L543" i="3" s="1"/>
  <c r="I544" i="3"/>
  <c r="L544" i="3" s="1"/>
  <c r="I545" i="3"/>
  <c r="L545" i="3" s="1"/>
  <c r="I546" i="3"/>
  <c r="L546" i="3" s="1"/>
  <c r="I547" i="3"/>
  <c r="L547" i="3" s="1"/>
  <c r="I548" i="3"/>
  <c r="L548" i="3" s="1"/>
  <c r="I549" i="3"/>
  <c r="L549" i="3" s="1"/>
  <c r="I550" i="3"/>
  <c r="L550" i="3" s="1"/>
  <c r="I551" i="3"/>
  <c r="L551" i="3" s="1"/>
  <c r="I552" i="3"/>
  <c r="L552" i="3" s="1"/>
  <c r="I553" i="3"/>
  <c r="L553" i="3" s="1"/>
  <c r="I554" i="3"/>
  <c r="L554" i="3" s="1"/>
  <c r="I555" i="3"/>
  <c r="L555" i="3" s="1"/>
  <c r="I556" i="3"/>
  <c r="L556" i="3" s="1"/>
  <c r="I557" i="3"/>
  <c r="L557" i="3" s="1"/>
  <c r="I558" i="3"/>
  <c r="L558" i="3" s="1"/>
  <c r="I559" i="3"/>
  <c r="L559" i="3" s="1"/>
  <c r="I560" i="3"/>
  <c r="L560" i="3" s="1"/>
  <c r="I561" i="3"/>
  <c r="L561" i="3" s="1"/>
  <c r="I562" i="3"/>
  <c r="L562" i="3" s="1"/>
  <c r="I563" i="3"/>
  <c r="L563" i="3" s="1"/>
  <c r="I564" i="3"/>
  <c r="L564" i="3" s="1"/>
  <c r="I565" i="3"/>
  <c r="L565" i="3" s="1"/>
  <c r="I566" i="3"/>
  <c r="L566" i="3" s="1"/>
  <c r="I567" i="3"/>
  <c r="L567" i="3" s="1"/>
  <c r="I568" i="3"/>
  <c r="L568" i="3" s="1"/>
  <c r="I569" i="3"/>
  <c r="L569" i="3" s="1"/>
  <c r="I570" i="3"/>
  <c r="L570" i="3" s="1"/>
  <c r="I571" i="3"/>
  <c r="L571" i="3" s="1"/>
  <c r="I572" i="3"/>
  <c r="L572" i="3" s="1"/>
  <c r="I573" i="3"/>
  <c r="L573" i="3" s="1"/>
  <c r="I574" i="3"/>
  <c r="L574" i="3" s="1"/>
  <c r="I575" i="3"/>
  <c r="L575" i="3" s="1"/>
  <c r="I576" i="3"/>
  <c r="L576" i="3" s="1"/>
  <c r="I577" i="3"/>
  <c r="L577" i="3" s="1"/>
  <c r="I578" i="3"/>
  <c r="L578" i="3" s="1"/>
  <c r="I579" i="3"/>
  <c r="L579" i="3" s="1"/>
  <c r="I580" i="3"/>
  <c r="L580" i="3" s="1"/>
  <c r="I581" i="3"/>
  <c r="L581" i="3" s="1"/>
  <c r="I582" i="3"/>
  <c r="L582" i="3" s="1"/>
  <c r="I583" i="3"/>
  <c r="L583" i="3" s="1"/>
  <c r="I584" i="3"/>
  <c r="L584" i="3" s="1"/>
  <c r="I585" i="3"/>
  <c r="L585" i="3" s="1"/>
  <c r="I586" i="3"/>
  <c r="L586" i="3" s="1"/>
  <c r="I587" i="3"/>
  <c r="L587" i="3" s="1"/>
  <c r="I588" i="3"/>
  <c r="L588" i="3" s="1"/>
  <c r="I589" i="3"/>
  <c r="L589" i="3" s="1"/>
  <c r="I590" i="3"/>
  <c r="L590" i="3" s="1"/>
  <c r="I591" i="3"/>
  <c r="L591" i="3" s="1"/>
  <c r="I592" i="3"/>
  <c r="L592" i="3" s="1"/>
  <c r="I593" i="3"/>
  <c r="L593" i="3" s="1"/>
  <c r="I594" i="3"/>
  <c r="L594" i="3" s="1"/>
  <c r="I595" i="3"/>
  <c r="L595" i="3" s="1"/>
  <c r="I596" i="3"/>
  <c r="L596" i="3" s="1"/>
  <c r="I597" i="3"/>
  <c r="L597" i="3" s="1"/>
  <c r="I598" i="3"/>
  <c r="L598" i="3" s="1"/>
  <c r="I599" i="3"/>
  <c r="L599" i="3" s="1"/>
  <c r="I600" i="3"/>
  <c r="L600" i="3" s="1"/>
  <c r="I601" i="3"/>
  <c r="L601" i="3" s="1"/>
  <c r="I602" i="3"/>
  <c r="L602" i="3" s="1"/>
  <c r="I603" i="3"/>
  <c r="L603" i="3" s="1"/>
  <c r="I604" i="3"/>
  <c r="L604" i="3" s="1"/>
  <c r="I605" i="3"/>
  <c r="L605" i="3" s="1"/>
  <c r="I606" i="3"/>
  <c r="L606" i="3" s="1"/>
  <c r="I607" i="3"/>
  <c r="L607" i="3" s="1"/>
  <c r="I608" i="3"/>
  <c r="L608" i="3" s="1"/>
  <c r="I609" i="3"/>
  <c r="L609" i="3" s="1"/>
  <c r="I610" i="3"/>
  <c r="L610" i="3" s="1"/>
  <c r="I611" i="3"/>
  <c r="L611" i="3" s="1"/>
  <c r="I612" i="3"/>
  <c r="L612" i="3" s="1"/>
  <c r="I613" i="3"/>
  <c r="L613" i="3" s="1"/>
  <c r="I614" i="3"/>
  <c r="L614" i="3" s="1"/>
  <c r="I615" i="3"/>
  <c r="L615" i="3" s="1"/>
  <c r="I616" i="3"/>
  <c r="L616" i="3" s="1"/>
  <c r="I617" i="3"/>
  <c r="L617" i="3" s="1"/>
  <c r="I618" i="3"/>
  <c r="L618" i="3" s="1"/>
  <c r="I619" i="3"/>
  <c r="L619" i="3" s="1"/>
  <c r="I620" i="3"/>
  <c r="L620" i="3" s="1"/>
  <c r="I621" i="3"/>
  <c r="L621" i="3" s="1"/>
  <c r="I622" i="3"/>
  <c r="L622" i="3" s="1"/>
  <c r="I623" i="3"/>
  <c r="L623" i="3" s="1"/>
  <c r="I624" i="3"/>
  <c r="L624" i="3" s="1"/>
  <c r="I625" i="3"/>
  <c r="L625" i="3" s="1"/>
  <c r="I2" i="3"/>
  <c r="L2" i="3" s="1"/>
  <c r="L3" i="2"/>
  <c r="O3" i="2" s="1"/>
  <c r="L4" i="2"/>
  <c r="O4" i="2" s="1"/>
  <c r="L5" i="2"/>
  <c r="O5" i="2" s="1"/>
  <c r="L6" i="2"/>
  <c r="O6" i="2" s="1"/>
  <c r="L7" i="2"/>
  <c r="O7" i="2" s="1"/>
  <c r="L8" i="2"/>
  <c r="O8" i="2" s="1"/>
  <c r="L9" i="2"/>
  <c r="O9" i="2" s="1"/>
  <c r="L10" i="2"/>
  <c r="O10" i="2" s="1"/>
  <c r="L11" i="2"/>
  <c r="O11" i="2" s="1"/>
  <c r="L12" i="2"/>
  <c r="O12" i="2" s="1"/>
  <c r="L13" i="2"/>
  <c r="O13" i="2" s="1"/>
  <c r="L14" i="2"/>
  <c r="O14" i="2" s="1"/>
  <c r="L15" i="2"/>
  <c r="O15" i="2" s="1"/>
  <c r="L16" i="2"/>
  <c r="O16" i="2" s="1"/>
  <c r="L17" i="2"/>
  <c r="O17" i="2" s="1"/>
  <c r="L18" i="2"/>
  <c r="O18" i="2" s="1"/>
  <c r="L19" i="2"/>
  <c r="O19" i="2" s="1"/>
  <c r="L20" i="2"/>
  <c r="O20" i="2" s="1"/>
  <c r="L21" i="2"/>
  <c r="O21" i="2" s="1"/>
  <c r="L22" i="2"/>
  <c r="O22" i="2" s="1"/>
  <c r="L23" i="2"/>
  <c r="O23" i="2" s="1"/>
  <c r="L24" i="2"/>
  <c r="O24" i="2" s="1"/>
  <c r="L25" i="2"/>
  <c r="O25" i="2" s="1"/>
  <c r="L26" i="2"/>
  <c r="O26" i="2" s="1"/>
  <c r="L27" i="2"/>
  <c r="O27" i="2" s="1"/>
  <c r="L28" i="2"/>
  <c r="O28" i="2" s="1"/>
  <c r="L29" i="2"/>
  <c r="O29" i="2" s="1"/>
  <c r="L30" i="2"/>
  <c r="O30" i="2" s="1"/>
  <c r="L31" i="2"/>
  <c r="O31" i="2" s="1"/>
  <c r="L32" i="2"/>
  <c r="O32" i="2" s="1"/>
  <c r="L33" i="2"/>
  <c r="O33" i="2" s="1"/>
  <c r="L34" i="2"/>
  <c r="O34" i="2" s="1"/>
  <c r="L35" i="2"/>
  <c r="O35" i="2" s="1"/>
  <c r="L36" i="2"/>
  <c r="O36" i="2" s="1"/>
  <c r="L37" i="2"/>
  <c r="O37" i="2" s="1"/>
  <c r="L38" i="2"/>
  <c r="O38" i="2" s="1"/>
  <c r="L39" i="2"/>
  <c r="O39" i="2" s="1"/>
  <c r="L40" i="2"/>
  <c r="O40" i="2" s="1"/>
  <c r="L41" i="2"/>
  <c r="O41" i="2" s="1"/>
  <c r="L42" i="2"/>
  <c r="O42" i="2" s="1"/>
  <c r="L43" i="2"/>
  <c r="O43" i="2" s="1"/>
  <c r="L44" i="2"/>
  <c r="O44" i="2" s="1"/>
  <c r="L45" i="2"/>
  <c r="O45" i="2" s="1"/>
  <c r="L46" i="2"/>
  <c r="O46" i="2" s="1"/>
  <c r="L47" i="2"/>
  <c r="O47" i="2" s="1"/>
  <c r="L48" i="2"/>
  <c r="O48" i="2" s="1"/>
  <c r="L49" i="2"/>
  <c r="O49" i="2" s="1"/>
  <c r="L50" i="2"/>
  <c r="O50" i="2" s="1"/>
  <c r="L51" i="2"/>
  <c r="O51" i="2" s="1"/>
  <c r="L52" i="2"/>
  <c r="O52" i="2" s="1"/>
  <c r="L53" i="2"/>
  <c r="O53" i="2" s="1"/>
  <c r="L54" i="2"/>
  <c r="O54" i="2" s="1"/>
  <c r="L55" i="2"/>
  <c r="O55" i="2" s="1"/>
  <c r="L56" i="2"/>
  <c r="O56" i="2" s="1"/>
  <c r="L57" i="2"/>
  <c r="O57" i="2" s="1"/>
  <c r="L58" i="2"/>
  <c r="O58" i="2" s="1"/>
  <c r="L59" i="2"/>
  <c r="O59" i="2" s="1"/>
  <c r="L60" i="2"/>
  <c r="O60" i="2" s="1"/>
  <c r="L61" i="2"/>
  <c r="O61" i="2" s="1"/>
  <c r="L62" i="2"/>
  <c r="O62" i="2" s="1"/>
  <c r="L63" i="2"/>
  <c r="O63" i="2" s="1"/>
  <c r="L64" i="2"/>
  <c r="O64" i="2" s="1"/>
  <c r="L65" i="2"/>
  <c r="O65" i="2" s="1"/>
  <c r="L66" i="2"/>
  <c r="O66" i="2" s="1"/>
  <c r="L67" i="2"/>
  <c r="O67" i="2" s="1"/>
  <c r="L68" i="2"/>
  <c r="O68" i="2" s="1"/>
  <c r="L69" i="2"/>
  <c r="O69" i="2" s="1"/>
  <c r="L70" i="2"/>
  <c r="O70" i="2" s="1"/>
  <c r="L71" i="2"/>
  <c r="O71" i="2" s="1"/>
  <c r="L72" i="2"/>
  <c r="O72" i="2" s="1"/>
  <c r="L73" i="2"/>
  <c r="O73" i="2" s="1"/>
  <c r="L74" i="2"/>
  <c r="O74" i="2" s="1"/>
  <c r="L75" i="2"/>
  <c r="O75" i="2" s="1"/>
  <c r="L76" i="2"/>
  <c r="O76" i="2" s="1"/>
  <c r="L77" i="2"/>
  <c r="O77" i="2" s="1"/>
  <c r="L78" i="2"/>
  <c r="O78" i="2" s="1"/>
  <c r="L79" i="2"/>
  <c r="O79" i="2" s="1"/>
  <c r="L80" i="2"/>
  <c r="O80" i="2" s="1"/>
  <c r="L81" i="2"/>
  <c r="O81" i="2" s="1"/>
  <c r="L82" i="2"/>
  <c r="O82" i="2" s="1"/>
  <c r="L83" i="2"/>
  <c r="O83" i="2" s="1"/>
  <c r="L84" i="2"/>
  <c r="O84" i="2" s="1"/>
  <c r="L85" i="2"/>
  <c r="O85" i="2" s="1"/>
  <c r="L86" i="2"/>
  <c r="O86" i="2" s="1"/>
  <c r="L87" i="2"/>
  <c r="O87" i="2" s="1"/>
  <c r="L88" i="2"/>
  <c r="O88" i="2" s="1"/>
  <c r="L89" i="2"/>
  <c r="O89" i="2" s="1"/>
  <c r="L90" i="2"/>
  <c r="O90" i="2" s="1"/>
  <c r="L91" i="2"/>
  <c r="O91" i="2" s="1"/>
  <c r="L92" i="2"/>
  <c r="O92" i="2" s="1"/>
  <c r="L93" i="2"/>
  <c r="O93" i="2" s="1"/>
  <c r="L94" i="2"/>
  <c r="O94" i="2" s="1"/>
  <c r="L95" i="2"/>
  <c r="O95" i="2" s="1"/>
  <c r="L96" i="2"/>
  <c r="O96" i="2" s="1"/>
  <c r="L97" i="2"/>
  <c r="O97" i="2" s="1"/>
  <c r="L98" i="2"/>
  <c r="O98" i="2" s="1"/>
  <c r="L99" i="2"/>
  <c r="O99" i="2" s="1"/>
  <c r="L100" i="2"/>
  <c r="O100" i="2" s="1"/>
  <c r="L101" i="2"/>
  <c r="O101" i="2" s="1"/>
  <c r="L102" i="2"/>
  <c r="O102" i="2" s="1"/>
  <c r="L103" i="2"/>
  <c r="O103" i="2" s="1"/>
  <c r="L104" i="2"/>
  <c r="O104" i="2" s="1"/>
  <c r="L105" i="2"/>
  <c r="O105" i="2" s="1"/>
  <c r="L106" i="2"/>
  <c r="O106" i="2" s="1"/>
  <c r="L107" i="2"/>
  <c r="O107" i="2" s="1"/>
  <c r="L108" i="2"/>
  <c r="O108" i="2" s="1"/>
  <c r="L109" i="2"/>
  <c r="O109" i="2" s="1"/>
  <c r="L110" i="2"/>
  <c r="O110" i="2" s="1"/>
  <c r="L111" i="2"/>
  <c r="O111" i="2" s="1"/>
  <c r="L112" i="2"/>
  <c r="O112" i="2" s="1"/>
  <c r="L113" i="2"/>
  <c r="O113" i="2" s="1"/>
  <c r="L114" i="2"/>
  <c r="O114" i="2" s="1"/>
  <c r="L115" i="2"/>
  <c r="O115" i="2" s="1"/>
  <c r="L116" i="2"/>
  <c r="O116" i="2" s="1"/>
  <c r="L117" i="2"/>
  <c r="O117" i="2" s="1"/>
  <c r="L118" i="2"/>
  <c r="O118" i="2" s="1"/>
  <c r="L119" i="2"/>
  <c r="O119" i="2" s="1"/>
  <c r="L120" i="2"/>
  <c r="O120" i="2" s="1"/>
  <c r="L121" i="2"/>
  <c r="O121" i="2" s="1"/>
  <c r="L122" i="2"/>
  <c r="O122" i="2" s="1"/>
  <c r="L123" i="2"/>
  <c r="O123" i="2" s="1"/>
  <c r="L124" i="2"/>
  <c r="O124" i="2" s="1"/>
  <c r="L125" i="2"/>
  <c r="O125" i="2" s="1"/>
  <c r="L126" i="2"/>
  <c r="O126" i="2" s="1"/>
  <c r="L127" i="2"/>
  <c r="O127" i="2" s="1"/>
  <c r="L128" i="2"/>
  <c r="O128" i="2" s="1"/>
  <c r="L129" i="2"/>
  <c r="O129" i="2" s="1"/>
  <c r="L130" i="2"/>
  <c r="O130" i="2" s="1"/>
  <c r="L131" i="2"/>
  <c r="O131" i="2" s="1"/>
  <c r="L132" i="2"/>
  <c r="O132" i="2" s="1"/>
  <c r="L133" i="2"/>
  <c r="O133" i="2" s="1"/>
  <c r="L134" i="2"/>
  <c r="O134" i="2" s="1"/>
  <c r="L135" i="2"/>
  <c r="O135" i="2" s="1"/>
  <c r="L136" i="2"/>
  <c r="O136" i="2" s="1"/>
  <c r="L137" i="2"/>
  <c r="O137" i="2" s="1"/>
  <c r="L138" i="2"/>
  <c r="O138" i="2" s="1"/>
  <c r="L139" i="2"/>
  <c r="O139" i="2" s="1"/>
  <c r="L140" i="2"/>
  <c r="O140" i="2" s="1"/>
  <c r="L141" i="2"/>
  <c r="O141" i="2" s="1"/>
  <c r="L142" i="2"/>
  <c r="O142" i="2" s="1"/>
  <c r="L143" i="2"/>
  <c r="O143" i="2" s="1"/>
  <c r="L144" i="2"/>
  <c r="O144" i="2" s="1"/>
  <c r="L145" i="2"/>
  <c r="O145" i="2" s="1"/>
  <c r="L146" i="2"/>
  <c r="O146" i="2" s="1"/>
  <c r="L147" i="2"/>
  <c r="O147" i="2" s="1"/>
  <c r="L148" i="2"/>
  <c r="O148" i="2" s="1"/>
  <c r="L149" i="2"/>
  <c r="O149" i="2" s="1"/>
  <c r="L150" i="2"/>
  <c r="O150" i="2" s="1"/>
  <c r="L151" i="2"/>
  <c r="O151" i="2" s="1"/>
  <c r="L152" i="2"/>
  <c r="O152" i="2" s="1"/>
  <c r="L153" i="2"/>
  <c r="O153" i="2" s="1"/>
  <c r="L154" i="2"/>
  <c r="O154" i="2" s="1"/>
  <c r="L155" i="2"/>
  <c r="O155" i="2" s="1"/>
  <c r="L156" i="2"/>
  <c r="O156" i="2" s="1"/>
  <c r="L157" i="2"/>
  <c r="O157" i="2" s="1"/>
  <c r="L158" i="2"/>
  <c r="O158" i="2" s="1"/>
  <c r="L159" i="2"/>
  <c r="O159" i="2" s="1"/>
  <c r="L160" i="2"/>
  <c r="O160" i="2" s="1"/>
  <c r="L161" i="2"/>
  <c r="O161" i="2" s="1"/>
  <c r="L162" i="2"/>
  <c r="O162" i="2" s="1"/>
  <c r="L163" i="2"/>
  <c r="O163" i="2" s="1"/>
  <c r="L164" i="2"/>
  <c r="O164" i="2" s="1"/>
  <c r="L165" i="2"/>
  <c r="O165" i="2" s="1"/>
  <c r="L166" i="2"/>
  <c r="O166" i="2" s="1"/>
  <c r="L167" i="2"/>
  <c r="O167" i="2" s="1"/>
  <c r="L168" i="2"/>
  <c r="O168" i="2" s="1"/>
  <c r="L169" i="2"/>
  <c r="O169" i="2" s="1"/>
  <c r="L170" i="2"/>
  <c r="O170" i="2" s="1"/>
  <c r="L171" i="2"/>
  <c r="O171" i="2" s="1"/>
  <c r="L172" i="2"/>
  <c r="O172" i="2" s="1"/>
  <c r="L173" i="2"/>
  <c r="O173" i="2" s="1"/>
  <c r="L174" i="2"/>
  <c r="O174" i="2" s="1"/>
  <c r="L175" i="2"/>
  <c r="O175" i="2" s="1"/>
  <c r="L176" i="2"/>
  <c r="O176" i="2" s="1"/>
  <c r="L177" i="2"/>
  <c r="O177" i="2" s="1"/>
  <c r="L178" i="2"/>
  <c r="O178" i="2" s="1"/>
  <c r="L179" i="2"/>
  <c r="O179" i="2" s="1"/>
  <c r="L180" i="2"/>
  <c r="O180" i="2" s="1"/>
  <c r="L181" i="2"/>
  <c r="O181" i="2" s="1"/>
  <c r="L182" i="2"/>
  <c r="O182" i="2" s="1"/>
  <c r="L183" i="2"/>
  <c r="O183" i="2" s="1"/>
  <c r="L184" i="2"/>
  <c r="O184" i="2" s="1"/>
  <c r="L185" i="2"/>
  <c r="O185" i="2" s="1"/>
  <c r="L186" i="2"/>
  <c r="O186" i="2" s="1"/>
  <c r="L187" i="2"/>
  <c r="O187" i="2" s="1"/>
  <c r="L188" i="2"/>
  <c r="O188" i="2" s="1"/>
  <c r="L189" i="2"/>
  <c r="O189" i="2" s="1"/>
  <c r="L190" i="2"/>
  <c r="O190" i="2" s="1"/>
  <c r="L191" i="2"/>
  <c r="O191" i="2" s="1"/>
  <c r="L192" i="2"/>
  <c r="O192" i="2" s="1"/>
  <c r="L193" i="2"/>
  <c r="O193" i="2" s="1"/>
  <c r="L194" i="2"/>
  <c r="O194" i="2" s="1"/>
  <c r="L195" i="2"/>
  <c r="O195" i="2" s="1"/>
  <c r="L196" i="2"/>
  <c r="O196" i="2" s="1"/>
  <c r="L197" i="2"/>
  <c r="O197" i="2" s="1"/>
  <c r="L198" i="2"/>
  <c r="O198" i="2" s="1"/>
  <c r="L199" i="2"/>
  <c r="O199" i="2" s="1"/>
  <c r="L200" i="2"/>
  <c r="O200" i="2" s="1"/>
  <c r="L201" i="2"/>
  <c r="O201" i="2" s="1"/>
  <c r="L202" i="2"/>
  <c r="O202" i="2" s="1"/>
  <c r="L203" i="2"/>
  <c r="O203" i="2" s="1"/>
  <c r="L204" i="2"/>
  <c r="O204" i="2" s="1"/>
  <c r="L205" i="2"/>
  <c r="O205" i="2" s="1"/>
  <c r="L206" i="2"/>
  <c r="O206" i="2" s="1"/>
  <c r="L207" i="2"/>
  <c r="O207" i="2" s="1"/>
  <c r="L208" i="2"/>
  <c r="O208" i="2" s="1"/>
  <c r="L209" i="2"/>
  <c r="O209" i="2" s="1"/>
  <c r="L210" i="2"/>
  <c r="O210" i="2" s="1"/>
  <c r="L211" i="2"/>
  <c r="O211" i="2" s="1"/>
  <c r="L212" i="2"/>
  <c r="O212" i="2" s="1"/>
  <c r="L213" i="2"/>
  <c r="O213" i="2" s="1"/>
  <c r="L214" i="2"/>
  <c r="O214" i="2" s="1"/>
  <c r="L215" i="2"/>
  <c r="O215" i="2" s="1"/>
  <c r="L216" i="2"/>
  <c r="O216" i="2" s="1"/>
  <c r="L217" i="2"/>
  <c r="O217" i="2" s="1"/>
  <c r="L218" i="2"/>
  <c r="O218" i="2" s="1"/>
  <c r="L219" i="2"/>
  <c r="O219" i="2" s="1"/>
  <c r="L220" i="2"/>
  <c r="O220" i="2" s="1"/>
  <c r="L221" i="2"/>
  <c r="O221" i="2" s="1"/>
  <c r="L222" i="2"/>
  <c r="O222" i="2" s="1"/>
  <c r="L223" i="2"/>
  <c r="O223" i="2" s="1"/>
  <c r="L224" i="2"/>
  <c r="O224" i="2" s="1"/>
  <c r="L225" i="2"/>
  <c r="O225" i="2" s="1"/>
  <c r="L226" i="2"/>
  <c r="O226" i="2" s="1"/>
  <c r="L227" i="2"/>
  <c r="O227" i="2" s="1"/>
  <c r="L228" i="2"/>
  <c r="O228" i="2" s="1"/>
  <c r="L229" i="2"/>
  <c r="O229" i="2" s="1"/>
  <c r="L230" i="2"/>
  <c r="O230" i="2" s="1"/>
  <c r="L231" i="2"/>
  <c r="O231" i="2" s="1"/>
  <c r="L232" i="2"/>
  <c r="O232" i="2" s="1"/>
  <c r="L233" i="2"/>
  <c r="O233" i="2" s="1"/>
  <c r="L234" i="2"/>
  <c r="O234" i="2" s="1"/>
  <c r="L235" i="2"/>
  <c r="O235" i="2" s="1"/>
  <c r="L236" i="2"/>
  <c r="O236" i="2" s="1"/>
  <c r="L237" i="2"/>
  <c r="O237" i="2" s="1"/>
  <c r="L238" i="2"/>
  <c r="O238" i="2" s="1"/>
  <c r="L239" i="2"/>
  <c r="O239" i="2" s="1"/>
  <c r="L240" i="2"/>
  <c r="O240" i="2" s="1"/>
  <c r="L241" i="2"/>
  <c r="O241" i="2" s="1"/>
  <c r="L242" i="2"/>
  <c r="O242" i="2" s="1"/>
  <c r="L243" i="2"/>
  <c r="O243" i="2" s="1"/>
  <c r="L244" i="2"/>
  <c r="O244" i="2" s="1"/>
  <c r="L245" i="2"/>
  <c r="O245" i="2" s="1"/>
  <c r="L246" i="2"/>
  <c r="O246" i="2" s="1"/>
  <c r="L247" i="2"/>
  <c r="O247" i="2" s="1"/>
  <c r="L248" i="2"/>
  <c r="O248" i="2" s="1"/>
  <c r="L249" i="2"/>
  <c r="O249" i="2" s="1"/>
  <c r="L250" i="2"/>
  <c r="O250" i="2" s="1"/>
  <c r="L251" i="2"/>
  <c r="O251" i="2" s="1"/>
  <c r="L252" i="2"/>
  <c r="O252" i="2" s="1"/>
  <c r="L253" i="2"/>
  <c r="O253" i="2" s="1"/>
  <c r="L254" i="2"/>
  <c r="O254" i="2" s="1"/>
  <c r="L255" i="2"/>
  <c r="O255" i="2" s="1"/>
  <c r="L256" i="2"/>
  <c r="O256" i="2" s="1"/>
  <c r="L257" i="2"/>
  <c r="O257" i="2" s="1"/>
  <c r="L258" i="2"/>
  <c r="O258" i="2" s="1"/>
  <c r="L259" i="2"/>
  <c r="O259" i="2" s="1"/>
  <c r="L260" i="2"/>
  <c r="O260" i="2" s="1"/>
  <c r="L261" i="2"/>
  <c r="O261" i="2" s="1"/>
  <c r="L262" i="2"/>
  <c r="O262" i="2" s="1"/>
  <c r="L263" i="2"/>
  <c r="O263" i="2" s="1"/>
  <c r="L264" i="2"/>
  <c r="O264" i="2" s="1"/>
  <c r="L265" i="2"/>
  <c r="O265" i="2" s="1"/>
  <c r="L266" i="2"/>
  <c r="O266" i="2" s="1"/>
  <c r="L267" i="2"/>
  <c r="O267" i="2" s="1"/>
  <c r="L268" i="2"/>
  <c r="O268" i="2" s="1"/>
  <c r="L269" i="2"/>
  <c r="O269" i="2" s="1"/>
  <c r="L270" i="2"/>
  <c r="O270" i="2" s="1"/>
  <c r="L271" i="2"/>
  <c r="O271" i="2" s="1"/>
  <c r="L272" i="2"/>
  <c r="O272" i="2" s="1"/>
  <c r="L273" i="2"/>
  <c r="O273" i="2" s="1"/>
  <c r="L274" i="2"/>
  <c r="O274" i="2" s="1"/>
  <c r="L275" i="2"/>
  <c r="O275" i="2" s="1"/>
  <c r="L276" i="2"/>
  <c r="O276" i="2" s="1"/>
  <c r="L277" i="2"/>
  <c r="O277" i="2" s="1"/>
  <c r="L278" i="2"/>
  <c r="O278" i="2" s="1"/>
  <c r="L279" i="2"/>
  <c r="O279" i="2" s="1"/>
  <c r="L280" i="2"/>
  <c r="O280" i="2" s="1"/>
  <c r="L281" i="2"/>
  <c r="O281" i="2" s="1"/>
  <c r="L282" i="2"/>
  <c r="O282" i="2" s="1"/>
  <c r="L283" i="2"/>
  <c r="O283" i="2" s="1"/>
  <c r="L284" i="2"/>
  <c r="O284" i="2" s="1"/>
  <c r="L285" i="2"/>
  <c r="O285" i="2" s="1"/>
  <c r="L286" i="2"/>
  <c r="O286" i="2" s="1"/>
  <c r="L287" i="2"/>
  <c r="O287" i="2" s="1"/>
  <c r="L288" i="2"/>
  <c r="O288" i="2" s="1"/>
  <c r="L289" i="2"/>
  <c r="O289" i="2" s="1"/>
  <c r="L290" i="2"/>
  <c r="O290" i="2" s="1"/>
  <c r="L291" i="2"/>
  <c r="O291" i="2" s="1"/>
  <c r="L292" i="2"/>
  <c r="O292" i="2" s="1"/>
  <c r="L293" i="2"/>
  <c r="O293" i="2" s="1"/>
  <c r="L294" i="2"/>
  <c r="O294" i="2" s="1"/>
  <c r="L295" i="2"/>
  <c r="O295" i="2" s="1"/>
  <c r="L296" i="2"/>
  <c r="O296" i="2" s="1"/>
  <c r="L297" i="2"/>
  <c r="O297" i="2" s="1"/>
  <c r="L298" i="2"/>
  <c r="O298" i="2" s="1"/>
  <c r="L299" i="2"/>
  <c r="O299" i="2" s="1"/>
  <c r="L300" i="2"/>
  <c r="O300" i="2" s="1"/>
  <c r="L301" i="2"/>
  <c r="O301" i="2" s="1"/>
  <c r="L302" i="2"/>
  <c r="O302" i="2" s="1"/>
  <c r="L303" i="2"/>
  <c r="O303" i="2" s="1"/>
  <c r="L304" i="2"/>
  <c r="O304" i="2" s="1"/>
  <c r="L305" i="2"/>
  <c r="O305" i="2" s="1"/>
  <c r="L306" i="2"/>
  <c r="O306" i="2" s="1"/>
  <c r="L307" i="2"/>
  <c r="O307" i="2" s="1"/>
  <c r="L308" i="2"/>
  <c r="O308" i="2" s="1"/>
  <c r="L309" i="2"/>
  <c r="O309" i="2" s="1"/>
  <c r="L310" i="2"/>
  <c r="O310" i="2" s="1"/>
  <c r="L311" i="2"/>
  <c r="O311" i="2" s="1"/>
  <c r="L312" i="2"/>
  <c r="O312" i="2" s="1"/>
  <c r="L313" i="2"/>
  <c r="O313" i="2" s="1"/>
  <c r="L314" i="2"/>
  <c r="O314" i="2" s="1"/>
  <c r="L315" i="2"/>
  <c r="O315" i="2" s="1"/>
  <c r="L316" i="2"/>
  <c r="O316" i="2" s="1"/>
  <c r="L317" i="2"/>
  <c r="O317" i="2" s="1"/>
  <c r="L318" i="2"/>
  <c r="O318" i="2" s="1"/>
  <c r="L319" i="2"/>
  <c r="O319" i="2" s="1"/>
  <c r="L320" i="2"/>
  <c r="O320" i="2" s="1"/>
  <c r="L321" i="2"/>
  <c r="O321" i="2" s="1"/>
  <c r="L322" i="2"/>
  <c r="O322" i="2" s="1"/>
  <c r="L323" i="2"/>
  <c r="O323" i="2" s="1"/>
  <c r="L324" i="2"/>
  <c r="O324" i="2" s="1"/>
  <c r="L325" i="2"/>
  <c r="O325" i="2" s="1"/>
  <c r="L326" i="2"/>
  <c r="O326" i="2" s="1"/>
  <c r="L327" i="2"/>
  <c r="O327" i="2" s="1"/>
  <c r="L328" i="2"/>
  <c r="O328" i="2" s="1"/>
  <c r="L329" i="2"/>
  <c r="O329" i="2" s="1"/>
  <c r="L330" i="2"/>
  <c r="O330" i="2" s="1"/>
  <c r="L331" i="2"/>
  <c r="O331" i="2" s="1"/>
  <c r="L332" i="2"/>
  <c r="O332" i="2" s="1"/>
  <c r="L333" i="2"/>
  <c r="O333" i="2" s="1"/>
  <c r="L334" i="2"/>
  <c r="O334" i="2" s="1"/>
  <c r="L335" i="2"/>
  <c r="O335" i="2" s="1"/>
  <c r="L336" i="2"/>
  <c r="O336" i="2" s="1"/>
  <c r="L337" i="2"/>
  <c r="O337" i="2" s="1"/>
  <c r="L338" i="2"/>
  <c r="O338" i="2" s="1"/>
  <c r="L339" i="2"/>
  <c r="O339" i="2" s="1"/>
  <c r="L340" i="2"/>
  <c r="O340" i="2" s="1"/>
  <c r="L341" i="2"/>
  <c r="O341" i="2" s="1"/>
  <c r="L342" i="2"/>
  <c r="O342" i="2" s="1"/>
  <c r="L343" i="2"/>
  <c r="O343" i="2" s="1"/>
  <c r="L344" i="2"/>
  <c r="O344" i="2" s="1"/>
  <c r="L345" i="2"/>
  <c r="O345" i="2" s="1"/>
  <c r="L346" i="2"/>
  <c r="O346" i="2" s="1"/>
  <c r="L347" i="2"/>
  <c r="O347" i="2" s="1"/>
  <c r="L348" i="2"/>
  <c r="O348" i="2" s="1"/>
  <c r="L349" i="2"/>
  <c r="O349" i="2" s="1"/>
  <c r="L350" i="2"/>
  <c r="O350" i="2" s="1"/>
  <c r="L351" i="2"/>
  <c r="O351" i="2" s="1"/>
  <c r="L352" i="2"/>
  <c r="O352" i="2" s="1"/>
  <c r="L353" i="2"/>
  <c r="O353" i="2" s="1"/>
  <c r="L354" i="2"/>
  <c r="O354" i="2" s="1"/>
  <c r="L355" i="2"/>
  <c r="O355" i="2" s="1"/>
  <c r="L356" i="2"/>
  <c r="O356" i="2" s="1"/>
  <c r="L357" i="2"/>
  <c r="O357" i="2" s="1"/>
  <c r="L358" i="2"/>
  <c r="O358" i="2" s="1"/>
  <c r="L359" i="2"/>
  <c r="O359" i="2" s="1"/>
  <c r="L360" i="2"/>
  <c r="O360" i="2" s="1"/>
  <c r="L361" i="2"/>
  <c r="O361" i="2" s="1"/>
  <c r="L362" i="2"/>
  <c r="O362" i="2" s="1"/>
  <c r="L363" i="2"/>
  <c r="O363" i="2" s="1"/>
  <c r="L364" i="2"/>
  <c r="O364" i="2" s="1"/>
  <c r="L365" i="2"/>
  <c r="O365" i="2" s="1"/>
  <c r="L366" i="2"/>
  <c r="O366" i="2" s="1"/>
  <c r="L367" i="2"/>
  <c r="O367" i="2" s="1"/>
  <c r="L368" i="2"/>
  <c r="O368" i="2" s="1"/>
  <c r="L369" i="2"/>
  <c r="O369" i="2" s="1"/>
  <c r="L370" i="2"/>
  <c r="O370" i="2" s="1"/>
  <c r="L371" i="2"/>
  <c r="O371" i="2" s="1"/>
  <c r="L372" i="2"/>
  <c r="O372" i="2" s="1"/>
  <c r="L373" i="2"/>
  <c r="O373" i="2" s="1"/>
  <c r="L374" i="2"/>
  <c r="O374" i="2" s="1"/>
  <c r="L375" i="2"/>
  <c r="O375" i="2" s="1"/>
  <c r="L376" i="2"/>
  <c r="O376" i="2" s="1"/>
  <c r="L377" i="2"/>
  <c r="O377" i="2" s="1"/>
  <c r="L378" i="2"/>
  <c r="O378" i="2" s="1"/>
  <c r="L379" i="2"/>
  <c r="O379" i="2" s="1"/>
  <c r="L380" i="2"/>
  <c r="O380" i="2" s="1"/>
  <c r="L381" i="2"/>
  <c r="O381" i="2" s="1"/>
  <c r="L382" i="2"/>
  <c r="O382" i="2" s="1"/>
  <c r="L383" i="2"/>
  <c r="O383" i="2" s="1"/>
  <c r="L384" i="2"/>
  <c r="O384" i="2" s="1"/>
  <c r="L385" i="2"/>
  <c r="O385" i="2" s="1"/>
  <c r="L386" i="2"/>
  <c r="O386" i="2" s="1"/>
  <c r="L387" i="2"/>
  <c r="O387" i="2" s="1"/>
  <c r="L388" i="2"/>
  <c r="O388" i="2" s="1"/>
  <c r="L389" i="2"/>
  <c r="O389" i="2" s="1"/>
  <c r="L390" i="2"/>
  <c r="O390" i="2" s="1"/>
  <c r="L391" i="2"/>
  <c r="O391" i="2" s="1"/>
  <c r="L392" i="2"/>
  <c r="O392" i="2" s="1"/>
  <c r="L393" i="2"/>
  <c r="O393" i="2" s="1"/>
  <c r="L394" i="2"/>
  <c r="O394" i="2" s="1"/>
  <c r="L395" i="2"/>
  <c r="O395" i="2" s="1"/>
  <c r="L396" i="2"/>
  <c r="O396" i="2" s="1"/>
  <c r="L397" i="2"/>
  <c r="O397" i="2" s="1"/>
  <c r="L398" i="2"/>
  <c r="O398" i="2" s="1"/>
  <c r="L399" i="2"/>
  <c r="O399" i="2" s="1"/>
  <c r="L400" i="2"/>
  <c r="O400" i="2" s="1"/>
  <c r="L401" i="2"/>
  <c r="O401" i="2" s="1"/>
  <c r="L402" i="2"/>
  <c r="O402" i="2" s="1"/>
  <c r="L403" i="2"/>
  <c r="O403" i="2" s="1"/>
  <c r="L404" i="2"/>
  <c r="O404" i="2" s="1"/>
  <c r="L405" i="2"/>
  <c r="O405" i="2" s="1"/>
  <c r="L406" i="2"/>
  <c r="O406" i="2" s="1"/>
  <c r="L407" i="2"/>
  <c r="O407" i="2" s="1"/>
  <c r="L408" i="2"/>
  <c r="O408" i="2" s="1"/>
  <c r="L409" i="2"/>
  <c r="O409" i="2" s="1"/>
  <c r="L410" i="2"/>
  <c r="O410" i="2" s="1"/>
  <c r="L411" i="2"/>
  <c r="O411" i="2" s="1"/>
  <c r="L412" i="2"/>
  <c r="O412" i="2" s="1"/>
  <c r="L413" i="2"/>
  <c r="O413" i="2" s="1"/>
  <c r="L414" i="2"/>
  <c r="O414" i="2" s="1"/>
  <c r="L415" i="2"/>
  <c r="O415" i="2" s="1"/>
  <c r="L416" i="2"/>
  <c r="O416" i="2" s="1"/>
  <c r="L417" i="2"/>
  <c r="O417" i="2" s="1"/>
  <c r="L418" i="2"/>
  <c r="O418" i="2" s="1"/>
  <c r="L419" i="2"/>
  <c r="O419" i="2" s="1"/>
  <c r="L420" i="2"/>
  <c r="O420" i="2" s="1"/>
  <c r="L421" i="2"/>
  <c r="O421" i="2" s="1"/>
  <c r="L422" i="2"/>
  <c r="O422" i="2" s="1"/>
  <c r="L423" i="2"/>
  <c r="O423" i="2" s="1"/>
  <c r="L424" i="2"/>
  <c r="O424" i="2" s="1"/>
  <c r="L425" i="2"/>
  <c r="O425" i="2" s="1"/>
  <c r="L426" i="2"/>
  <c r="O426" i="2" s="1"/>
  <c r="L427" i="2"/>
  <c r="O427" i="2" s="1"/>
  <c r="L428" i="2"/>
  <c r="O428" i="2" s="1"/>
  <c r="L429" i="2"/>
  <c r="O429" i="2" s="1"/>
  <c r="L430" i="2"/>
  <c r="O430" i="2" s="1"/>
  <c r="L431" i="2"/>
  <c r="O431" i="2" s="1"/>
  <c r="L432" i="2"/>
  <c r="O432" i="2" s="1"/>
  <c r="L433" i="2"/>
  <c r="O433" i="2" s="1"/>
  <c r="L434" i="2"/>
  <c r="O434" i="2" s="1"/>
  <c r="L435" i="2"/>
  <c r="O435" i="2" s="1"/>
  <c r="L436" i="2"/>
  <c r="O436" i="2" s="1"/>
  <c r="L437" i="2"/>
  <c r="O437" i="2" s="1"/>
  <c r="L438" i="2"/>
  <c r="O438" i="2" s="1"/>
  <c r="L439" i="2"/>
  <c r="O439" i="2" s="1"/>
  <c r="L440" i="2"/>
  <c r="O440" i="2" s="1"/>
  <c r="L441" i="2"/>
  <c r="O441" i="2" s="1"/>
  <c r="L442" i="2"/>
  <c r="O442" i="2" s="1"/>
  <c r="L443" i="2"/>
  <c r="O443" i="2" s="1"/>
  <c r="L444" i="2"/>
  <c r="O444" i="2" s="1"/>
  <c r="L445" i="2"/>
  <c r="O445" i="2" s="1"/>
  <c r="L446" i="2"/>
  <c r="O446" i="2" s="1"/>
  <c r="L447" i="2"/>
  <c r="O447" i="2" s="1"/>
  <c r="L448" i="2"/>
  <c r="O448" i="2" s="1"/>
  <c r="L449" i="2"/>
  <c r="O449" i="2" s="1"/>
  <c r="L450" i="2"/>
  <c r="O450" i="2" s="1"/>
  <c r="L451" i="2"/>
  <c r="O451" i="2" s="1"/>
  <c r="L452" i="2"/>
  <c r="O452" i="2" s="1"/>
  <c r="L453" i="2"/>
  <c r="O453" i="2" s="1"/>
  <c r="L454" i="2"/>
  <c r="O454" i="2" s="1"/>
  <c r="L455" i="2"/>
  <c r="O455" i="2" s="1"/>
  <c r="L456" i="2"/>
  <c r="O456" i="2" s="1"/>
  <c r="L457" i="2"/>
  <c r="O457" i="2" s="1"/>
  <c r="L458" i="2"/>
  <c r="O458" i="2" s="1"/>
  <c r="L459" i="2"/>
  <c r="O459" i="2" s="1"/>
  <c r="L460" i="2"/>
  <c r="O460" i="2" s="1"/>
  <c r="L461" i="2"/>
  <c r="O461" i="2" s="1"/>
  <c r="L462" i="2"/>
  <c r="O462" i="2" s="1"/>
  <c r="L463" i="2"/>
  <c r="O463" i="2" s="1"/>
  <c r="L464" i="2"/>
  <c r="O464" i="2" s="1"/>
  <c r="L465" i="2"/>
  <c r="O465" i="2" s="1"/>
  <c r="L466" i="2"/>
  <c r="O466" i="2" s="1"/>
  <c r="L467" i="2"/>
  <c r="O467" i="2" s="1"/>
  <c r="L468" i="2"/>
  <c r="O468" i="2" s="1"/>
  <c r="L469" i="2"/>
  <c r="O469" i="2" s="1"/>
  <c r="L470" i="2"/>
  <c r="O470" i="2" s="1"/>
  <c r="L471" i="2"/>
  <c r="O471" i="2" s="1"/>
  <c r="L472" i="2"/>
  <c r="O472" i="2" s="1"/>
  <c r="L473" i="2"/>
  <c r="O473" i="2" s="1"/>
  <c r="L474" i="2"/>
  <c r="O474" i="2" s="1"/>
  <c r="L475" i="2"/>
  <c r="O475" i="2" s="1"/>
  <c r="L476" i="2"/>
  <c r="O476" i="2" s="1"/>
  <c r="L477" i="2"/>
  <c r="O477" i="2" s="1"/>
  <c r="L478" i="2"/>
  <c r="O478" i="2" s="1"/>
  <c r="L479" i="2"/>
  <c r="O479" i="2" s="1"/>
  <c r="L480" i="2"/>
  <c r="O480" i="2" s="1"/>
  <c r="L481" i="2"/>
  <c r="O481" i="2" s="1"/>
  <c r="L482" i="2"/>
  <c r="O482" i="2" s="1"/>
  <c r="L483" i="2"/>
  <c r="O483" i="2" s="1"/>
  <c r="L484" i="2"/>
  <c r="O484" i="2" s="1"/>
  <c r="L485" i="2"/>
  <c r="O485" i="2" s="1"/>
  <c r="L486" i="2"/>
  <c r="O486" i="2" s="1"/>
  <c r="L487" i="2"/>
  <c r="O487" i="2" s="1"/>
  <c r="L488" i="2"/>
  <c r="O488" i="2" s="1"/>
  <c r="L489" i="2"/>
  <c r="O489" i="2" s="1"/>
  <c r="L490" i="2"/>
  <c r="O490" i="2" s="1"/>
  <c r="L491" i="2"/>
  <c r="O491" i="2" s="1"/>
  <c r="L492" i="2"/>
  <c r="O492" i="2" s="1"/>
  <c r="L493" i="2"/>
  <c r="O493" i="2" s="1"/>
  <c r="L494" i="2"/>
  <c r="O494" i="2" s="1"/>
  <c r="L495" i="2"/>
  <c r="O495" i="2" s="1"/>
  <c r="L496" i="2"/>
  <c r="O496" i="2" s="1"/>
  <c r="L497" i="2"/>
  <c r="O497" i="2" s="1"/>
  <c r="L498" i="2"/>
  <c r="O498" i="2" s="1"/>
  <c r="L499" i="2"/>
  <c r="O499" i="2" s="1"/>
  <c r="L500" i="2"/>
  <c r="O500" i="2" s="1"/>
  <c r="L501" i="2"/>
  <c r="O501" i="2" s="1"/>
  <c r="L502" i="2"/>
  <c r="O502" i="2" s="1"/>
  <c r="L503" i="2"/>
  <c r="O503" i="2" s="1"/>
  <c r="L504" i="2"/>
  <c r="O504" i="2" s="1"/>
  <c r="L505" i="2"/>
  <c r="O505" i="2" s="1"/>
  <c r="L506" i="2"/>
  <c r="O506" i="2" s="1"/>
  <c r="L507" i="2"/>
  <c r="O507" i="2" s="1"/>
  <c r="L508" i="2"/>
  <c r="O508" i="2" s="1"/>
  <c r="L509" i="2"/>
  <c r="O509" i="2" s="1"/>
  <c r="L510" i="2"/>
  <c r="O510" i="2" s="1"/>
  <c r="L511" i="2"/>
  <c r="O511" i="2" s="1"/>
  <c r="L512" i="2"/>
  <c r="O512" i="2" s="1"/>
  <c r="L513" i="2"/>
  <c r="O513" i="2" s="1"/>
  <c r="L514" i="2"/>
  <c r="O514" i="2" s="1"/>
  <c r="L515" i="2"/>
  <c r="O515" i="2" s="1"/>
  <c r="L516" i="2"/>
  <c r="O516" i="2" s="1"/>
  <c r="L517" i="2"/>
  <c r="O517" i="2" s="1"/>
  <c r="L518" i="2"/>
  <c r="O518" i="2" s="1"/>
  <c r="L519" i="2"/>
  <c r="O519" i="2" s="1"/>
  <c r="L520" i="2"/>
  <c r="O520" i="2" s="1"/>
  <c r="L521" i="2"/>
  <c r="O521" i="2" s="1"/>
  <c r="L522" i="2"/>
  <c r="O522" i="2" s="1"/>
  <c r="L523" i="2"/>
  <c r="O523" i="2" s="1"/>
  <c r="L524" i="2"/>
  <c r="O524" i="2" s="1"/>
  <c r="L525" i="2"/>
  <c r="O525" i="2" s="1"/>
  <c r="L526" i="2"/>
  <c r="O526" i="2" s="1"/>
  <c r="L527" i="2"/>
  <c r="O527" i="2" s="1"/>
  <c r="L528" i="2"/>
  <c r="O528" i="2" s="1"/>
  <c r="L529" i="2"/>
  <c r="O529" i="2" s="1"/>
  <c r="L530" i="2"/>
  <c r="O530" i="2" s="1"/>
  <c r="L531" i="2"/>
  <c r="O531" i="2" s="1"/>
  <c r="L532" i="2"/>
  <c r="O532" i="2" s="1"/>
  <c r="L533" i="2"/>
  <c r="O533" i="2" s="1"/>
  <c r="L534" i="2"/>
  <c r="O534" i="2" s="1"/>
  <c r="L535" i="2"/>
  <c r="O535" i="2" s="1"/>
  <c r="L536" i="2"/>
  <c r="O536" i="2" s="1"/>
  <c r="L537" i="2"/>
  <c r="O537" i="2" s="1"/>
  <c r="L538" i="2"/>
  <c r="O538" i="2" s="1"/>
  <c r="L539" i="2"/>
  <c r="O539" i="2" s="1"/>
  <c r="L540" i="2"/>
  <c r="O540" i="2" s="1"/>
  <c r="L541" i="2"/>
  <c r="O541" i="2" s="1"/>
  <c r="L542" i="2"/>
  <c r="O542" i="2" s="1"/>
  <c r="L543" i="2"/>
  <c r="O543" i="2" s="1"/>
  <c r="L544" i="2"/>
  <c r="O544" i="2" s="1"/>
  <c r="L545" i="2"/>
  <c r="O545" i="2" s="1"/>
  <c r="L546" i="2"/>
  <c r="O546" i="2" s="1"/>
  <c r="L547" i="2"/>
  <c r="O547" i="2" s="1"/>
  <c r="L548" i="2"/>
  <c r="O548" i="2" s="1"/>
  <c r="L549" i="2"/>
  <c r="O549" i="2" s="1"/>
  <c r="L550" i="2"/>
  <c r="O550" i="2" s="1"/>
  <c r="L551" i="2"/>
  <c r="O551" i="2" s="1"/>
  <c r="L552" i="2"/>
  <c r="O552" i="2" s="1"/>
  <c r="L553" i="2"/>
  <c r="O553" i="2" s="1"/>
  <c r="L554" i="2"/>
  <c r="O554" i="2" s="1"/>
  <c r="L555" i="2"/>
  <c r="O555" i="2" s="1"/>
  <c r="L556" i="2"/>
  <c r="O556" i="2" s="1"/>
  <c r="L557" i="2"/>
  <c r="O557" i="2" s="1"/>
  <c r="L558" i="2"/>
  <c r="O558" i="2" s="1"/>
  <c r="L559" i="2"/>
  <c r="O559" i="2" s="1"/>
  <c r="L560" i="2"/>
  <c r="O560" i="2" s="1"/>
  <c r="L561" i="2"/>
  <c r="O561" i="2" s="1"/>
  <c r="L562" i="2"/>
  <c r="O562" i="2" s="1"/>
  <c r="L563" i="2"/>
  <c r="O563" i="2" s="1"/>
  <c r="L564" i="2"/>
  <c r="O564" i="2" s="1"/>
  <c r="L565" i="2"/>
  <c r="O565" i="2" s="1"/>
  <c r="L566" i="2"/>
  <c r="O566" i="2" s="1"/>
  <c r="L567" i="2"/>
  <c r="O567" i="2" s="1"/>
  <c r="L568" i="2"/>
  <c r="O568" i="2" s="1"/>
  <c r="L569" i="2"/>
  <c r="O569" i="2" s="1"/>
  <c r="L570" i="2"/>
  <c r="O570" i="2" s="1"/>
  <c r="L571" i="2"/>
  <c r="O571" i="2" s="1"/>
  <c r="L572" i="2"/>
  <c r="O572" i="2" s="1"/>
  <c r="L573" i="2"/>
  <c r="O573" i="2" s="1"/>
  <c r="L574" i="2"/>
  <c r="O574" i="2" s="1"/>
  <c r="L575" i="2"/>
  <c r="O575" i="2" s="1"/>
  <c r="L576" i="2"/>
  <c r="O576" i="2" s="1"/>
  <c r="L577" i="2"/>
  <c r="O577" i="2" s="1"/>
  <c r="L578" i="2"/>
  <c r="O578" i="2" s="1"/>
  <c r="L579" i="2"/>
  <c r="O579" i="2" s="1"/>
  <c r="L580" i="2"/>
  <c r="O580" i="2" s="1"/>
  <c r="L581" i="2"/>
  <c r="O581" i="2" s="1"/>
  <c r="L582" i="2"/>
  <c r="O582" i="2" s="1"/>
  <c r="L583" i="2"/>
  <c r="O583" i="2" s="1"/>
  <c r="L584" i="2"/>
  <c r="O584" i="2" s="1"/>
  <c r="L585" i="2"/>
  <c r="O585" i="2" s="1"/>
  <c r="L586" i="2"/>
  <c r="O586" i="2" s="1"/>
  <c r="L587" i="2"/>
  <c r="O587" i="2" s="1"/>
  <c r="L588" i="2"/>
  <c r="O588" i="2" s="1"/>
  <c r="L589" i="2"/>
  <c r="O589" i="2" s="1"/>
  <c r="L590" i="2"/>
  <c r="O590" i="2" s="1"/>
  <c r="L591" i="2"/>
  <c r="O591" i="2" s="1"/>
  <c r="L592" i="2"/>
  <c r="O592" i="2" s="1"/>
  <c r="L593" i="2"/>
  <c r="O593" i="2" s="1"/>
  <c r="L594" i="2"/>
  <c r="O594" i="2" s="1"/>
  <c r="L595" i="2"/>
  <c r="O595" i="2" s="1"/>
  <c r="L596" i="2"/>
  <c r="O596" i="2" s="1"/>
  <c r="L597" i="2"/>
  <c r="O597" i="2" s="1"/>
  <c r="L598" i="2"/>
  <c r="O598" i="2" s="1"/>
  <c r="L599" i="2"/>
  <c r="O599" i="2" s="1"/>
  <c r="L600" i="2"/>
  <c r="O600" i="2" s="1"/>
  <c r="L601" i="2"/>
  <c r="O601" i="2" s="1"/>
  <c r="L602" i="2"/>
  <c r="O602" i="2" s="1"/>
  <c r="L603" i="2"/>
  <c r="O603" i="2" s="1"/>
  <c r="L604" i="2"/>
  <c r="O604" i="2" s="1"/>
  <c r="L605" i="2"/>
  <c r="O605" i="2" s="1"/>
  <c r="L606" i="2"/>
  <c r="O606" i="2" s="1"/>
  <c r="L607" i="2"/>
  <c r="O607" i="2" s="1"/>
  <c r="L608" i="2"/>
  <c r="O608" i="2" s="1"/>
  <c r="L609" i="2"/>
  <c r="O609" i="2" s="1"/>
  <c r="L610" i="2"/>
  <c r="O610" i="2" s="1"/>
  <c r="L611" i="2"/>
  <c r="O611" i="2" s="1"/>
  <c r="L612" i="2"/>
  <c r="O612" i="2" s="1"/>
  <c r="L613" i="2"/>
  <c r="O613" i="2" s="1"/>
  <c r="L614" i="2"/>
  <c r="O614" i="2" s="1"/>
  <c r="L615" i="2"/>
  <c r="O615" i="2" s="1"/>
  <c r="L616" i="2"/>
  <c r="O616" i="2" s="1"/>
  <c r="L617" i="2"/>
  <c r="O617" i="2" s="1"/>
  <c r="L618" i="2"/>
  <c r="O618" i="2" s="1"/>
  <c r="L619" i="2"/>
  <c r="O619" i="2" s="1"/>
  <c r="L2" i="2"/>
  <c r="O2" i="2" s="1"/>
  <c r="J3" i="2"/>
  <c r="M3" i="2" s="1"/>
  <c r="J4" i="2"/>
  <c r="M4" i="2" s="1"/>
  <c r="J5" i="2"/>
  <c r="M5" i="2" s="1"/>
  <c r="J6" i="2"/>
  <c r="M6" i="2" s="1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M38" i="2" s="1"/>
  <c r="J39" i="2"/>
  <c r="M39" i="2" s="1"/>
  <c r="J40" i="2"/>
  <c r="M40" i="2" s="1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47" i="2"/>
  <c r="M47" i="2" s="1"/>
  <c r="J48" i="2"/>
  <c r="M48" i="2" s="1"/>
  <c r="J49" i="2"/>
  <c r="M49" i="2" s="1"/>
  <c r="J50" i="2"/>
  <c r="M50" i="2" s="1"/>
  <c r="J51" i="2"/>
  <c r="M51" i="2" s="1"/>
  <c r="J52" i="2"/>
  <c r="M52" i="2" s="1"/>
  <c r="J53" i="2"/>
  <c r="M53" i="2" s="1"/>
  <c r="J54" i="2"/>
  <c r="M54" i="2" s="1"/>
  <c r="J55" i="2"/>
  <c r="M55" i="2" s="1"/>
  <c r="J56" i="2"/>
  <c r="M56" i="2" s="1"/>
  <c r="J57" i="2"/>
  <c r="M57" i="2" s="1"/>
  <c r="J58" i="2"/>
  <c r="M58" i="2" s="1"/>
  <c r="J59" i="2"/>
  <c r="M59" i="2" s="1"/>
  <c r="J60" i="2"/>
  <c r="M60" i="2" s="1"/>
  <c r="J61" i="2"/>
  <c r="M61" i="2" s="1"/>
  <c r="J62" i="2"/>
  <c r="M62" i="2" s="1"/>
  <c r="J63" i="2"/>
  <c r="M63" i="2" s="1"/>
  <c r="J64" i="2"/>
  <c r="M64" i="2" s="1"/>
  <c r="J65" i="2"/>
  <c r="M65" i="2" s="1"/>
  <c r="J66" i="2"/>
  <c r="M66" i="2" s="1"/>
  <c r="J67" i="2"/>
  <c r="M67" i="2" s="1"/>
  <c r="J68" i="2"/>
  <c r="M68" i="2" s="1"/>
  <c r="J69" i="2"/>
  <c r="M69" i="2" s="1"/>
  <c r="J70" i="2"/>
  <c r="M70" i="2" s="1"/>
  <c r="J71" i="2"/>
  <c r="M71" i="2" s="1"/>
  <c r="J72" i="2"/>
  <c r="M72" i="2" s="1"/>
  <c r="J73" i="2"/>
  <c r="M73" i="2" s="1"/>
  <c r="J74" i="2"/>
  <c r="M74" i="2" s="1"/>
  <c r="J75" i="2"/>
  <c r="M75" i="2" s="1"/>
  <c r="J76" i="2"/>
  <c r="M76" i="2" s="1"/>
  <c r="J77" i="2"/>
  <c r="M77" i="2" s="1"/>
  <c r="J78" i="2"/>
  <c r="M78" i="2" s="1"/>
  <c r="J79" i="2"/>
  <c r="M79" i="2" s="1"/>
  <c r="J80" i="2"/>
  <c r="M80" i="2" s="1"/>
  <c r="J81" i="2"/>
  <c r="M81" i="2" s="1"/>
  <c r="J82" i="2"/>
  <c r="M82" i="2" s="1"/>
  <c r="J83" i="2"/>
  <c r="M83" i="2" s="1"/>
  <c r="J84" i="2"/>
  <c r="M84" i="2" s="1"/>
  <c r="J85" i="2"/>
  <c r="M85" i="2" s="1"/>
  <c r="J86" i="2"/>
  <c r="M86" i="2" s="1"/>
  <c r="J87" i="2"/>
  <c r="M87" i="2" s="1"/>
  <c r="J88" i="2"/>
  <c r="M88" i="2" s="1"/>
  <c r="J89" i="2"/>
  <c r="M89" i="2" s="1"/>
  <c r="J90" i="2"/>
  <c r="M90" i="2" s="1"/>
  <c r="J91" i="2"/>
  <c r="M91" i="2" s="1"/>
  <c r="J92" i="2"/>
  <c r="M92" i="2" s="1"/>
  <c r="J93" i="2"/>
  <c r="M93" i="2" s="1"/>
  <c r="J94" i="2"/>
  <c r="M94" i="2" s="1"/>
  <c r="J95" i="2"/>
  <c r="M95" i="2" s="1"/>
  <c r="J96" i="2"/>
  <c r="M96" i="2" s="1"/>
  <c r="J97" i="2"/>
  <c r="M97" i="2" s="1"/>
  <c r="J98" i="2"/>
  <c r="M98" i="2" s="1"/>
  <c r="J99" i="2"/>
  <c r="M99" i="2" s="1"/>
  <c r="J100" i="2"/>
  <c r="M100" i="2" s="1"/>
  <c r="J101" i="2"/>
  <c r="M101" i="2" s="1"/>
  <c r="J102" i="2"/>
  <c r="M102" i="2" s="1"/>
  <c r="J103" i="2"/>
  <c r="M103" i="2" s="1"/>
  <c r="J104" i="2"/>
  <c r="M104" i="2" s="1"/>
  <c r="J105" i="2"/>
  <c r="M105" i="2" s="1"/>
  <c r="J106" i="2"/>
  <c r="M106" i="2" s="1"/>
  <c r="J107" i="2"/>
  <c r="M107" i="2" s="1"/>
  <c r="J108" i="2"/>
  <c r="M108" i="2" s="1"/>
  <c r="J109" i="2"/>
  <c r="M109" i="2" s="1"/>
  <c r="J110" i="2"/>
  <c r="M110" i="2" s="1"/>
  <c r="J111" i="2"/>
  <c r="M111" i="2" s="1"/>
  <c r="J112" i="2"/>
  <c r="M112" i="2" s="1"/>
  <c r="J113" i="2"/>
  <c r="M113" i="2" s="1"/>
  <c r="J114" i="2"/>
  <c r="M114" i="2" s="1"/>
  <c r="J115" i="2"/>
  <c r="M115" i="2" s="1"/>
  <c r="J116" i="2"/>
  <c r="M116" i="2" s="1"/>
  <c r="J117" i="2"/>
  <c r="M117" i="2" s="1"/>
  <c r="J118" i="2"/>
  <c r="M118" i="2" s="1"/>
  <c r="J119" i="2"/>
  <c r="M119" i="2" s="1"/>
  <c r="J120" i="2"/>
  <c r="M120" i="2" s="1"/>
  <c r="J121" i="2"/>
  <c r="M121" i="2" s="1"/>
  <c r="J122" i="2"/>
  <c r="M122" i="2" s="1"/>
  <c r="J123" i="2"/>
  <c r="M123" i="2" s="1"/>
  <c r="J124" i="2"/>
  <c r="M124" i="2" s="1"/>
  <c r="J125" i="2"/>
  <c r="M125" i="2" s="1"/>
  <c r="J126" i="2"/>
  <c r="M126" i="2" s="1"/>
  <c r="J127" i="2"/>
  <c r="M127" i="2" s="1"/>
  <c r="J128" i="2"/>
  <c r="M128" i="2" s="1"/>
  <c r="J129" i="2"/>
  <c r="M129" i="2" s="1"/>
  <c r="J130" i="2"/>
  <c r="M130" i="2" s="1"/>
  <c r="J131" i="2"/>
  <c r="M131" i="2" s="1"/>
  <c r="J132" i="2"/>
  <c r="M132" i="2" s="1"/>
  <c r="J133" i="2"/>
  <c r="M133" i="2" s="1"/>
  <c r="J134" i="2"/>
  <c r="M134" i="2" s="1"/>
  <c r="J135" i="2"/>
  <c r="M135" i="2" s="1"/>
  <c r="J136" i="2"/>
  <c r="M136" i="2" s="1"/>
  <c r="J137" i="2"/>
  <c r="M137" i="2" s="1"/>
  <c r="J138" i="2"/>
  <c r="M138" i="2" s="1"/>
  <c r="J139" i="2"/>
  <c r="M139" i="2" s="1"/>
  <c r="J140" i="2"/>
  <c r="M140" i="2" s="1"/>
  <c r="J141" i="2"/>
  <c r="M141" i="2" s="1"/>
  <c r="J142" i="2"/>
  <c r="M142" i="2" s="1"/>
  <c r="J143" i="2"/>
  <c r="M143" i="2" s="1"/>
  <c r="J144" i="2"/>
  <c r="M144" i="2" s="1"/>
  <c r="J145" i="2"/>
  <c r="M145" i="2" s="1"/>
  <c r="J146" i="2"/>
  <c r="M146" i="2" s="1"/>
  <c r="J147" i="2"/>
  <c r="M147" i="2" s="1"/>
  <c r="J148" i="2"/>
  <c r="M148" i="2" s="1"/>
  <c r="J149" i="2"/>
  <c r="M149" i="2" s="1"/>
  <c r="J150" i="2"/>
  <c r="M150" i="2" s="1"/>
  <c r="J151" i="2"/>
  <c r="M151" i="2" s="1"/>
  <c r="J152" i="2"/>
  <c r="M152" i="2" s="1"/>
  <c r="J153" i="2"/>
  <c r="M153" i="2" s="1"/>
  <c r="J154" i="2"/>
  <c r="M154" i="2" s="1"/>
  <c r="J155" i="2"/>
  <c r="M155" i="2" s="1"/>
  <c r="J156" i="2"/>
  <c r="M156" i="2" s="1"/>
  <c r="J157" i="2"/>
  <c r="M157" i="2" s="1"/>
  <c r="J158" i="2"/>
  <c r="M158" i="2" s="1"/>
  <c r="J159" i="2"/>
  <c r="M159" i="2" s="1"/>
  <c r="J160" i="2"/>
  <c r="M160" i="2" s="1"/>
  <c r="J161" i="2"/>
  <c r="M161" i="2" s="1"/>
  <c r="J162" i="2"/>
  <c r="M162" i="2" s="1"/>
  <c r="J163" i="2"/>
  <c r="M163" i="2" s="1"/>
  <c r="J164" i="2"/>
  <c r="M164" i="2" s="1"/>
  <c r="J165" i="2"/>
  <c r="M165" i="2" s="1"/>
  <c r="J166" i="2"/>
  <c r="M166" i="2" s="1"/>
  <c r="J167" i="2"/>
  <c r="M167" i="2" s="1"/>
  <c r="J168" i="2"/>
  <c r="M168" i="2" s="1"/>
  <c r="J169" i="2"/>
  <c r="M169" i="2" s="1"/>
  <c r="J170" i="2"/>
  <c r="M170" i="2" s="1"/>
  <c r="J171" i="2"/>
  <c r="M171" i="2" s="1"/>
  <c r="J172" i="2"/>
  <c r="M172" i="2" s="1"/>
  <c r="J173" i="2"/>
  <c r="M173" i="2" s="1"/>
  <c r="J174" i="2"/>
  <c r="M174" i="2" s="1"/>
  <c r="J175" i="2"/>
  <c r="M175" i="2" s="1"/>
  <c r="J176" i="2"/>
  <c r="M176" i="2" s="1"/>
  <c r="J177" i="2"/>
  <c r="M177" i="2" s="1"/>
  <c r="J178" i="2"/>
  <c r="M178" i="2" s="1"/>
  <c r="J179" i="2"/>
  <c r="M179" i="2" s="1"/>
  <c r="J180" i="2"/>
  <c r="M180" i="2" s="1"/>
  <c r="J181" i="2"/>
  <c r="M181" i="2" s="1"/>
  <c r="J182" i="2"/>
  <c r="M182" i="2" s="1"/>
  <c r="J183" i="2"/>
  <c r="M183" i="2" s="1"/>
  <c r="J184" i="2"/>
  <c r="M184" i="2" s="1"/>
  <c r="J185" i="2"/>
  <c r="M185" i="2" s="1"/>
  <c r="J186" i="2"/>
  <c r="M186" i="2" s="1"/>
  <c r="J187" i="2"/>
  <c r="M187" i="2" s="1"/>
  <c r="J188" i="2"/>
  <c r="M188" i="2" s="1"/>
  <c r="J189" i="2"/>
  <c r="M189" i="2" s="1"/>
  <c r="J190" i="2"/>
  <c r="M190" i="2" s="1"/>
  <c r="J191" i="2"/>
  <c r="M191" i="2" s="1"/>
  <c r="J192" i="2"/>
  <c r="M192" i="2" s="1"/>
  <c r="J193" i="2"/>
  <c r="M193" i="2" s="1"/>
  <c r="J194" i="2"/>
  <c r="M194" i="2" s="1"/>
  <c r="J195" i="2"/>
  <c r="M195" i="2" s="1"/>
  <c r="J196" i="2"/>
  <c r="M196" i="2" s="1"/>
  <c r="J197" i="2"/>
  <c r="M197" i="2" s="1"/>
  <c r="J198" i="2"/>
  <c r="M198" i="2" s="1"/>
  <c r="J199" i="2"/>
  <c r="M199" i="2" s="1"/>
  <c r="J200" i="2"/>
  <c r="M200" i="2" s="1"/>
  <c r="J201" i="2"/>
  <c r="M201" i="2" s="1"/>
  <c r="J202" i="2"/>
  <c r="M202" i="2" s="1"/>
  <c r="J203" i="2"/>
  <c r="M203" i="2" s="1"/>
  <c r="J204" i="2"/>
  <c r="M204" i="2" s="1"/>
  <c r="J205" i="2"/>
  <c r="M205" i="2" s="1"/>
  <c r="J206" i="2"/>
  <c r="M206" i="2" s="1"/>
  <c r="J207" i="2"/>
  <c r="M207" i="2" s="1"/>
  <c r="J208" i="2"/>
  <c r="M208" i="2" s="1"/>
  <c r="J209" i="2"/>
  <c r="M209" i="2" s="1"/>
  <c r="J210" i="2"/>
  <c r="M210" i="2" s="1"/>
  <c r="J211" i="2"/>
  <c r="M211" i="2" s="1"/>
  <c r="J212" i="2"/>
  <c r="M212" i="2" s="1"/>
  <c r="J213" i="2"/>
  <c r="M213" i="2" s="1"/>
  <c r="J214" i="2"/>
  <c r="M214" i="2" s="1"/>
  <c r="J215" i="2"/>
  <c r="M215" i="2" s="1"/>
  <c r="J216" i="2"/>
  <c r="M216" i="2" s="1"/>
  <c r="J217" i="2"/>
  <c r="M217" i="2" s="1"/>
  <c r="J218" i="2"/>
  <c r="M218" i="2" s="1"/>
  <c r="J219" i="2"/>
  <c r="M219" i="2" s="1"/>
  <c r="J220" i="2"/>
  <c r="M220" i="2" s="1"/>
  <c r="J221" i="2"/>
  <c r="M221" i="2" s="1"/>
  <c r="J222" i="2"/>
  <c r="M222" i="2" s="1"/>
  <c r="J223" i="2"/>
  <c r="M223" i="2" s="1"/>
  <c r="J224" i="2"/>
  <c r="M224" i="2" s="1"/>
  <c r="J225" i="2"/>
  <c r="M225" i="2" s="1"/>
  <c r="J226" i="2"/>
  <c r="M226" i="2" s="1"/>
  <c r="J227" i="2"/>
  <c r="M227" i="2" s="1"/>
  <c r="J228" i="2"/>
  <c r="M228" i="2" s="1"/>
  <c r="J229" i="2"/>
  <c r="M229" i="2" s="1"/>
  <c r="J230" i="2"/>
  <c r="M230" i="2" s="1"/>
  <c r="J231" i="2"/>
  <c r="M231" i="2" s="1"/>
  <c r="J232" i="2"/>
  <c r="M232" i="2" s="1"/>
  <c r="J233" i="2"/>
  <c r="M233" i="2" s="1"/>
  <c r="J234" i="2"/>
  <c r="M234" i="2" s="1"/>
  <c r="J235" i="2"/>
  <c r="M235" i="2" s="1"/>
  <c r="J236" i="2"/>
  <c r="M236" i="2" s="1"/>
  <c r="J237" i="2"/>
  <c r="M237" i="2" s="1"/>
  <c r="J238" i="2"/>
  <c r="M238" i="2" s="1"/>
  <c r="J239" i="2"/>
  <c r="M239" i="2" s="1"/>
  <c r="J240" i="2"/>
  <c r="M240" i="2" s="1"/>
  <c r="J241" i="2"/>
  <c r="M241" i="2" s="1"/>
  <c r="J242" i="2"/>
  <c r="M242" i="2" s="1"/>
  <c r="J243" i="2"/>
  <c r="M243" i="2" s="1"/>
  <c r="J244" i="2"/>
  <c r="M244" i="2" s="1"/>
  <c r="J245" i="2"/>
  <c r="M245" i="2" s="1"/>
  <c r="J246" i="2"/>
  <c r="M246" i="2" s="1"/>
  <c r="J247" i="2"/>
  <c r="M247" i="2" s="1"/>
  <c r="J248" i="2"/>
  <c r="M248" i="2" s="1"/>
  <c r="J249" i="2"/>
  <c r="M249" i="2" s="1"/>
  <c r="J250" i="2"/>
  <c r="M250" i="2" s="1"/>
  <c r="J251" i="2"/>
  <c r="M251" i="2" s="1"/>
  <c r="J252" i="2"/>
  <c r="M252" i="2" s="1"/>
  <c r="J253" i="2"/>
  <c r="M253" i="2" s="1"/>
  <c r="J254" i="2"/>
  <c r="M254" i="2" s="1"/>
  <c r="J255" i="2"/>
  <c r="M255" i="2" s="1"/>
  <c r="J256" i="2"/>
  <c r="M256" i="2" s="1"/>
  <c r="J257" i="2"/>
  <c r="M257" i="2" s="1"/>
  <c r="J258" i="2"/>
  <c r="M258" i="2" s="1"/>
  <c r="J259" i="2"/>
  <c r="M259" i="2" s="1"/>
  <c r="J260" i="2"/>
  <c r="M260" i="2" s="1"/>
  <c r="J261" i="2"/>
  <c r="M261" i="2" s="1"/>
  <c r="J262" i="2"/>
  <c r="M262" i="2" s="1"/>
  <c r="J263" i="2"/>
  <c r="M263" i="2" s="1"/>
  <c r="J264" i="2"/>
  <c r="M264" i="2" s="1"/>
  <c r="J265" i="2"/>
  <c r="M265" i="2" s="1"/>
  <c r="J266" i="2"/>
  <c r="M266" i="2" s="1"/>
  <c r="J267" i="2"/>
  <c r="M267" i="2" s="1"/>
  <c r="J268" i="2"/>
  <c r="M268" i="2" s="1"/>
  <c r="J269" i="2"/>
  <c r="M269" i="2" s="1"/>
  <c r="J270" i="2"/>
  <c r="M270" i="2" s="1"/>
  <c r="J271" i="2"/>
  <c r="M271" i="2" s="1"/>
  <c r="J272" i="2"/>
  <c r="M272" i="2" s="1"/>
  <c r="J273" i="2"/>
  <c r="M273" i="2" s="1"/>
  <c r="J274" i="2"/>
  <c r="M274" i="2" s="1"/>
  <c r="J275" i="2"/>
  <c r="M275" i="2" s="1"/>
  <c r="J276" i="2"/>
  <c r="M276" i="2" s="1"/>
  <c r="J277" i="2"/>
  <c r="M277" i="2" s="1"/>
  <c r="J278" i="2"/>
  <c r="M278" i="2" s="1"/>
  <c r="J279" i="2"/>
  <c r="M279" i="2" s="1"/>
  <c r="J280" i="2"/>
  <c r="M280" i="2" s="1"/>
  <c r="J281" i="2"/>
  <c r="M281" i="2" s="1"/>
  <c r="J282" i="2"/>
  <c r="M282" i="2" s="1"/>
  <c r="J283" i="2"/>
  <c r="M283" i="2" s="1"/>
  <c r="J284" i="2"/>
  <c r="M284" i="2" s="1"/>
  <c r="J285" i="2"/>
  <c r="M285" i="2" s="1"/>
  <c r="J286" i="2"/>
  <c r="M286" i="2" s="1"/>
  <c r="J287" i="2"/>
  <c r="M287" i="2" s="1"/>
  <c r="J288" i="2"/>
  <c r="M288" i="2" s="1"/>
  <c r="J289" i="2"/>
  <c r="M289" i="2" s="1"/>
  <c r="J290" i="2"/>
  <c r="M290" i="2" s="1"/>
  <c r="J291" i="2"/>
  <c r="M291" i="2" s="1"/>
  <c r="J292" i="2"/>
  <c r="M292" i="2" s="1"/>
  <c r="J293" i="2"/>
  <c r="M293" i="2" s="1"/>
  <c r="J294" i="2"/>
  <c r="M294" i="2" s="1"/>
  <c r="J295" i="2"/>
  <c r="M295" i="2" s="1"/>
  <c r="J296" i="2"/>
  <c r="M296" i="2" s="1"/>
  <c r="J297" i="2"/>
  <c r="M297" i="2" s="1"/>
  <c r="J298" i="2"/>
  <c r="M298" i="2" s="1"/>
  <c r="J299" i="2"/>
  <c r="M299" i="2" s="1"/>
  <c r="J300" i="2"/>
  <c r="M300" i="2" s="1"/>
  <c r="J301" i="2"/>
  <c r="M301" i="2" s="1"/>
  <c r="J302" i="2"/>
  <c r="M302" i="2" s="1"/>
  <c r="J303" i="2"/>
  <c r="M303" i="2" s="1"/>
  <c r="J304" i="2"/>
  <c r="M304" i="2" s="1"/>
  <c r="J305" i="2"/>
  <c r="M305" i="2" s="1"/>
  <c r="J306" i="2"/>
  <c r="M306" i="2" s="1"/>
  <c r="J307" i="2"/>
  <c r="M307" i="2" s="1"/>
  <c r="J308" i="2"/>
  <c r="M308" i="2" s="1"/>
  <c r="J309" i="2"/>
  <c r="M309" i="2" s="1"/>
  <c r="J310" i="2"/>
  <c r="M310" i="2" s="1"/>
  <c r="J311" i="2"/>
  <c r="M311" i="2" s="1"/>
  <c r="J312" i="2"/>
  <c r="M312" i="2" s="1"/>
  <c r="J313" i="2"/>
  <c r="M313" i="2" s="1"/>
  <c r="J314" i="2"/>
  <c r="M314" i="2" s="1"/>
  <c r="J315" i="2"/>
  <c r="M315" i="2" s="1"/>
  <c r="J316" i="2"/>
  <c r="M316" i="2" s="1"/>
  <c r="J317" i="2"/>
  <c r="M317" i="2" s="1"/>
  <c r="J318" i="2"/>
  <c r="M318" i="2" s="1"/>
  <c r="J319" i="2"/>
  <c r="M319" i="2" s="1"/>
  <c r="J320" i="2"/>
  <c r="M320" i="2" s="1"/>
  <c r="J321" i="2"/>
  <c r="M321" i="2" s="1"/>
  <c r="J322" i="2"/>
  <c r="M322" i="2" s="1"/>
  <c r="J323" i="2"/>
  <c r="M323" i="2" s="1"/>
  <c r="J324" i="2"/>
  <c r="M324" i="2" s="1"/>
  <c r="J325" i="2"/>
  <c r="M325" i="2" s="1"/>
  <c r="J326" i="2"/>
  <c r="M326" i="2" s="1"/>
  <c r="J327" i="2"/>
  <c r="M327" i="2" s="1"/>
  <c r="J328" i="2"/>
  <c r="M328" i="2" s="1"/>
  <c r="J329" i="2"/>
  <c r="M329" i="2" s="1"/>
  <c r="J330" i="2"/>
  <c r="M330" i="2" s="1"/>
  <c r="J331" i="2"/>
  <c r="M331" i="2" s="1"/>
  <c r="J332" i="2"/>
  <c r="M332" i="2" s="1"/>
  <c r="J333" i="2"/>
  <c r="M333" i="2" s="1"/>
  <c r="J334" i="2"/>
  <c r="M334" i="2" s="1"/>
  <c r="J335" i="2"/>
  <c r="M335" i="2" s="1"/>
  <c r="J336" i="2"/>
  <c r="M336" i="2" s="1"/>
  <c r="J337" i="2"/>
  <c r="M337" i="2" s="1"/>
  <c r="J338" i="2"/>
  <c r="M338" i="2" s="1"/>
  <c r="J339" i="2"/>
  <c r="M339" i="2" s="1"/>
  <c r="J340" i="2"/>
  <c r="M340" i="2" s="1"/>
  <c r="J341" i="2"/>
  <c r="M341" i="2" s="1"/>
  <c r="J342" i="2"/>
  <c r="M342" i="2" s="1"/>
  <c r="J343" i="2"/>
  <c r="M343" i="2" s="1"/>
  <c r="J344" i="2"/>
  <c r="M344" i="2" s="1"/>
  <c r="J345" i="2"/>
  <c r="M345" i="2" s="1"/>
  <c r="J346" i="2"/>
  <c r="M346" i="2" s="1"/>
  <c r="J347" i="2"/>
  <c r="M347" i="2" s="1"/>
  <c r="J348" i="2"/>
  <c r="M348" i="2" s="1"/>
  <c r="J349" i="2"/>
  <c r="M349" i="2" s="1"/>
  <c r="J350" i="2"/>
  <c r="M350" i="2" s="1"/>
  <c r="J351" i="2"/>
  <c r="M351" i="2" s="1"/>
  <c r="J352" i="2"/>
  <c r="M352" i="2" s="1"/>
  <c r="J353" i="2"/>
  <c r="M353" i="2" s="1"/>
  <c r="J354" i="2"/>
  <c r="M354" i="2" s="1"/>
  <c r="J355" i="2"/>
  <c r="M355" i="2" s="1"/>
  <c r="J356" i="2"/>
  <c r="M356" i="2" s="1"/>
  <c r="J357" i="2"/>
  <c r="M357" i="2" s="1"/>
  <c r="J358" i="2"/>
  <c r="M358" i="2" s="1"/>
  <c r="J359" i="2"/>
  <c r="M359" i="2" s="1"/>
  <c r="J360" i="2"/>
  <c r="M360" i="2" s="1"/>
  <c r="J361" i="2"/>
  <c r="M361" i="2" s="1"/>
  <c r="J362" i="2"/>
  <c r="M362" i="2" s="1"/>
  <c r="J363" i="2"/>
  <c r="M363" i="2" s="1"/>
  <c r="J364" i="2"/>
  <c r="M364" i="2" s="1"/>
  <c r="J365" i="2"/>
  <c r="M365" i="2" s="1"/>
  <c r="J366" i="2"/>
  <c r="M366" i="2" s="1"/>
  <c r="J367" i="2"/>
  <c r="M367" i="2" s="1"/>
  <c r="J368" i="2"/>
  <c r="M368" i="2" s="1"/>
  <c r="J369" i="2"/>
  <c r="M369" i="2" s="1"/>
  <c r="J370" i="2"/>
  <c r="M370" i="2" s="1"/>
  <c r="J371" i="2"/>
  <c r="M371" i="2" s="1"/>
  <c r="J372" i="2"/>
  <c r="M372" i="2" s="1"/>
  <c r="J373" i="2"/>
  <c r="M373" i="2" s="1"/>
  <c r="J374" i="2"/>
  <c r="M374" i="2" s="1"/>
  <c r="J375" i="2"/>
  <c r="M375" i="2" s="1"/>
  <c r="J376" i="2"/>
  <c r="M376" i="2" s="1"/>
  <c r="J377" i="2"/>
  <c r="M377" i="2" s="1"/>
  <c r="J378" i="2"/>
  <c r="M378" i="2" s="1"/>
  <c r="J379" i="2"/>
  <c r="M379" i="2" s="1"/>
  <c r="J380" i="2"/>
  <c r="M380" i="2" s="1"/>
  <c r="J381" i="2"/>
  <c r="M381" i="2" s="1"/>
  <c r="J382" i="2"/>
  <c r="M382" i="2" s="1"/>
  <c r="J383" i="2"/>
  <c r="M383" i="2" s="1"/>
  <c r="J384" i="2"/>
  <c r="M384" i="2" s="1"/>
  <c r="J385" i="2"/>
  <c r="M385" i="2" s="1"/>
  <c r="J386" i="2"/>
  <c r="M386" i="2" s="1"/>
  <c r="J387" i="2"/>
  <c r="M387" i="2" s="1"/>
  <c r="J388" i="2"/>
  <c r="M388" i="2" s="1"/>
  <c r="J389" i="2"/>
  <c r="M389" i="2" s="1"/>
  <c r="J390" i="2"/>
  <c r="M390" i="2" s="1"/>
  <c r="J391" i="2"/>
  <c r="M391" i="2" s="1"/>
  <c r="J392" i="2"/>
  <c r="M392" i="2" s="1"/>
  <c r="J393" i="2"/>
  <c r="M393" i="2" s="1"/>
  <c r="J394" i="2"/>
  <c r="M394" i="2" s="1"/>
  <c r="J395" i="2"/>
  <c r="M395" i="2" s="1"/>
  <c r="J396" i="2"/>
  <c r="M396" i="2" s="1"/>
  <c r="J397" i="2"/>
  <c r="M397" i="2" s="1"/>
  <c r="J398" i="2"/>
  <c r="M398" i="2" s="1"/>
  <c r="J399" i="2"/>
  <c r="M399" i="2" s="1"/>
  <c r="J400" i="2"/>
  <c r="M400" i="2" s="1"/>
  <c r="J401" i="2"/>
  <c r="M401" i="2" s="1"/>
  <c r="J402" i="2"/>
  <c r="M402" i="2" s="1"/>
  <c r="J403" i="2"/>
  <c r="M403" i="2" s="1"/>
  <c r="J404" i="2"/>
  <c r="M404" i="2" s="1"/>
  <c r="J405" i="2"/>
  <c r="M405" i="2" s="1"/>
  <c r="J406" i="2"/>
  <c r="M406" i="2" s="1"/>
  <c r="J407" i="2"/>
  <c r="M407" i="2" s="1"/>
  <c r="J408" i="2"/>
  <c r="M408" i="2" s="1"/>
  <c r="J409" i="2"/>
  <c r="M409" i="2" s="1"/>
  <c r="J410" i="2"/>
  <c r="M410" i="2" s="1"/>
  <c r="J411" i="2"/>
  <c r="M411" i="2" s="1"/>
  <c r="J412" i="2"/>
  <c r="M412" i="2" s="1"/>
  <c r="J413" i="2"/>
  <c r="M413" i="2" s="1"/>
  <c r="J414" i="2"/>
  <c r="M414" i="2" s="1"/>
  <c r="J415" i="2"/>
  <c r="M415" i="2" s="1"/>
  <c r="J416" i="2"/>
  <c r="M416" i="2" s="1"/>
  <c r="J417" i="2"/>
  <c r="M417" i="2" s="1"/>
  <c r="J418" i="2"/>
  <c r="M418" i="2" s="1"/>
  <c r="J419" i="2"/>
  <c r="M419" i="2" s="1"/>
  <c r="J420" i="2"/>
  <c r="M420" i="2" s="1"/>
  <c r="J421" i="2"/>
  <c r="M421" i="2" s="1"/>
  <c r="J422" i="2"/>
  <c r="M422" i="2" s="1"/>
  <c r="J423" i="2"/>
  <c r="M423" i="2" s="1"/>
  <c r="J424" i="2"/>
  <c r="M424" i="2" s="1"/>
  <c r="J425" i="2"/>
  <c r="M425" i="2" s="1"/>
  <c r="J426" i="2"/>
  <c r="M426" i="2" s="1"/>
  <c r="J427" i="2"/>
  <c r="M427" i="2" s="1"/>
  <c r="J428" i="2"/>
  <c r="M428" i="2" s="1"/>
  <c r="J429" i="2"/>
  <c r="M429" i="2" s="1"/>
  <c r="J430" i="2"/>
  <c r="M430" i="2" s="1"/>
  <c r="J431" i="2"/>
  <c r="M431" i="2" s="1"/>
  <c r="J432" i="2"/>
  <c r="M432" i="2" s="1"/>
  <c r="J433" i="2"/>
  <c r="M433" i="2" s="1"/>
  <c r="J434" i="2"/>
  <c r="M434" i="2" s="1"/>
  <c r="J435" i="2"/>
  <c r="M435" i="2" s="1"/>
  <c r="J436" i="2"/>
  <c r="M436" i="2" s="1"/>
  <c r="J437" i="2"/>
  <c r="M437" i="2" s="1"/>
  <c r="J438" i="2"/>
  <c r="M438" i="2" s="1"/>
  <c r="J439" i="2"/>
  <c r="M439" i="2" s="1"/>
  <c r="J440" i="2"/>
  <c r="M440" i="2" s="1"/>
  <c r="J441" i="2"/>
  <c r="M441" i="2" s="1"/>
  <c r="J442" i="2"/>
  <c r="M442" i="2" s="1"/>
  <c r="J443" i="2"/>
  <c r="M443" i="2" s="1"/>
  <c r="J444" i="2"/>
  <c r="M444" i="2" s="1"/>
  <c r="J445" i="2"/>
  <c r="M445" i="2" s="1"/>
  <c r="J446" i="2"/>
  <c r="M446" i="2" s="1"/>
  <c r="J447" i="2"/>
  <c r="M447" i="2" s="1"/>
  <c r="J448" i="2"/>
  <c r="M448" i="2" s="1"/>
  <c r="J449" i="2"/>
  <c r="M449" i="2" s="1"/>
  <c r="J450" i="2"/>
  <c r="M450" i="2" s="1"/>
  <c r="J451" i="2"/>
  <c r="M451" i="2" s="1"/>
  <c r="J452" i="2"/>
  <c r="M452" i="2" s="1"/>
  <c r="J453" i="2"/>
  <c r="M453" i="2" s="1"/>
  <c r="J454" i="2"/>
  <c r="M454" i="2" s="1"/>
  <c r="J455" i="2"/>
  <c r="M455" i="2" s="1"/>
  <c r="J456" i="2"/>
  <c r="M456" i="2" s="1"/>
  <c r="J457" i="2"/>
  <c r="M457" i="2" s="1"/>
  <c r="J458" i="2"/>
  <c r="M458" i="2" s="1"/>
  <c r="J459" i="2"/>
  <c r="M459" i="2" s="1"/>
  <c r="J460" i="2"/>
  <c r="M460" i="2" s="1"/>
  <c r="J461" i="2"/>
  <c r="M461" i="2" s="1"/>
  <c r="J462" i="2"/>
  <c r="M462" i="2" s="1"/>
  <c r="J463" i="2"/>
  <c r="M463" i="2" s="1"/>
  <c r="J464" i="2"/>
  <c r="M464" i="2" s="1"/>
  <c r="J465" i="2"/>
  <c r="M465" i="2" s="1"/>
  <c r="J466" i="2"/>
  <c r="M466" i="2" s="1"/>
  <c r="J467" i="2"/>
  <c r="M467" i="2" s="1"/>
  <c r="J468" i="2"/>
  <c r="M468" i="2" s="1"/>
  <c r="J469" i="2"/>
  <c r="M469" i="2" s="1"/>
  <c r="J470" i="2"/>
  <c r="M470" i="2" s="1"/>
  <c r="J471" i="2"/>
  <c r="M471" i="2" s="1"/>
  <c r="J472" i="2"/>
  <c r="M472" i="2" s="1"/>
  <c r="J473" i="2"/>
  <c r="M473" i="2" s="1"/>
  <c r="J474" i="2"/>
  <c r="M474" i="2" s="1"/>
  <c r="J475" i="2"/>
  <c r="M475" i="2" s="1"/>
  <c r="J476" i="2"/>
  <c r="M476" i="2" s="1"/>
  <c r="J477" i="2"/>
  <c r="M477" i="2" s="1"/>
  <c r="J478" i="2"/>
  <c r="M478" i="2" s="1"/>
  <c r="J479" i="2"/>
  <c r="M479" i="2" s="1"/>
  <c r="J480" i="2"/>
  <c r="M480" i="2" s="1"/>
  <c r="J481" i="2"/>
  <c r="M481" i="2" s="1"/>
  <c r="J482" i="2"/>
  <c r="M482" i="2" s="1"/>
  <c r="J483" i="2"/>
  <c r="M483" i="2" s="1"/>
  <c r="J484" i="2"/>
  <c r="M484" i="2" s="1"/>
  <c r="J485" i="2"/>
  <c r="M485" i="2" s="1"/>
  <c r="J486" i="2"/>
  <c r="M486" i="2" s="1"/>
  <c r="J487" i="2"/>
  <c r="M487" i="2" s="1"/>
  <c r="J488" i="2"/>
  <c r="M488" i="2" s="1"/>
  <c r="J489" i="2"/>
  <c r="M489" i="2" s="1"/>
  <c r="J490" i="2"/>
  <c r="M490" i="2" s="1"/>
  <c r="J491" i="2"/>
  <c r="M491" i="2" s="1"/>
  <c r="J492" i="2"/>
  <c r="M492" i="2" s="1"/>
  <c r="J493" i="2"/>
  <c r="M493" i="2" s="1"/>
  <c r="J494" i="2"/>
  <c r="M494" i="2" s="1"/>
  <c r="J495" i="2"/>
  <c r="M495" i="2" s="1"/>
  <c r="J496" i="2"/>
  <c r="M496" i="2" s="1"/>
  <c r="J497" i="2"/>
  <c r="M497" i="2" s="1"/>
  <c r="J498" i="2"/>
  <c r="M498" i="2" s="1"/>
  <c r="J499" i="2"/>
  <c r="M499" i="2" s="1"/>
  <c r="J500" i="2"/>
  <c r="M500" i="2" s="1"/>
  <c r="J501" i="2"/>
  <c r="M501" i="2" s="1"/>
  <c r="J502" i="2"/>
  <c r="M502" i="2" s="1"/>
  <c r="J503" i="2"/>
  <c r="M503" i="2" s="1"/>
  <c r="J504" i="2"/>
  <c r="M504" i="2" s="1"/>
  <c r="J505" i="2"/>
  <c r="M505" i="2" s="1"/>
  <c r="J506" i="2"/>
  <c r="M506" i="2" s="1"/>
  <c r="J507" i="2"/>
  <c r="M507" i="2" s="1"/>
  <c r="J508" i="2"/>
  <c r="M508" i="2" s="1"/>
  <c r="J509" i="2"/>
  <c r="M509" i="2" s="1"/>
  <c r="J510" i="2"/>
  <c r="M510" i="2" s="1"/>
  <c r="J511" i="2"/>
  <c r="M511" i="2" s="1"/>
  <c r="J512" i="2"/>
  <c r="M512" i="2" s="1"/>
  <c r="J513" i="2"/>
  <c r="M513" i="2" s="1"/>
  <c r="J514" i="2"/>
  <c r="M514" i="2" s="1"/>
  <c r="J515" i="2"/>
  <c r="M515" i="2" s="1"/>
  <c r="J516" i="2"/>
  <c r="M516" i="2" s="1"/>
  <c r="J517" i="2"/>
  <c r="M517" i="2" s="1"/>
  <c r="J518" i="2"/>
  <c r="M518" i="2" s="1"/>
  <c r="J519" i="2"/>
  <c r="M519" i="2" s="1"/>
  <c r="J520" i="2"/>
  <c r="M520" i="2" s="1"/>
  <c r="J521" i="2"/>
  <c r="M521" i="2" s="1"/>
  <c r="J522" i="2"/>
  <c r="M522" i="2" s="1"/>
  <c r="J523" i="2"/>
  <c r="M523" i="2" s="1"/>
  <c r="J524" i="2"/>
  <c r="M524" i="2" s="1"/>
  <c r="J525" i="2"/>
  <c r="M525" i="2" s="1"/>
  <c r="J526" i="2"/>
  <c r="M526" i="2" s="1"/>
  <c r="J527" i="2"/>
  <c r="M527" i="2" s="1"/>
  <c r="J528" i="2"/>
  <c r="M528" i="2" s="1"/>
  <c r="J529" i="2"/>
  <c r="M529" i="2" s="1"/>
  <c r="J530" i="2"/>
  <c r="M530" i="2" s="1"/>
  <c r="J531" i="2"/>
  <c r="M531" i="2" s="1"/>
  <c r="J532" i="2"/>
  <c r="M532" i="2" s="1"/>
  <c r="J533" i="2"/>
  <c r="M533" i="2" s="1"/>
  <c r="J534" i="2"/>
  <c r="M534" i="2" s="1"/>
  <c r="J535" i="2"/>
  <c r="M535" i="2" s="1"/>
  <c r="J536" i="2"/>
  <c r="M536" i="2" s="1"/>
  <c r="J537" i="2"/>
  <c r="M537" i="2" s="1"/>
  <c r="J538" i="2"/>
  <c r="M538" i="2" s="1"/>
  <c r="J539" i="2"/>
  <c r="M539" i="2" s="1"/>
  <c r="J540" i="2"/>
  <c r="M540" i="2" s="1"/>
  <c r="J541" i="2"/>
  <c r="M541" i="2" s="1"/>
  <c r="J542" i="2"/>
  <c r="M542" i="2" s="1"/>
  <c r="J543" i="2"/>
  <c r="M543" i="2" s="1"/>
  <c r="J544" i="2"/>
  <c r="M544" i="2" s="1"/>
  <c r="J545" i="2"/>
  <c r="M545" i="2" s="1"/>
  <c r="J546" i="2"/>
  <c r="M546" i="2" s="1"/>
  <c r="J547" i="2"/>
  <c r="M547" i="2" s="1"/>
  <c r="J548" i="2"/>
  <c r="M548" i="2" s="1"/>
  <c r="J549" i="2"/>
  <c r="M549" i="2" s="1"/>
  <c r="J550" i="2"/>
  <c r="M550" i="2" s="1"/>
  <c r="J551" i="2"/>
  <c r="M551" i="2" s="1"/>
  <c r="J552" i="2"/>
  <c r="M552" i="2" s="1"/>
  <c r="J553" i="2"/>
  <c r="M553" i="2" s="1"/>
  <c r="J554" i="2"/>
  <c r="M554" i="2" s="1"/>
  <c r="J555" i="2"/>
  <c r="M555" i="2" s="1"/>
  <c r="J556" i="2"/>
  <c r="M556" i="2" s="1"/>
  <c r="J557" i="2"/>
  <c r="M557" i="2" s="1"/>
  <c r="J558" i="2"/>
  <c r="M558" i="2" s="1"/>
  <c r="J559" i="2"/>
  <c r="M559" i="2" s="1"/>
  <c r="J560" i="2"/>
  <c r="M560" i="2" s="1"/>
  <c r="J561" i="2"/>
  <c r="M561" i="2" s="1"/>
  <c r="J562" i="2"/>
  <c r="M562" i="2" s="1"/>
  <c r="J563" i="2"/>
  <c r="M563" i="2" s="1"/>
  <c r="J564" i="2"/>
  <c r="M564" i="2" s="1"/>
  <c r="J565" i="2"/>
  <c r="M565" i="2" s="1"/>
  <c r="J566" i="2"/>
  <c r="M566" i="2" s="1"/>
  <c r="J567" i="2"/>
  <c r="M567" i="2" s="1"/>
  <c r="J568" i="2"/>
  <c r="M568" i="2" s="1"/>
  <c r="J569" i="2"/>
  <c r="M569" i="2" s="1"/>
  <c r="J570" i="2"/>
  <c r="M570" i="2" s="1"/>
  <c r="J571" i="2"/>
  <c r="M571" i="2" s="1"/>
  <c r="J572" i="2"/>
  <c r="M572" i="2" s="1"/>
  <c r="J573" i="2"/>
  <c r="M573" i="2" s="1"/>
  <c r="J574" i="2"/>
  <c r="M574" i="2" s="1"/>
  <c r="J575" i="2"/>
  <c r="M575" i="2" s="1"/>
  <c r="J576" i="2"/>
  <c r="M576" i="2" s="1"/>
  <c r="J577" i="2"/>
  <c r="M577" i="2" s="1"/>
  <c r="J578" i="2"/>
  <c r="M578" i="2" s="1"/>
  <c r="J579" i="2"/>
  <c r="M579" i="2" s="1"/>
  <c r="J580" i="2"/>
  <c r="M580" i="2" s="1"/>
  <c r="J581" i="2"/>
  <c r="M581" i="2" s="1"/>
  <c r="J582" i="2"/>
  <c r="M582" i="2" s="1"/>
  <c r="J583" i="2"/>
  <c r="M583" i="2" s="1"/>
  <c r="J584" i="2"/>
  <c r="M584" i="2" s="1"/>
  <c r="J585" i="2"/>
  <c r="M585" i="2" s="1"/>
  <c r="J586" i="2"/>
  <c r="M586" i="2" s="1"/>
  <c r="J587" i="2"/>
  <c r="M587" i="2" s="1"/>
  <c r="J588" i="2"/>
  <c r="M588" i="2" s="1"/>
  <c r="J589" i="2"/>
  <c r="M589" i="2" s="1"/>
  <c r="J590" i="2"/>
  <c r="M590" i="2" s="1"/>
  <c r="J591" i="2"/>
  <c r="M591" i="2" s="1"/>
  <c r="J592" i="2"/>
  <c r="M592" i="2" s="1"/>
  <c r="J593" i="2"/>
  <c r="M593" i="2" s="1"/>
  <c r="J594" i="2"/>
  <c r="M594" i="2" s="1"/>
  <c r="J595" i="2"/>
  <c r="M595" i="2" s="1"/>
  <c r="J596" i="2"/>
  <c r="M596" i="2" s="1"/>
  <c r="J597" i="2"/>
  <c r="M597" i="2" s="1"/>
  <c r="J598" i="2"/>
  <c r="M598" i="2" s="1"/>
  <c r="J599" i="2"/>
  <c r="M599" i="2" s="1"/>
  <c r="J600" i="2"/>
  <c r="M600" i="2" s="1"/>
  <c r="J601" i="2"/>
  <c r="M601" i="2" s="1"/>
  <c r="J602" i="2"/>
  <c r="M602" i="2" s="1"/>
  <c r="J603" i="2"/>
  <c r="M603" i="2" s="1"/>
  <c r="J604" i="2"/>
  <c r="M604" i="2" s="1"/>
  <c r="J605" i="2"/>
  <c r="M605" i="2" s="1"/>
  <c r="J606" i="2"/>
  <c r="M606" i="2" s="1"/>
  <c r="J607" i="2"/>
  <c r="M607" i="2" s="1"/>
  <c r="J608" i="2"/>
  <c r="M608" i="2" s="1"/>
  <c r="J609" i="2"/>
  <c r="M609" i="2" s="1"/>
  <c r="J610" i="2"/>
  <c r="M610" i="2" s="1"/>
  <c r="J611" i="2"/>
  <c r="M611" i="2" s="1"/>
  <c r="J612" i="2"/>
  <c r="M612" i="2" s="1"/>
  <c r="J613" i="2"/>
  <c r="M613" i="2" s="1"/>
  <c r="J614" i="2"/>
  <c r="M614" i="2" s="1"/>
  <c r="J615" i="2"/>
  <c r="M615" i="2" s="1"/>
  <c r="J616" i="2"/>
  <c r="M616" i="2" s="1"/>
  <c r="J617" i="2"/>
  <c r="M617" i="2" s="1"/>
  <c r="J618" i="2"/>
  <c r="M618" i="2" s="1"/>
  <c r="J619" i="2"/>
  <c r="M619" i="2" s="1"/>
  <c r="J2" i="2"/>
  <c r="M2" i="2" s="1"/>
  <c r="K3" i="2"/>
  <c r="N3" i="2" s="1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7" i="2"/>
  <c r="N67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K85" i="2"/>
  <c r="N85" i="2" s="1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2" i="2"/>
  <c r="N2" i="2" s="1"/>
  <c r="L615" i="1"/>
  <c r="O615" i="1" s="1"/>
  <c r="L614" i="1"/>
  <c r="O614" i="1" s="1"/>
  <c r="L613" i="1"/>
  <c r="O613" i="1" s="1"/>
  <c r="L612" i="1"/>
  <c r="O612" i="1" s="1"/>
  <c r="L611" i="1"/>
  <c r="O611" i="1" s="1"/>
  <c r="L610" i="1"/>
  <c r="O610" i="1" s="1"/>
  <c r="L609" i="1"/>
  <c r="O609" i="1" s="1"/>
  <c r="L608" i="1"/>
  <c r="O608" i="1" s="1"/>
  <c r="L607" i="1"/>
  <c r="O607" i="1" s="1"/>
  <c r="L606" i="1"/>
  <c r="O606" i="1" s="1"/>
  <c r="L605" i="1"/>
  <c r="O605" i="1" s="1"/>
  <c r="L604" i="1"/>
  <c r="O604" i="1" s="1"/>
  <c r="L603" i="1"/>
  <c r="O603" i="1" s="1"/>
  <c r="L602" i="1"/>
  <c r="O602" i="1" s="1"/>
  <c r="L601" i="1"/>
  <c r="O601" i="1" s="1"/>
  <c r="L600" i="1"/>
  <c r="O600" i="1" s="1"/>
  <c r="L599" i="1"/>
  <c r="O599" i="1" s="1"/>
  <c r="L598" i="1"/>
  <c r="O598" i="1" s="1"/>
  <c r="L597" i="1"/>
  <c r="O597" i="1" s="1"/>
  <c r="L596" i="1"/>
  <c r="O596" i="1" s="1"/>
  <c r="L595" i="1"/>
  <c r="O595" i="1" s="1"/>
  <c r="L594" i="1"/>
  <c r="O594" i="1" s="1"/>
  <c r="L593" i="1"/>
  <c r="O593" i="1" s="1"/>
  <c r="L592" i="1"/>
  <c r="O592" i="1" s="1"/>
  <c r="L591" i="1"/>
  <c r="O591" i="1" s="1"/>
  <c r="L590" i="1"/>
  <c r="O590" i="1" s="1"/>
  <c r="L589" i="1"/>
  <c r="O589" i="1" s="1"/>
  <c r="L588" i="1"/>
  <c r="O588" i="1" s="1"/>
  <c r="L587" i="1"/>
  <c r="O587" i="1" s="1"/>
  <c r="L586" i="1"/>
  <c r="O586" i="1" s="1"/>
  <c r="L585" i="1"/>
  <c r="O585" i="1" s="1"/>
  <c r="L584" i="1"/>
  <c r="O584" i="1" s="1"/>
  <c r="L583" i="1"/>
  <c r="O583" i="1" s="1"/>
  <c r="L582" i="1"/>
  <c r="O582" i="1" s="1"/>
  <c r="L581" i="1"/>
  <c r="O581" i="1" s="1"/>
  <c r="L580" i="1"/>
  <c r="O580" i="1" s="1"/>
  <c r="L579" i="1"/>
  <c r="O579" i="1" s="1"/>
  <c r="L578" i="1"/>
  <c r="O578" i="1" s="1"/>
  <c r="L577" i="1"/>
  <c r="O577" i="1" s="1"/>
  <c r="L576" i="1"/>
  <c r="O576" i="1" s="1"/>
  <c r="L575" i="1"/>
  <c r="O575" i="1" s="1"/>
  <c r="L574" i="1"/>
  <c r="O574" i="1" s="1"/>
  <c r="L573" i="1"/>
  <c r="O573" i="1" s="1"/>
  <c r="L572" i="1"/>
  <c r="O572" i="1" s="1"/>
  <c r="L571" i="1"/>
  <c r="O571" i="1" s="1"/>
  <c r="L570" i="1"/>
  <c r="O570" i="1" s="1"/>
  <c r="L569" i="1"/>
  <c r="O569" i="1" s="1"/>
  <c r="L568" i="1"/>
  <c r="O568" i="1" s="1"/>
  <c r="L567" i="1"/>
  <c r="O567" i="1" s="1"/>
  <c r="L566" i="1"/>
  <c r="O566" i="1" s="1"/>
  <c r="L565" i="1"/>
  <c r="O565" i="1" s="1"/>
  <c r="L564" i="1"/>
  <c r="O564" i="1" s="1"/>
  <c r="L563" i="1"/>
  <c r="O563" i="1" s="1"/>
  <c r="L562" i="1"/>
  <c r="O562" i="1" s="1"/>
  <c r="L561" i="1"/>
  <c r="O561" i="1" s="1"/>
  <c r="L560" i="1"/>
  <c r="O560" i="1" s="1"/>
  <c r="L559" i="1"/>
  <c r="O559" i="1" s="1"/>
  <c r="L558" i="1"/>
  <c r="O558" i="1" s="1"/>
  <c r="L557" i="1"/>
  <c r="O557" i="1" s="1"/>
  <c r="L556" i="1"/>
  <c r="O556" i="1" s="1"/>
  <c r="L555" i="1"/>
  <c r="O555" i="1" s="1"/>
  <c r="L554" i="1"/>
  <c r="O554" i="1" s="1"/>
  <c r="L553" i="1"/>
  <c r="O553" i="1" s="1"/>
  <c r="L552" i="1"/>
  <c r="O552" i="1" s="1"/>
  <c r="L551" i="1"/>
  <c r="O551" i="1" s="1"/>
  <c r="L550" i="1"/>
  <c r="O550" i="1" s="1"/>
  <c r="L549" i="1"/>
  <c r="O549" i="1" s="1"/>
  <c r="L548" i="1"/>
  <c r="O548" i="1" s="1"/>
  <c r="L547" i="1"/>
  <c r="O547" i="1" s="1"/>
  <c r="L546" i="1"/>
  <c r="O546" i="1" s="1"/>
  <c r="L545" i="1"/>
  <c r="O545" i="1" s="1"/>
  <c r="L544" i="1"/>
  <c r="O544" i="1" s="1"/>
  <c r="L543" i="1"/>
  <c r="O543" i="1" s="1"/>
  <c r="L542" i="1"/>
  <c r="O542" i="1" s="1"/>
  <c r="L541" i="1"/>
  <c r="O541" i="1" s="1"/>
  <c r="L540" i="1"/>
  <c r="O540" i="1" s="1"/>
  <c r="L539" i="1"/>
  <c r="O539" i="1" s="1"/>
  <c r="L538" i="1"/>
  <c r="O538" i="1" s="1"/>
  <c r="L537" i="1"/>
  <c r="O537" i="1" s="1"/>
  <c r="L536" i="1"/>
  <c r="O536" i="1" s="1"/>
  <c r="L535" i="1"/>
  <c r="O535" i="1" s="1"/>
  <c r="L534" i="1"/>
  <c r="O534" i="1" s="1"/>
  <c r="L533" i="1"/>
  <c r="O533" i="1" s="1"/>
  <c r="L532" i="1"/>
  <c r="O532" i="1" s="1"/>
  <c r="L531" i="1"/>
  <c r="O531" i="1" s="1"/>
  <c r="L530" i="1"/>
  <c r="O530" i="1" s="1"/>
  <c r="L529" i="1"/>
  <c r="O529" i="1" s="1"/>
  <c r="L528" i="1"/>
  <c r="O528" i="1" s="1"/>
  <c r="L527" i="1"/>
  <c r="O527" i="1" s="1"/>
  <c r="L526" i="1"/>
  <c r="O526" i="1" s="1"/>
  <c r="L525" i="1"/>
  <c r="O525" i="1" s="1"/>
  <c r="L524" i="1"/>
  <c r="O524" i="1" s="1"/>
  <c r="L523" i="1"/>
  <c r="O523" i="1" s="1"/>
  <c r="L522" i="1"/>
  <c r="O522" i="1" s="1"/>
  <c r="L521" i="1"/>
  <c r="O521" i="1" s="1"/>
  <c r="L520" i="1"/>
  <c r="O520" i="1" s="1"/>
  <c r="L519" i="1"/>
  <c r="O519" i="1" s="1"/>
  <c r="L518" i="1"/>
  <c r="O518" i="1" s="1"/>
  <c r="L517" i="1"/>
  <c r="O517" i="1" s="1"/>
  <c r="L516" i="1"/>
  <c r="O516" i="1" s="1"/>
  <c r="L515" i="1"/>
  <c r="O515" i="1" s="1"/>
  <c r="L514" i="1"/>
  <c r="O514" i="1" s="1"/>
  <c r="L513" i="1"/>
  <c r="O513" i="1" s="1"/>
  <c r="L512" i="1"/>
  <c r="O512" i="1" s="1"/>
  <c r="L511" i="1"/>
  <c r="O511" i="1" s="1"/>
  <c r="L510" i="1"/>
  <c r="O510" i="1" s="1"/>
  <c r="L509" i="1"/>
  <c r="O509" i="1" s="1"/>
  <c r="L508" i="1"/>
  <c r="O508" i="1" s="1"/>
  <c r="L507" i="1"/>
  <c r="O507" i="1" s="1"/>
  <c r="L506" i="1"/>
  <c r="O506" i="1" s="1"/>
  <c r="L505" i="1"/>
  <c r="O505" i="1" s="1"/>
  <c r="L504" i="1"/>
  <c r="O504" i="1" s="1"/>
  <c r="L503" i="1"/>
  <c r="O503" i="1" s="1"/>
  <c r="L502" i="1"/>
  <c r="O502" i="1" s="1"/>
  <c r="L501" i="1"/>
  <c r="O501" i="1" s="1"/>
  <c r="L500" i="1"/>
  <c r="O500" i="1" s="1"/>
  <c r="L499" i="1"/>
  <c r="O499" i="1" s="1"/>
  <c r="L498" i="1"/>
  <c r="O498" i="1" s="1"/>
  <c r="L497" i="1"/>
  <c r="O497" i="1" s="1"/>
  <c r="L496" i="1"/>
  <c r="O496" i="1" s="1"/>
  <c r="L495" i="1"/>
  <c r="O495" i="1" s="1"/>
  <c r="L494" i="1"/>
  <c r="O494" i="1" s="1"/>
  <c r="L493" i="1"/>
  <c r="O493" i="1" s="1"/>
  <c r="L492" i="1"/>
  <c r="O492" i="1" s="1"/>
  <c r="L491" i="1"/>
  <c r="O491" i="1" s="1"/>
  <c r="L490" i="1"/>
  <c r="O490" i="1" s="1"/>
  <c r="L489" i="1"/>
  <c r="O489" i="1" s="1"/>
  <c r="L488" i="1"/>
  <c r="O488" i="1" s="1"/>
  <c r="L487" i="1"/>
  <c r="O487" i="1" s="1"/>
  <c r="L486" i="1"/>
  <c r="O486" i="1" s="1"/>
  <c r="L485" i="1"/>
  <c r="O485" i="1" s="1"/>
  <c r="L484" i="1"/>
  <c r="O484" i="1" s="1"/>
  <c r="L483" i="1"/>
  <c r="O483" i="1" s="1"/>
  <c r="L482" i="1"/>
  <c r="O482" i="1" s="1"/>
  <c r="L481" i="1"/>
  <c r="O481" i="1" s="1"/>
  <c r="L480" i="1"/>
  <c r="O480" i="1" s="1"/>
  <c r="L479" i="1"/>
  <c r="O479" i="1" s="1"/>
  <c r="L478" i="1"/>
  <c r="O478" i="1" s="1"/>
  <c r="L477" i="1"/>
  <c r="O477" i="1" s="1"/>
  <c r="L476" i="1"/>
  <c r="O476" i="1" s="1"/>
  <c r="L475" i="1"/>
  <c r="O475" i="1" s="1"/>
  <c r="L474" i="1"/>
  <c r="O474" i="1" s="1"/>
  <c r="L473" i="1"/>
  <c r="O473" i="1" s="1"/>
  <c r="L472" i="1"/>
  <c r="O472" i="1" s="1"/>
  <c r="L471" i="1"/>
  <c r="O471" i="1" s="1"/>
  <c r="L470" i="1"/>
  <c r="O470" i="1" s="1"/>
  <c r="L469" i="1"/>
  <c r="O469" i="1" s="1"/>
  <c r="L468" i="1"/>
  <c r="O468" i="1" s="1"/>
  <c r="L467" i="1"/>
  <c r="O467" i="1" s="1"/>
  <c r="L466" i="1"/>
  <c r="O466" i="1" s="1"/>
  <c r="L465" i="1"/>
  <c r="O465" i="1" s="1"/>
  <c r="L464" i="1"/>
  <c r="O464" i="1" s="1"/>
  <c r="L463" i="1"/>
  <c r="O463" i="1" s="1"/>
  <c r="L462" i="1"/>
  <c r="O462" i="1" s="1"/>
  <c r="L461" i="1"/>
  <c r="O461" i="1" s="1"/>
  <c r="L460" i="1"/>
  <c r="O460" i="1" s="1"/>
  <c r="L459" i="1"/>
  <c r="O459" i="1" s="1"/>
  <c r="L458" i="1"/>
  <c r="O458" i="1" s="1"/>
  <c r="L457" i="1"/>
  <c r="O457" i="1" s="1"/>
  <c r="L456" i="1"/>
  <c r="O456" i="1" s="1"/>
  <c r="L455" i="1"/>
  <c r="O455" i="1" s="1"/>
  <c r="L454" i="1"/>
  <c r="O454" i="1" s="1"/>
  <c r="L453" i="1"/>
  <c r="O453" i="1" s="1"/>
  <c r="L452" i="1"/>
  <c r="O452" i="1" s="1"/>
  <c r="L451" i="1"/>
  <c r="O451" i="1" s="1"/>
  <c r="L450" i="1"/>
  <c r="O450" i="1" s="1"/>
  <c r="L449" i="1"/>
  <c r="O449" i="1" s="1"/>
  <c r="L448" i="1"/>
  <c r="O448" i="1" s="1"/>
  <c r="L447" i="1"/>
  <c r="O447" i="1" s="1"/>
  <c r="L446" i="1"/>
  <c r="O446" i="1" s="1"/>
  <c r="L445" i="1"/>
  <c r="O445" i="1" s="1"/>
  <c r="L444" i="1"/>
  <c r="O444" i="1" s="1"/>
  <c r="L443" i="1"/>
  <c r="O443" i="1" s="1"/>
  <c r="L442" i="1"/>
  <c r="O442" i="1" s="1"/>
  <c r="L441" i="1"/>
  <c r="O441" i="1" s="1"/>
  <c r="L440" i="1"/>
  <c r="O440" i="1" s="1"/>
  <c r="L439" i="1"/>
  <c r="O439" i="1" s="1"/>
  <c r="L438" i="1"/>
  <c r="O438" i="1" s="1"/>
  <c r="L437" i="1"/>
  <c r="O437" i="1" s="1"/>
  <c r="L436" i="1"/>
  <c r="O436" i="1" s="1"/>
  <c r="L435" i="1"/>
  <c r="O435" i="1" s="1"/>
  <c r="L434" i="1"/>
  <c r="O434" i="1" s="1"/>
  <c r="L433" i="1"/>
  <c r="O433" i="1" s="1"/>
  <c r="L432" i="1"/>
  <c r="O432" i="1" s="1"/>
  <c r="L431" i="1"/>
  <c r="O431" i="1" s="1"/>
  <c r="L430" i="1"/>
  <c r="O430" i="1" s="1"/>
  <c r="L429" i="1"/>
  <c r="O429" i="1" s="1"/>
  <c r="L428" i="1"/>
  <c r="O428" i="1" s="1"/>
  <c r="L427" i="1"/>
  <c r="O427" i="1" s="1"/>
  <c r="L426" i="1"/>
  <c r="O426" i="1" s="1"/>
  <c r="L425" i="1"/>
  <c r="O425" i="1" s="1"/>
  <c r="L424" i="1"/>
  <c r="O424" i="1" s="1"/>
  <c r="L423" i="1"/>
  <c r="O423" i="1" s="1"/>
  <c r="L422" i="1"/>
  <c r="O422" i="1" s="1"/>
  <c r="L421" i="1"/>
  <c r="O421" i="1" s="1"/>
  <c r="L420" i="1"/>
  <c r="O420" i="1" s="1"/>
  <c r="L419" i="1"/>
  <c r="O419" i="1" s="1"/>
  <c r="L418" i="1"/>
  <c r="O418" i="1" s="1"/>
  <c r="L417" i="1"/>
  <c r="O417" i="1" s="1"/>
  <c r="L416" i="1"/>
  <c r="O416" i="1" s="1"/>
  <c r="L415" i="1"/>
  <c r="O415" i="1" s="1"/>
  <c r="L414" i="1"/>
  <c r="O414" i="1" s="1"/>
  <c r="L413" i="1"/>
  <c r="O413" i="1" s="1"/>
  <c r="L412" i="1"/>
  <c r="O412" i="1" s="1"/>
  <c r="L411" i="1"/>
  <c r="O411" i="1" s="1"/>
  <c r="L410" i="1"/>
  <c r="O410" i="1" s="1"/>
  <c r="L409" i="1"/>
  <c r="O409" i="1" s="1"/>
  <c r="L408" i="1"/>
  <c r="O408" i="1" s="1"/>
  <c r="L407" i="1"/>
  <c r="O407" i="1" s="1"/>
  <c r="L406" i="1"/>
  <c r="O406" i="1" s="1"/>
  <c r="L405" i="1"/>
  <c r="O405" i="1" s="1"/>
  <c r="L404" i="1"/>
  <c r="O404" i="1" s="1"/>
  <c r="L403" i="1"/>
  <c r="O403" i="1" s="1"/>
  <c r="L402" i="1"/>
  <c r="O402" i="1" s="1"/>
  <c r="L401" i="1"/>
  <c r="O401" i="1" s="1"/>
  <c r="L400" i="1"/>
  <c r="O400" i="1" s="1"/>
  <c r="L399" i="1"/>
  <c r="O399" i="1" s="1"/>
  <c r="L398" i="1"/>
  <c r="O398" i="1" s="1"/>
  <c r="L397" i="1"/>
  <c r="O397" i="1" s="1"/>
  <c r="L396" i="1"/>
  <c r="O396" i="1" s="1"/>
  <c r="L395" i="1"/>
  <c r="O395" i="1" s="1"/>
  <c r="L394" i="1"/>
  <c r="O394" i="1" s="1"/>
  <c r="L393" i="1"/>
  <c r="O393" i="1" s="1"/>
  <c r="L392" i="1"/>
  <c r="O392" i="1" s="1"/>
  <c r="L391" i="1"/>
  <c r="O391" i="1" s="1"/>
  <c r="L390" i="1"/>
  <c r="O390" i="1" s="1"/>
  <c r="L389" i="1"/>
  <c r="O389" i="1" s="1"/>
  <c r="L388" i="1"/>
  <c r="O388" i="1" s="1"/>
  <c r="L387" i="1"/>
  <c r="O387" i="1" s="1"/>
  <c r="L386" i="1"/>
  <c r="O386" i="1" s="1"/>
  <c r="L385" i="1"/>
  <c r="O385" i="1" s="1"/>
  <c r="L384" i="1"/>
  <c r="O384" i="1" s="1"/>
  <c r="L383" i="1"/>
  <c r="O383" i="1" s="1"/>
  <c r="L382" i="1"/>
  <c r="O382" i="1" s="1"/>
  <c r="L381" i="1"/>
  <c r="O381" i="1" s="1"/>
  <c r="L380" i="1"/>
  <c r="O380" i="1" s="1"/>
  <c r="L379" i="1"/>
  <c r="O379" i="1" s="1"/>
  <c r="L378" i="1"/>
  <c r="O378" i="1" s="1"/>
  <c r="L377" i="1"/>
  <c r="O377" i="1" s="1"/>
  <c r="L376" i="1"/>
  <c r="O376" i="1" s="1"/>
  <c r="L375" i="1"/>
  <c r="O375" i="1" s="1"/>
  <c r="L374" i="1"/>
  <c r="O374" i="1" s="1"/>
  <c r="L373" i="1"/>
  <c r="O373" i="1" s="1"/>
  <c r="L372" i="1"/>
  <c r="O372" i="1" s="1"/>
  <c r="L371" i="1"/>
  <c r="O371" i="1" s="1"/>
  <c r="L370" i="1"/>
  <c r="O370" i="1" s="1"/>
  <c r="L369" i="1"/>
  <c r="O369" i="1" s="1"/>
  <c r="L368" i="1"/>
  <c r="O368" i="1" s="1"/>
  <c r="L367" i="1"/>
  <c r="O367" i="1" s="1"/>
  <c r="L366" i="1"/>
  <c r="O366" i="1" s="1"/>
  <c r="L365" i="1"/>
  <c r="O365" i="1" s="1"/>
  <c r="L364" i="1"/>
  <c r="O364" i="1" s="1"/>
  <c r="L363" i="1"/>
  <c r="O363" i="1" s="1"/>
  <c r="L362" i="1"/>
  <c r="O362" i="1" s="1"/>
  <c r="L361" i="1"/>
  <c r="O361" i="1" s="1"/>
  <c r="L360" i="1"/>
  <c r="O360" i="1" s="1"/>
  <c r="L359" i="1"/>
  <c r="O359" i="1" s="1"/>
  <c r="L358" i="1"/>
  <c r="O358" i="1" s="1"/>
  <c r="L357" i="1"/>
  <c r="O357" i="1" s="1"/>
  <c r="L356" i="1"/>
  <c r="O356" i="1" s="1"/>
  <c r="L355" i="1"/>
  <c r="O355" i="1" s="1"/>
  <c r="L354" i="1"/>
  <c r="O354" i="1" s="1"/>
  <c r="L353" i="1"/>
  <c r="O353" i="1" s="1"/>
  <c r="L352" i="1"/>
  <c r="O352" i="1" s="1"/>
  <c r="L351" i="1"/>
  <c r="O351" i="1" s="1"/>
  <c r="L350" i="1"/>
  <c r="O350" i="1" s="1"/>
  <c r="L349" i="1"/>
  <c r="O349" i="1" s="1"/>
  <c r="L348" i="1"/>
  <c r="O348" i="1" s="1"/>
  <c r="L347" i="1"/>
  <c r="O347" i="1" s="1"/>
  <c r="L346" i="1"/>
  <c r="O346" i="1" s="1"/>
  <c r="L345" i="1"/>
  <c r="O345" i="1" s="1"/>
  <c r="L344" i="1"/>
  <c r="O344" i="1" s="1"/>
  <c r="L343" i="1"/>
  <c r="O343" i="1" s="1"/>
  <c r="L342" i="1"/>
  <c r="O342" i="1" s="1"/>
  <c r="L341" i="1"/>
  <c r="O341" i="1" s="1"/>
  <c r="L340" i="1"/>
  <c r="O340" i="1" s="1"/>
  <c r="L339" i="1"/>
  <c r="O339" i="1" s="1"/>
  <c r="L338" i="1"/>
  <c r="O338" i="1" s="1"/>
  <c r="L337" i="1"/>
  <c r="O337" i="1" s="1"/>
  <c r="L336" i="1"/>
  <c r="O336" i="1" s="1"/>
  <c r="L335" i="1"/>
  <c r="O335" i="1" s="1"/>
  <c r="L334" i="1"/>
  <c r="O334" i="1" s="1"/>
  <c r="L333" i="1"/>
  <c r="O333" i="1" s="1"/>
  <c r="L332" i="1"/>
  <c r="O332" i="1" s="1"/>
  <c r="L331" i="1"/>
  <c r="O331" i="1" s="1"/>
  <c r="L330" i="1"/>
  <c r="O330" i="1" s="1"/>
  <c r="L329" i="1"/>
  <c r="O329" i="1" s="1"/>
  <c r="L328" i="1"/>
  <c r="O328" i="1" s="1"/>
  <c r="L327" i="1"/>
  <c r="O327" i="1" s="1"/>
  <c r="L326" i="1"/>
  <c r="O326" i="1" s="1"/>
  <c r="L325" i="1"/>
  <c r="O325" i="1" s="1"/>
  <c r="L324" i="1"/>
  <c r="O324" i="1" s="1"/>
  <c r="L323" i="1"/>
  <c r="O323" i="1" s="1"/>
  <c r="L322" i="1"/>
  <c r="O322" i="1" s="1"/>
  <c r="L321" i="1"/>
  <c r="O321" i="1" s="1"/>
  <c r="L320" i="1"/>
  <c r="O320" i="1" s="1"/>
  <c r="L319" i="1"/>
  <c r="O319" i="1" s="1"/>
  <c r="L318" i="1"/>
  <c r="O318" i="1" s="1"/>
  <c r="L317" i="1"/>
  <c r="O317" i="1" s="1"/>
  <c r="L316" i="1"/>
  <c r="O316" i="1" s="1"/>
  <c r="L315" i="1"/>
  <c r="O315" i="1" s="1"/>
  <c r="L314" i="1"/>
  <c r="O314" i="1" s="1"/>
  <c r="L313" i="1"/>
  <c r="O313" i="1" s="1"/>
  <c r="L312" i="1"/>
  <c r="O312" i="1" s="1"/>
  <c r="L311" i="1"/>
  <c r="O311" i="1" s="1"/>
  <c r="L310" i="1"/>
  <c r="O310" i="1" s="1"/>
  <c r="L309" i="1"/>
  <c r="O309" i="1" s="1"/>
  <c r="L308" i="1"/>
  <c r="O308" i="1" s="1"/>
  <c r="L307" i="1"/>
  <c r="O307" i="1" s="1"/>
  <c r="L306" i="1"/>
  <c r="O306" i="1" s="1"/>
  <c r="L305" i="1"/>
  <c r="O305" i="1" s="1"/>
  <c r="L304" i="1"/>
  <c r="O304" i="1" s="1"/>
  <c r="L303" i="1"/>
  <c r="O303" i="1" s="1"/>
  <c r="L302" i="1"/>
  <c r="O302" i="1" s="1"/>
  <c r="L301" i="1"/>
  <c r="O301" i="1" s="1"/>
  <c r="L300" i="1"/>
  <c r="O300" i="1" s="1"/>
  <c r="L299" i="1"/>
  <c r="O299" i="1" s="1"/>
  <c r="L298" i="1"/>
  <c r="O298" i="1" s="1"/>
  <c r="L297" i="1"/>
  <c r="O297" i="1" s="1"/>
  <c r="L296" i="1"/>
  <c r="O296" i="1" s="1"/>
  <c r="L295" i="1"/>
  <c r="O295" i="1" s="1"/>
  <c r="L294" i="1"/>
  <c r="O294" i="1" s="1"/>
  <c r="L293" i="1"/>
  <c r="O293" i="1" s="1"/>
  <c r="L292" i="1"/>
  <c r="O292" i="1" s="1"/>
  <c r="L291" i="1"/>
  <c r="O291" i="1" s="1"/>
  <c r="L290" i="1"/>
  <c r="O290" i="1" s="1"/>
  <c r="L289" i="1"/>
  <c r="O289" i="1" s="1"/>
  <c r="L288" i="1"/>
  <c r="O288" i="1" s="1"/>
  <c r="L287" i="1"/>
  <c r="O287" i="1" s="1"/>
  <c r="L286" i="1"/>
  <c r="O286" i="1" s="1"/>
  <c r="L285" i="1"/>
  <c r="O285" i="1" s="1"/>
  <c r="L284" i="1"/>
  <c r="O284" i="1" s="1"/>
  <c r="L283" i="1"/>
  <c r="O283" i="1" s="1"/>
  <c r="L282" i="1"/>
  <c r="O282" i="1" s="1"/>
  <c r="L281" i="1"/>
  <c r="O281" i="1" s="1"/>
  <c r="L280" i="1"/>
  <c r="O280" i="1" s="1"/>
  <c r="L279" i="1"/>
  <c r="O279" i="1" s="1"/>
  <c r="L278" i="1"/>
  <c r="O278" i="1" s="1"/>
  <c r="L277" i="1"/>
  <c r="O277" i="1" s="1"/>
  <c r="L276" i="1"/>
  <c r="O276" i="1" s="1"/>
  <c r="L275" i="1"/>
  <c r="O275" i="1" s="1"/>
  <c r="L274" i="1"/>
  <c r="O274" i="1" s="1"/>
  <c r="L273" i="1"/>
  <c r="O273" i="1" s="1"/>
  <c r="L272" i="1"/>
  <c r="O272" i="1" s="1"/>
  <c r="L271" i="1"/>
  <c r="O271" i="1" s="1"/>
  <c r="L270" i="1"/>
  <c r="O270" i="1" s="1"/>
  <c r="L269" i="1"/>
  <c r="O269" i="1" s="1"/>
  <c r="L268" i="1"/>
  <c r="O268" i="1" s="1"/>
  <c r="L267" i="1"/>
  <c r="O267" i="1" s="1"/>
  <c r="L266" i="1"/>
  <c r="O266" i="1" s="1"/>
  <c r="L265" i="1"/>
  <c r="O265" i="1" s="1"/>
  <c r="L264" i="1"/>
  <c r="O264" i="1" s="1"/>
  <c r="L263" i="1"/>
  <c r="O263" i="1" s="1"/>
  <c r="L262" i="1"/>
  <c r="O262" i="1" s="1"/>
  <c r="L261" i="1"/>
  <c r="O261" i="1" s="1"/>
  <c r="L260" i="1"/>
  <c r="O260" i="1" s="1"/>
  <c r="L259" i="1"/>
  <c r="O259" i="1" s="1"/>
  <c r="L258" i="1"/>
  <c r="O258" i="1" s="1"/>
  <c r="L257" i="1"/>
  <c r="O257" i="1" s="1"/>
  <c r="L256" i="1"/>
  <c r="O256" i="1" s="1"/>
  <c r="L255" i="1"/>
  <c r="O255" i="1" s="1"/>
  <c r="L254" i="1"/>
  <c r="O254" i="1" s="1"/>
  <c r="L253" i="1"/>
  <c r="O253" i="1" s="1"/>
  <c r="L252" i="1"/>
  <c r="O252" i="1" s="1"/>
  <c r="L251" i="1"/>
  <c r="O251" i="1" s="1"/>
  <c r="L250" i="1"/>
  <c r="O250" i="1" s="1"/>
  <c r="L249" i="1"/>
  <c r="O249" i="1" s="1"/>
  <c r="L248" i="1"/>
  <c r="O248" i="1" s="1"/>
  <c r="L247" i="1"/>
  <c r="O247" i="1" s="1"/>
  <c r="L246" i="1"/>
  <c r="O246" i="1" s="1"/>
  <c r="L245" i="1"/>
  <c r="O245" i="1" s="1"/>
  <c r="L244" i="1"/>
  <c r="O244" i="1" s="1"/>
  <c r="L243" i="1"/>
  <c r="O243" i="1" s="1"/>
  <c r="L242" i="1"/>
  <c r="O242" i="1" s="1"/>
  <c r="L241" i="1"/>
  <c r="O241" i="1" s="1"/>
  <c r="L240" i="1"/>
  <c r="O240" i="1" s="1"/>
  <c r="L239" i="1"/>
  <c r="O239" i="1" s="1"/>
  <c r="L238" i="1"/>
  <c r="O238" i="1" s="1"/>
  <c r="L237" i="1"/>
  <c r="O237" i="1" s="1"/>
  <c r="L236" i="1"/>
  <c r="O236" i="1" s="1"/>
  <c r="L235" i="1"/>
  <c r="O235" i="1" s="1"/>
  <c r="L234" i="1"/>
  <c r="O234" i="1" s="1"/>
  <c r="L233" i="1"/>
  <c r="O233" i="1" s="1"/>
  <c r="L232" i="1"/>
  <c r="O232" i="1" s="1"/>
  <c r="L231" i="1"/>
  <c r="O231" i="1" s="1"/>
  <c r="L230" i="1"/>
  <c r="O230" i="1" s="1"/>
  <c r="L229" i="1"/>
  <c r="O229" i="1" s="1"/>
  <c r="L228" i="1"/>
  <c r="O228" i="1" s="1"/>
  <c r="L227" i="1"/>
  <c r="O227" i="1" s="1"/>
  <c r="L226" i="1"/>
  <c r="O226" i="1" s="1"/>
  <c r="L225" i="1"/>
  <c r="O225" i="1" s="1"/>
  <c r="L224" i="1"/>
  <c r="O224" i="1" s="1"/>
  <c r="L223" i="1"/>
  <c r="O223" i="1" s="1"/>
  <c r="L222" i="1"/>
  <c r="O222" i="1" s="1"/>
  <c r="L221" i="1"/>
  <c r="O221" i="1" s="1"/>
  <c r="L220" i="1"/>
  <c r="O220" i="1" s="1"/>
  <c r="L219" i="1"/>
  <c r="O219" i="1" s="1"/>
  <c r="L218" i="1"/>
  <c r="O218" i="1" s="1"/>
  <c r="L217" i="1"/>
  <c r="O217" i="1" s="1"/>
  <c r="L216" i="1"/>
  <c r="O216" i="1" s="1"/>
  <c r="L215" i="1"/>
  <c r="O215" i="1" s="1"/>
  <c r="L214" i="1"/>
  <c r="O214" i="1" s="1"/>
  <c r="L213" i="1"/>
  <c r="O213" i="1" s="1"/>
  <c r="L212" i="1"/>
  <c r="O212" i="1" s="1"/>
  <c r="L211" i="1"/>
  <c r="O211" i="1" s="1"/>
  <c r="L210" i="1"/>
  <c r="O210" i="1" s="1"/>
  <c r="L209" i="1"/>
  <c r="O209" i="1" s="1"/>
  <c r="L208" i="1"/>
  <c r="O208" i="1" s="1"/>
  <c r="L207" i="1"/>
  <c r="O207" i="1" s="1"/>
  <c r="L206" i="1"/>
  <c r="O206" i="1" s="1"/>
  <c r="L205" i="1"/>
  <c r="O205" i="1" s="1"/>
  <c r="L204" i="1"/>
  <c r="O204" i="1" s="1"/>
  <c r="L203" i="1"/>
  <c r="O203" i="1" s="1"/>
  <c r="L202" i="1"/>
  <c r="O202" i="1" s="1"/>
  <c r="L201" i="1"/>
  <c r="O201" i="1" s="1"/>
  <c r="L200" i="1"/>
  <c r="O200" i="1" s="1"/>
  <c r="L199" i="1"/>
  <c r="O199" i="1" s="1"/>
  <c r="L198" i="1"/>
  <c r="O198" i="1" s="1"/>
  <c r="L197" i="1"/>
  <c r="O197" i="1" s="1"/>
  <c r="L196" i="1"/>
  <c r="O196" i="1" s="1"/>
  <c r="L195" i="1"/>
  <c r="O195" i="1" s="1"/>
  <c r="L194" i="1"/>
  <c r="O194" i="1" s="1"/>
  <c r="L193" i="1"/>
  <c r="O193" i="1" s="1"/>
  <c r="L192" i="1"/>
  <c r="O192" i="1" s="1"/>
  <c r="L191" i="1"/>
  <c r="O191" i="1" s="1"/>
  <c r="L190" i="1"/>
  <c r="O190" i="1" s="1"/>
  <c r="L189" i="1"/>
  <c r="O189" i="1" s="1"/>
  <c r="L188" i="1"/>
  <c r="O188" i="1" s="1"/>
  <c r="L187" i="1"/>
  <c r="O187" i="1" s="1"/>
  <c r="L186" i="1"/>
  <c r="O186" i="1" s="1"/>
  <c r="L185" i="1"/>
  <c r="O185" i="1" s="1"/>
  <c r="L184" i="1"/>
  <c r="O184" i="1" s="1"/>
  <c r="L183" i="1"/>
  <c r="O183" i="1" s="1"/>
  <c r="L182" i="1"/>
  <c r="O182" i="1" s="1"/>
  <c r="L181" i="1"/>
  <c r="O181" i="1" s="1"/>
  <c r="L180" i="1"/>
  <c r="O180" i="1" s="1"/>
  <c r="L179" i="1"/>
  <c r="O179" i="1" s="1"/>
  <c r="L178" i="1"/>
  <c r="O178" i="1" s="1"/>
  <c r="L177" i="1"/>
  <c r="O177" i="1" s="1"/>
  <c r="L176" i="1"/>
  <c r="O176" i="1" s="1"/>
  <c r="L175" i="1"/>
  <c r="O175" i="1" s="1"/>
  <c r="L174" i="1"/>
  <c r="O174" i="1" s="1"/>
  <c r="L173" i="1"/>
  <c r="O173" i="1" s="1"/>
  <c r="L172" i="1"/>
  <c r="O172" i="1" s="1"/>
  <c r="L171" i="1"/>
  <c r="O171" i="1" s="1"/>
  <c r="L170" i="1"/>
  <c r="O170" i="1" s="1"/>
  <c r="L169" i="1"/>
  <c r="O169" i="1" s="1"/>
  <c r="L168" i="1"/>
  <c r="O168" i="1" s="1"/>
  <c r="L167" i="1"/>
  <c r="O167" i="1" s="1"/>
  <c r="L166" i="1"/>
  <c r="O166" i="1" s="1"/>
  <c r="L165" i="1"/>
  <c r="O165" i="1" s="1"/>
  <c r="L164" i="1"/>
  <c r="O164" i="1" s="1"/>
  <c r="L163" i="1"/>
  <c r="O163" i="1" s="1"/>
  <c r="L162" i="1"/>
  <c r="O162" i="1" s="1"/>
  <c r="L161" i="1"/>
  <c r="O161" i="1" s="1"/>
  <c r="L160" i="1"/>
  <c r="O160" i="1" s="1"/>
  <c r="L159" i="1"/>
  <c r="O159" i="1" s="1"/>
  <c r="L158" i="1"/>
  <c r="O158" i="1" s="1"/>
  <c r="L157" i="1"/>
  <c r="O157" i="1" s="1"/>
  <c r="L156" i="1"/>
  <c r="O156" i="1" s="1"/>
  <c r="L155" i="1"/>
  <c r="O155" i="1" s="1"/>
  <c r="L154" i="1"/>
  <c r="O154" i="1" s="1"/>
  <c r="L153" i="1"/>
  <c r="O153" i="1" s="1"/>
  <c r="L152" i="1"/>
  <c r="O152" i="1" s="1"/>
  <c r="L151" i="1"/>
  <c r="O151" i="1" s="1"/>
  <c r="L150" i="1"/>
  <c r="O150" i="1" s="1"/>
  <c r="L149" i="1"/>
  <c r="O149" i="1" s="1"/>
  <c r="L148" i="1"/>
  <c r="O148" i="1" s="1"/>
  <c r="L147" i="1"/>
  <c r="O147" i="1" s="1"/>
  <c r="L146" i="1"/>
  <c r="O146" i="1" s="1"/>
  <c r="L145" i="1"/>
  <c r="O145" i="1" s="1"/>
  <c r="L144" i="1"/>
  <c r="O144" i="1" s="1"/>
  <c r="L143" i="1"/>
  <c r="O143" i="1" s="1"/>
  <c r="L142" i="1"/>
  <c r="O142" i="1" s="1"/>
  <c r="L141" i="1"/>
  <c r="O141" i="1" s="1"/>
  <c r="L140" i="1"/>
  <c r="O140" i="1" s="1"/>
  <c r="L139" i="1"/>
  <c r="O139" i="1" s="1"/>
  <c r="L138" i="1"/>
  <c r="O138" i="1" s="1"/>
  <c r="L137" i="1"/>
  <c r="O137" i="1" s="1"/>
  <c r="L136" i="1"/>
  <c r="O136" i="1" s="1"/>
  <c r="L135" i="1"/>
  <c r="O135" i="1" s="1"/>
  <c r="L134" i="1"/>
  <c r="O134" i="1" s="1"/>
  <c r="L133" i="1"/>
  <c r="O133" i="1" s="1"/>
  <c r="L132" i="1"/>
  <c r="O132" i="1" s="1"/>
  <c r="L131" i="1"/>
  <c r="O131" i="1" s="1"/>
  <c r="L130" i="1"/>
  <c r="O130" i="1" s="1"/>
  <c r="L129" i="1"/>
  <c r="O129" i="1" s="1"/>
  <c r="L128" i="1"/>
  <c r="O128" i="1" s="1"/>
  <c r="L127" i="1"/>
  <c r="O127" i="1" s="1"/>
  <c r="L126" i="1"/>
  <c r="O126" i="1" s="1"/>
  <c r="L125" i="1"/>
  <c r="O125" i="1" s="1"/>
  <c r="L124" i="1"/>
  <c r="O124" i="1" s="1"/>
  <c r="L123" i="1"/>
  <c r="O123" i="1" s="1"/>
  <c r="L122" i="1"/>
  <c r="O122" i="1" s="1"/>
  <c r="L121" i="1"/>
  <c r="O121" i="1" s="1"/>
  <c r="L120" i="1"/>
  <c r="O120" i="1" s="1"/>
  <c r="L119" i="1"/>
  <c r="O119" i="1" s="1"/>
  <c r="L118" i="1"/>
  <c r="O118" i="1" s="1"/>
  <c r="L117" i="1"/>
  <c r="O117" i="1" s="1"/>
  <c r="L116" i="1"/>
  <c r="O116" i="1" s="1"/>
  <c r="L115" i="1"/>
  <c r="O115" i="1" s="1"/>
  <c r="L114" i="1"/>
  <c r="O114" i="1" s="1"/>
  <c r="L113" i="1"/>
  <c r="O113" i="1" s="1"/>
  <c r="L112" i="1"/>
  <c r="O112" i="1" s="1"/>
  <c r="L111" i="1"/>
  <c r="O111" i="1" s="1"/>
  <c r="L110" i="1"/>
  <c r="O110" i="1" s="1"/>
  <c r="L109" i="1"/>
  <c r="O109" i="1" s="1"/>
  <c r="L108" i="1"/>
  <c r="O108" i="1" s="1"/>
  <c r="L107" i="1"/>
  <c r="O107" i="1" s="1"/>
  <c r="L106" i="1"/>
  <c r="O106" i="1" s="1"/>
  <c r="L105" i="1"/>
  <c r="O105" i="1" s="1"/>
  <c r="L104" i="1"/>
  <c r="O104" i="1" s="1"/>
  <c r="L103" i="1"/>
  <c r="O103" i="1" s="1"/>
  <c r="L102" i="1"/>
  <c r="O102" i="1" s="1"/>
  <c r="L101" i="1"/>
  <c r="O101" i="1" s="1"/>
  <c r="L100" i="1"/>
  <c r="O100" i="1" s="1"/>
  <c r="L99" i="1"/>
  <c r="O99" i="1" s="1"/>
  <c r="L98" i="1"/>
  <c r="O98" i="1" s="1"/>
  <c r="L97" i="1"/>
  <c r="O97" i="1" s="1"/>
  <c r="L96" i="1"/>
  <c r="O96" i="1" s="1"/>
  <c r="L95" i="1"/>
  <c r="O95" i="1" s="1"/>
  <c r="L94" i="1"/>
  <c r="O94" i="1" s="1"/>
  <c r="L93" i="1"/>
  <c r="O93" i="1" s="1"/>
  <c r="L92" i="1"/>
  <c r="O92" i="1" s="1"/>
  <c r="L91" i="1"/>
  <c r="O91" i="1" s="1"/>
  <c r="L90" i="1"/>
  <c r="O90" i="1" s="1"/>
  <c r="L89" i="1"/>
  <c r="O89" i="1" s="1"/>
  <c r="L88" i="1"/>
  <c r="O88" i="1" s="1"/>
  <c r="L87" i="1"/>
  <c r="O87" i="1" s="1"/>
  <c r="L86" i="1"/>
  <c r="O86" i="1" s="1"/>
  <c r="L85" i="1"/>
  <c r="O85" i="1" s="1"/>
  <c r="L84" i="1"/>
  <c r="O84" i="1" s="1"/>
  <c r="L83" i="1"/>
  <c r="O83" i="1" s="1"/>
  <c r="L82" i="1"/>
  <c r="O82" i="1" s="1"/>
  <c r="L81" i="1"/>
  <c r="O81" i="1" s="1"/>
  <c r="L80" i="1"/>
  <c r="O80" i="1" s="1"/>
  <c r="L79" i="1"/>
  <c r="O79" i="1" s="1"/>
  <c r="L78" i="1"/>
  <c r="O78" i="1" s="1"/>
  <c r="L77" i="1"/>
  <c r="O77" i="1" s="1"/>
  <c r="L76" i="1"/>
  <c r="O76" i="1" s="1"/>
  <c r="L75" i="1"/>
  <c r="O75" i="1" s="1"/>
  <c r="L74" i="1"/>
  <c r="O74" i="1" s="1"/>
  <c r="L73" i="1"/>
  <c r="O73" i="1" s="1"/>
  <c r="L72" i="1"/>
  <c r="O72" i="1" s="1"/>
  <c r="L71" i="1"/>
  <c r="O71" i="1" s="1"/>
  <c r="L70" i="1"/>
  <c r="O70" i="1" s="1"/>
  <c r="L69" i="1"/>
  <c r="O69" i="1" s="1"/>
  <c r="L68" i="1"/>
  <c r="O68" i="1" s="1"/>
  <c r="L67" i="1"/>
  <c r="O67" i="1" s="1"/>
  <c r="L66" i="1"/>
  <c r="O66" i="1" s="1"/>
  <c r="L65" i="1"/>
  <c r="O65" i="1" s="1"/>
  <c r="L64" i="1"/>
  <c r="O64" i="1" s="1"/>
  <c r="L63" i="1"/>
  <c r="O63" i="1" s="1"/>
  <c r="L62" i="1"/>
  <c r="O62" i="1" s="1"/>
  <c r="L61" i="1"/>
  <c r="O61" i="1" s="1"/>
  <c r="L60" i="1"/>
  <c r="O60" i="1" s="1"/>
  <c r="L59" i="1"/>
  <c r="O59" i="1" s="1"/>
  <c r="L58" i="1"/>
  <c r="O58" i="1" s="1"/>
  <c r="L57" i="1"/>
  <c r="O57" i="1" s="1"/>
  <c r="L56" i="1"/>
  <c r="O56" i="1" s="1"/>
  <c r="L55" i="1"/>
  <c r="O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O44" i="1" s="1"/>
  <c r="L43" i="1"/>
  <c r="O43" i="1" s="1"/>
  <c r="L42" i="1"/>
  <c r="O42" i="1" s="1"/>
  <c r="L41" i="1"/>
  <c r="O41" i="1" s="1"/>
  <c r="L40" i="1"/>
  <c r="O40" i="1" s="1"/>
  <c r="L39" i="1"/>
  <c r="O39" i="1" s="1"/>
  <c r="L38" i="1"/>
  <c r="O38" i="1" s="1"/>
  <c r="L37" i="1"/>
  <c r="O37" i="1" s="1"/>
  <c r="L36" i="1"/>
  <c r="O36" i="1" s="1"/>
  <c r="L35" i="1"/>
  <c r="O35" i="1" s="1"/>
  <c r="L34" i="1"/>
  <c r="O34" i="1" s="1"/>
  <c r="L33" i="1"/>
  <c r="O33" i="1" s="1"/>
  <c r="L32" i="1"/>
  <c r="O32" i="1" s="1"/>
  <c r="L31" i="1"/>
  <c r="O31" i="1" s="1"/>
  <c r="L30" i="1"/>
  <c r="O30" i="1" s="1"/>
  <c r="L29" i="1"/>
  <c r="O29" i="1" s="1"/>
  <c r="L28" i="1"/>
  <c r="O28" i="1" s="1"/>
  <c r="L27" i="1"/>
  <c r="O27" i="1" s="1"/>
  <c r="L26" i="1"/>
  <c r="O26" i="1" s="1"/>
  <c r="L25" i="1"/>
  <c r="O25" i="1" s="1"/>
  <c r="L24" i="1"/>
  <c r="O24" i="1" s="1"/>
  <c r="L23" i="1"/>
  <c r="O23" i="1" s="1"/>
  <c r="L22" i="1"/>
  <c r="O22" i="1" s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O15" i="1" s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8" i="1" s="1"/>
  <c r="L7" i="1"/>
  <c r="O7" i="1" s="1"/>
  <c r="L6" i="1"/>
  <c r="O6" i="1" s="1"/>
  <c r="L5" i="1"/>
  <c r="O5" i="1" s="1"/>
  <c r="L4" i="1"/>
  <c r="O4" i="1" s="1"/>
  <c r="L3" i="1"/>
  <c r="O3" i="1" s="1"/>
  <c r="L2" i="1"/>
  <c r="O2" i="1" s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N41" i="1" s="1"/>
  <c r="K42" i="1"/>
  <c r="N42" i="1" s="1"/>
  <c r="K43" i="1"/>
  <c r="N43" i="1" s="1"/>
  <c r="K44" i="1"/>
  <c r="N44" i="1" s="1"/>
  <c r="K45" i="1"/>
  <c r="N45" i="1" s="1"/>
  <c r="K46" i="1"/>
  <c r="N46" i="1" s="1"/>
  <c r="K47" i="1"/>
  <c r="N47" i="1" s="1"/>
  <c r="K48" i="1"/>
  <c r="N48" i="1" s="1"/>
  <c r="K49" i="1"/>
  <c r="N49" i="1" s="1"/>
  <c r="K50" i="1"/>
  <c r="N50" i="1" s="1"/>
  <c r="K51" i="1"/>
  <c r="N51" i="1" s="1"/>
  <c r="K52" i="1"/>
  <c r="N52" i="1" s="1"/>
  <c r="K53" i="1"/>
  <c r="N53" i="1" s="1"/>
  <c r="K54" i="1"/>
  <c r="N54" i="1" s="1"/>
  <c r="K55" i="1"/>
  <c r="N55" i="1" s="1"/>
  <c r="K56" i="1"/>
  <c r="N56" i="1" s="1"/>
  <c r="K57" i="1"/>
  <c r="N57" i="1" s="1"/>
  <c r="K58" i="1"/>
  <c r="N58" i="1" s="1"/>
  <c r="K59" i="1"/>
  <c r="N59" i="1" s="1"/>
  <c r="K60" i="1"/>
  <c r="N60" i="1" s="1"/>
  <c r="K61" i="1"/>
  <c r="N61" i="1" s="1"/>
  <c r="K62" i="1"/>
  <c r="N62" i="1" s="1"/>
  <c r="K63" i="1"/>
  <c r="N63" i="1" s="1"/>
  <c r="K64" i="1"/>
  <c r="N64" i="1" s="1"/>
  <c r="K65" i="1"/>
  <c r="N65" i="1" s="1"/>
  <c r="K66" i="1"/>
  <c r="N66" i="1" s="1"/>
  <c r="K67" i="1"/>
  <c r="N67" i="1" s="1"/>
  <c r="K68" i="1"/>
  <c r="N68" i="1" s="1"/>
  <c r="K69" i="1"/>
  <c r="N69" i="1" s="1"/>
  <c r="K70" i="1"/>
  <c r="N70" i="1" s="1"/>
  <c r="K71" i="1"/>
  <c r="N71" i="1" s="1"/>
  <c r="K72" i="1"/>
  <c r="N72" i="1" s="1"/>
  <c r="K73" i="1"/>
  <c r="N73" i="1" s="1"/>
  <c r="K74" i="1"/>
  <c r="N74" i="1" s="1"/>
  <c r="K75" i="1"/>
  <c r="N75" i="1" s="1"/>
  <c r="K76" i="1"/>
  <c r="N76" i="1" s="1"/>
  <c r="K77" i="1"/>
  <c r="N77" i="1" s="1"/>
  <c r="K78" i="1"/>
  <c r="N78" i="1" s="1"/>
  <c r="K79" i="1"/>
  <c r="N79" i="1" s="1"/>
  <c r="K80" i="1"/>
  <c r="N80" i="1" s="1"/>
  <c r="K81" i="1"/>
  <c r="N81" i="1" s="1"/>
  <c r="K82" i="1"/>
  <c r="N82" i="1" s="1"/>
  <c r="K83" i="1"/>
  <c r="N83" i="1" s="1"/>
  <c r="K84" i="1"/>
  <c r="N84" i="1" s="1"/>
  <c r="K85" i="1"/>
  <c r="N85" i="1" s="1"/>
  <c r="K86" i="1"/>
  <c r="N86" i="1" s="1"/>
  <c r="K87" i="1"/>
  <c r="N87" i="1" s="1"/>
  <c r="K88" i="1"/>
  <c r="N88" i="1" s="1"/>
  <c r="K89" i="1"/>
  <c r="N89" i="1" s="1"/>
  <c r="K90" i="1"/>
  <c r="N90" i="1" s="1"/>
  <c r="K91" i="1"/>
  <c r="N91" i="1" s="1"/>
  <c r="K92" i="1"/>
  <c r="N92" i="1" s="1"/>
  <c r="K93" i="1"/>
  <c r="N93" i="1" s="1"/>
  <c r="K94" i="1"/>
  <c r="N94" i="1" s="1"/>
  <c r="K95" i="1"/>
  <c r="N95" i="1" s="1"/>
  <c r="K96" i="1"/>
  <c r="N96" i="1" s="1"/>
  <c r="K97" i="1"/>
  <c r="N97" i="1" s="1"/>
  <c r="K98" i="1"/>
  <c r="N98" i="1" s="1"/>
  <c r="K99" i="1"/>
  <c r="N99" i="1" s="1"/>
  <c r="K100" i="1"/>
  <c r="N100" i="1" s="1"/>
  <c r="K101" i="1"/>
  <c r="N101" i="1" s="1"/>
  <c r="K102" i="1"/>
  <c r="N102" i="1" s="1"/>
  <c r="K103" i="1"/>
  <c r="N103" i="1" s="1"/>
  <c r="K104" i="1"/>
  <c r="N104" i="1" s="1"/>
  <c r="K105" i="1"/>
  <c r="N105" i="1" s="1"/>
  <c r="K106" i="1"/>
  <c r="N106" i="1" s="1"/>
  <c r="K107" i="1"/>
  <c r="N107" i="1" s="1"/>
  <c r="K108" i="1"/>
  <c r="N108" i="1" s="1"/>
  <c r="K109" i="1"/>
  <c r="N109" i="1" s="1"/>
  <c r="K110" i="1"/>
  <c r="N110" i="1" s="1"/>
  <c r="K111" i="1"/>
  <c r="N111" i="1" s="1"/>
  <c r="K112" i="1"/>
  <c r="N112" i="1" s="1"/>
  <c r="K113" i="1"/>
  <c r="N113" i="1" s="1"/>
  <c r="K114" i="1"/>
  <c r="N114" i="1" s="1"/>
  <c r="K115" i="1"/>
  <c r="N115" i="1" s="1"/>
  <c r="K116" i="1"/>
  <c r="N116" i="1" s="1"/>
  <c r="K117" i="1"/>
  <c r="N117" i="1" s="1"/>
  <c r="K118" i="1"/>
  <c r="N118" i="1" s="1"/>
  <c r="K119" i="1"/>
  <c r="N119" i="1" s="1"/>
  <c r="K120" i="1"/>
  <c r="N120" i="1" s="1"/>
  <c r="K121" i="1"/>
  <c r="N121" i="1" s="1"/>
  <c r="K122" i="1"/>
  <c r="N122" i="1" s="1"/>
  <c r="K123" i="1"/>
  <c r="N123" i="1" s="1"/>
  <c r="K124" i="1"/>
  <c r="N124" i="1" s="1"/>
  <c r="K125" i="1"/>
  <c r="N125" i="1" s="1"/>
  <c r="K126" i="1"/>
  <c r="N126" i="1" s="1"/>
  <c r="K127" i="1"/>
  <c r="N127" i="1" s="1"/>
  <c r="K128" i="1"/>
  <c r="N128" i="1" s="1"/>
  <c r="K129" i="1"/>
  <c r="N129" i="1" s="1"/>
  <c r="K130" i="1"/>
  <c r="N130" i="1" s="1"/>
  <c r="K131" i="1"/>
  <c r="N131" i="1" s="1"/>
  <c r="K132" i="1"/>
  <c r="N132" i="1" s="1"/>
  <c r="K133" i="1"/>
  <c r="N133" i="1" s="1"/>
  <c r="K134" i="1"/>
  <c r="N134" i="1" s="1"/>
  <c r="K135" i="1"/>
  <c r="N135" i="1" s="1"/>
  <c r="K136" i="1"/>
  <c r="N136" i="1" s="1"/>
  <c r="K137" i="1"/>
  <c r="N137" i="1" s="1"/>
  <c r="K138" i="1"/>
  <c r="N138" i="1" s="1"/>
  <c r="K139" i="1"/>
  <c r="N139" i="1" s="1"/>
  <c r="K140" i="1"/>
  <c r="N140" i="1" s="1"/>
  <c r="K141" i="1"/>
  <c r="N141" i="1" s="1"/>
  <c r="K142" i="1"/>
  <c r="N142" i="1" s="1"/>
  <c r="K143" i="1"/>
  <c r="N143" i="1" s="1"/>
  <c r="K144" i="1"/>
  <c r="N144" i="1" s="1"/>
  <c r="K145" i="1"/>
  <c r="N145" i="1" s="1"/>
  <c r="K146" i="1"/>
  <c r="N146" i="1" s="1"/>
  <c r="K147" i="1"/>
  <c r="N147" i="1" s="1"/>
  <c r="K148" i="1"/>
  <c r="N148" i="1" s="1"/>
  <c r="K149" i="1"/>
  <c r="N149" i="1" s="1"/>
  <c r="K150" i="1"/>
  <c r="N150" i="1" s="1"/>
  <c r="K151" i="1"/>
  <c r="N151" i="1" s="1"/>
  <c r="K152" i="1"/>
  <c r="N152" i="1" s="1"/>
  <c r="K153" i="1"/>
  <c r="N153" i="1" s="1"/>
  <c r="K154" i="1"/>
  <c r="N154" i="1" s="1"/>
  <c r="K155" i="1"/>
  <c r="N155" i="1" s="1"/>
  <c r="K156" i="1"/>
  <c r="N156" i="1" s="1"/>
  <c r="K157" i="1"/>
  <c r="N157" i="1" s="1"/>
  <c r="K158" i="1"/>
  <c r="N158" i="1" s="1"/>
  <c r="K159" i="1"/>
  <c r="N159" i="1" s="1"/>
  <c r="K160" i="1"/>
  <c r="N160" i="1" s="1"/>
  <c r="K161" i="1"/>
  <c r="N161" i="1" s="1"/>
  <c r="K162" i="1"/>
  <c r="N162" i="1" s="1"/>
  <c r="K163" i="1"/>
  <c r="N163" i="1" s="1"/>
  <c r="K164" i="1"/>
  <c r="N164" i="1" s="1"/>
  <c r="K165" i="1"/>
  <c r="N165" i="1" s="1"/>
  <c r="K166" i="1"/>
  <c r="N166" i="1" s="1"/>
  <c r="K167" i="1"/>
  <c r="N167" i="1" s="1"/>
  <c r="K168" i="1"/>
  <c r="N168" i="1" s="1"/>
  <c r="K169" i="1"/>
  <c r="N169" i="1" s="1"/>
  <c r="K170" i="1"/>
  <c r="N170" i="1" s="1"/>
  <c r="K171" i="1"/>
  <c r="N171" i="1" s="1"/>
  <c r="K172" i="1"/>
  <c r="N172" i="1" s="1"/>
  <c r="K173" i="1"/>
  <c r="N173" i="1" s="1"/>
  <c r="K174" i="1"/>
  <c r="N174" i="1" s="1"/>
  <c r="K175" i="1"/>
  <c r="N175" i="1" s="1"/>
  <c r="K176" i="1"/>
  <c r="N176" i="1" s="1"/>
  <c r="K177" i="1"/>
  <c r="N177" i="1" s="1"/>
  <c r="K178" i="1"/>
  <c r="N178" i="1" s="1"/>
  <c r="K179" i="1"/>
  <c r="N179" i="1" s="1"/>
  <c r="K180" i="1"/>
  <c r="N180" i="1" s="1"/>
  <c r="K181" i="1"/>
  <c r="N181" i="1" s="1"/>
  <c r="K182" i="1"/>
  <c r="N182" i="1" s="1"/>
  <c r="K183" i="1"/>
  <c r="N183" i="1" s="1"/>
  <c r="K184" i="1"/>
  <c r="N184" i="1" s="1"/>
  <c r="K185" i="1"/>
  <c r="N185" i="1" s="1"/>
  <c r="K186" i="1"/>
  <c r="N186" i="1" s="1"/>
  <c r="K187" i="1"/>
  <c r="N187" i="1" s="1"/>
  <c r="K188" i="1"/>
  <c r="N188" i="1" s="1"/>
  <c r="K189" i="1"/>
  <c r="N189" i="1" s="1"/>
  <c r="K190" i="1"/>
  <c r="N190" i="1" s="1"/>
  <c r="K191" i="1"/>
  <c r="N191" i="1" s="1"/>
  <c r="K192" i="1"/>
  <c r="N192" i="1" s="1"/>
  <c r="K193" i="1"/>
  <c r="N193" i="1" s="1"/>
  <c r="K194" i="1"/>
  <c r="N194" i="1" s="1"/>
  <c r="K195" i="1"/>
  <c r="N195" i="1" s="1"/>
  <c r="K196" i="1"/>
  <c r="N196" i="1" s="1"/>
  <c r="K197" i="1"/>
  <c r="N197" i="1" s="1"/>
  <c r="K198" i="1"/>
  <c r="N198" i="1" s="1"/>
  <c r="K199" i="1"/>
  <c r="N199" i="1" s="1"/>
  <c r="K200" i="1"/>
  <c r="N200" i="1" s="1"/>
  <c r="K201" i="1"/>
  <c r="N201" i="1" s="1"/>
  <c r="K202" i="1"/>
  <c r="N202" i="1" s="1"/>
  <c r="K203" i="1"/>
  <c r="N203" i="1" s="1"/>
  <c r="K204" i="1"/>
  <c r="N204" i="1" s="1"/>
  <c r="K205" i="1"/>
  <c r="N205" i="1" s="1"/>
  <c r="K206" i="1"/>
  <c r="N206" i="1" s="1"/>
  <c r="K207" i="1"/>
  <c r="N207" i="1" s="1"/>
  <c r="K208" i="1"/>
  <c r="N208" i="1" s="1"/>
  <c r="K209" i="1"/>
  <c r="N209" i="1" s="1"/>
  <c r="K210" i="1"/>
  <c r="N210" i="1" s="1"/>
  <c r="K211" i="1"/>
  <c r="N211" i="1" s="1"/>
  <c r="K212" i="1"/>
  <c r="N212" i="1" s="1"/>
  <c r="K213" i="1"/>
  <c r="N213" i="1" s="1"/>
  <c r="K214" i="1"/>
  <c r="N214" i="1" s="1"/>
  <c r="K215" i="1"/>
  <c r="N215" i="1" s="1"/>
  <c r="K216" i="1"/>
  <c r="N216" i="1" s="1"/>
  <c r="K217" i="1"/>
  <c r="N217" i="1" s="1"/>
  <c r="K218" i="1"/>
  <c r="N218" i="1" s="1"/>
  <c r="K219" i="1"/>
  <c r="N219" i="1" s="1"/>
  <c r="K220" i="1"/>
  <c r="N220" i="1" s="1"/>
  <c r="K221" i="1"/>
  <c r="N221" i="1" s="1"/>
  <c r="K222" i="1"/>
  <c r="N222" i="1" s="1"/>
  <c r="K223" i="1"/>
  <c r="N223" i="1" s="1"/>
  <c r="K224" i="1"/>
  <c r="N224" i="1" s="1"/>
  <c r="K225" i="1"/>
  <c r="N225" i="1" s="1"/>
  <c r="K226" i="1"/>
  <c r="N226" i="1" s="1"/>
  <c r="K227" i="1"/>
  <c r="N227" i="1" s="1"/>
  <c r="K228" i="1"/>
  <c r="N228" i="1" s="1"/>
  <c r="K229" i="1"/>
  <c r="N229" i="1" s="1"/>
  <c r="K230" i="1"/>
  <c r="N230" i="1" s="1"/>
  <c r="K231" i="1"/>
  <c r="N231" i="1" s="1"/>
  <c r="K232" i="1"/>
  <c r="N232" i="1" s="1"/>
  <c r="K233" i="1"/>
  <c r="N233" i="1" s="1"/>
  <c r="K234" i="1"/>
  <c r="N234" i="1" s="1"/>
  <c r="K235" i="1"/>
  <c r="N235" i="1" s="1"/>
  <c r="K236" i="1"/>
  <c r="N236" i="1" s="1"/>
  <c r="K237" i="1"/>
  <c r="N237" i="1" s="1"/>
  <c r="K238" i="1"/>
  <c r="N238" i="1" s="1"/>
  <c r="K239" i="1"/>
  <c r="N239" i="1" s="1"/>
  <c r="K240" i="1"/>
  <c r="N240" i="1" s="1"/>
  <c r="K241" i="1"/>
  <c r="N241" i="1" s="1"/>
  <c r="K242" i="1"/>
  <c r="N242" i="1" s="1"/>
  <c r="K243" i="1"/>
  <c r="N243" i="1" s="1"/>
  <c r="K244" i="1"/>
  <c r="N244" i="1" s="1"/>
  <c r="K245" i="1"/>
  <c r="N245" i="1" s="1"/>
  <c r="K246" i="1"/>
  <c r="N246" i="1" s="1"/>
  <c r="K247" i="1"/>
  <c r="N247" i="1" s="1"/>
  <c r="K248" i="1"/>
  <c r="N248" i="1" s="1"/>
  <c r="K249" i="1"/>
  <c r="N249" i="1" s="1"/>
  <c r="K250" i="1"/>
  <c r="N250" i="1" s="1"/>
  <c r="K251" i="1"/>
  <c r="N251" i="1" s="1"/>
  <c r="K252" i="1"/>
  <c r="N252" i="1" s="1"/>
  <c r="K253" i="1"/>
  <c r="N253" i="1" s="1"/>
  <c r="K254" i="1"/>
  <c r="N254" i="1" s="1"/>
  <c r="K255" i="1"/>
  <c r="N255" i="1" s="1"/>
  <c r="K256" i="1"/>
  <c r="N256" i="1" s="1"/>
  <c r="K257" i="1"/>
  <c r="N257" i="1" s="1"/>
  <c r="K258" i="1"/>
  <c r="N258" i="1" s="1"/>
  <c r="K259" i="1"/>
  <c r="N259" i="1" s="1"/>
  <c r="K260" i="1"/>
  <c r="N260" i="1" s="1"/>
  <c r="K261" i="1"/>
  <c r="N261" i="1" s="1"/>
  <c r="K262" i="1"/>
  <c r="N262" i="1" s="1"/>
  <c r="K263" i="1"/>
  <c r="N263" i="1" s="1"/>
  <c r="K264" i="1"/>
  <c r="N264" i="1" s="1"/>
  <c r="K265" i="1"/>
  <c r="N265" i="1" s="1"/>
  <c r="K266" i="1"/>
  <c r="N266" i="1" s="1"/>
  <c r="K267" i="1"/>
  <c r="N267" i="1" s="1"/>
  <c r="K268" i="1"/>
  <c r="N268" i="1" s="1"/>
  <c r="K269" i="1"/>
  <c r="N269" i="1" s="1"/>
  <c r="K270" i="1"/>
  <c r="N270" i="1" s="1"/>
  <c r="K271" i="1"/>
  <c r="N271" i="1" s="1"/>
  <c r="K272" i="1"/>
  <c r="N272" i="1" s="1"/>
  <c r="K273" i="1"/>
  <c r="N273" i="1" s="1"/>
  <c r="K274" i="1"/>
  <c r="N274" i="1" s="1"/>
  <c r="K275" i="1"/>
  <c r="N275" i="1" s="1"/>
  <c r="K276" i="1"/>
  <c r="N276" i="1" s="1"/>
  <c r="K277" i="1"/>
  <c r="N277" i="1" s="1"/>
  <c r="K278" i="1"/>
  <c r="N278" i="1" s="1"/>
  <c r="K279" i="1"/>
  <c r="N279" i="1" s="1"/>
  <c r="K280" i="1"/>
  <c r="N280" i="1" s="1"/>
  <c r="K281" i="1"/>
  <c r="N281" i="1" s="1"/>
  <c r="K282" i="1"/>
  <c r="N282" i="1" s="1"/>
  <c r="K283" i="1"/>
  <c r="N283" i="1" s="1"/>
  <c r="K284" i="1"/>
  <c r="N284" i="1" s="1"/>
  <c r="K285" i="1"/>
  <c r="N285" i="1" s="1"/>
  <c r="K286" i="1"/>
  <c r="N286" i="1" s="1"/>
  <c r="K287" i="1"/>
  <c r="N287" i="1" s="1"/>
  <c r="K288" i="1"/>
  <c r="N288" i="1" s="1"/>
  <c r="K289" i="1"/>
  <c r="N289" i="1" s="1"/>
  <c r="K290" i="1"/>
  <c r="N290" i="1" s="1"/>
  <c r="K291" i="1"/>
  <c r="N291" i="1" s="1"/>
  <c r="K292" i="1"/>
  <c r="N292" i="1" s="1"/>
  <c r="K293" i="1"/>
  <c r="N293" i="1" s="1"/>
  <c r="K294" i="1"/>
  <c r="N294" i="1" s="1"/>
  <c r="K295" i="1"/>
  <c r="N295" i="1" s="1"/>
  <c r="K296" i="1"/>
  <c r="N296" i="1" s="1"/>
  <c r="K297" i="1"/>
  <c r="N297" i="1" s="1"/>
  <c r="K298" i="1"/>
  <c r="N298" i="1" s="1"/>
  <c r="K299" i="1"/>
  <c r="N299" i="1" s="1"/>
  <c r="K300" i="1"/>
  <c r="N300" i="1" s="1"/>
  <c r="K301" i="1"/>
  <c r="N301" i="1" s="1"/>
  <c r="K302" i="1"/>
  <c r="N302" i="1" s="1"/>
  <c r="K303" i="1"/>
  <c r="N303" i="1" s="1"/>
  <c r="K304" i="1"/>
  <c r="N304" i="1" s="1"/>
  <c r="K305" i="1"/>
  <c r="N305" i="1" s="1"/>
  <c r="K306" i="1"/>
  <c r="N306" i="1" s="1"/>
  <c r="K307" i="1"/>
  <c r="N307" i="1" s="1"/>
  <c r="K308" i="1"/>
  <c r="N308" i="1" s="1"/>
  <c r="K309" i="1"/>
  <c r="N309" i="1" s="1"/>
  <c r="K310" i="1"/>
  <c r="N310" i="1" s="1"/>
  <c r="K311" i="1"/>
  <c r="N311" i="1" s="1"/>
  <c r="K312" i="1"/>
  <c r="N312" i="1" s="1"/>
  <c r="K313" i="1"/>
  <c r="N313" i="1" s="1"/>
  <c r="K314" i="1"/>
  <c r="N314" i="1" s="1"/>
  <c r="K315" i="1"/>
  <c r="N315" i="1" s="1"/>
  <c r="K316" i="1"/>
  <c r="N316" i="1" s="1"/>
  <c r="K317" i="1"/>
  <c r="N317" i="1" s="1"/>
  <c r="K318" i="1"/>
  <c r="N318" i="1" s="1"/>
  <c r="K319" i="1"/>
  <c r="N319" i="1" s="1"/>
  <c r="K320" i="1"/>
  <c r="N320" i="1" s="1"/>
  <c r="K321" i="1"/>
  <c r="N321" i="1" s="1"/>
  <c r="K322" i="1"/>
  <c r="N322" i="1" s="1"/>
  <c r="K323" i="1"/>
  <c r="N323" i="1" s="1"/>
  <c r="K324" i="1"/>
  <c r="N324" i="1" s="1"/>
  <c r="K325" i="1"/>
  <c r="N325" i="1" s="1"/>
  <c r="K326" i="1"/>
  <c r="N326" i="1" s="1"/>
  <c r="K327" i="1"/>
  <c r="N327" i="1" s="1"/>
  <c r="K328" i="1"/>
  <c r="N328" i="1" s="1"/>
  <c r="K329" i="1"/>
  <c r="N329" i="1" s="1"/>
  <c r="K330" i="1"/>
  <c r="N330" i="1" s="1"/>
  <c r="K331" i="1"/>
  <c r="N331" i="1" s="1"/>
  <c r="K332" i="1"/>
  <c r="N332" i="1" s="1"/>
  <c r="K333" i="1"/>
  <c r="N333" i="1" s="1"/>
  <c r="K334" i="1"/>
  <c r="N334" i="1" s="1"/>
  <c r="K335" i="1"/>
  <c r="N335" i="1" s="1"/>
  <c r="K336" i="1"/>
  <c r="N336" i="1" s="1"/>
  <c r="K337" i="1"/>
  <c r="N337" i="1" s="1"/>
  <c r="K338" i="1"/>
  <c r="N338" i="1" s="1"/>
  <c r="K339" i="1"/>
  <c r="N339" i="1" s="1"/>
  <c r="K340" i="1"/>
  <c r="N340" i="1" s="1"/>
  <c r="K341" i="1"/>
  <c r="N341" i="1" s="1"/>
  <c r="K342" i="1"/>
  <c r="N342" i="1" s="1"/>
  <c r="K343" i="1"/>
  <c r="N343" i="1" s="1"/>
  <c r="K344" i="1"/>
  <c r="N344" i="1" s="1"/>
  <c r="K345" i="1"/>
  <c r="N345" i="1" s="1"/>
  <c r="K346" i="1"/>
  <c r="N346" i="1" s="1"/>
  <c r="K347" i="1"/>
  <c r="N347" i="1" s="1"/>
  <c r="K348" i="1"/>
  <c r="N348" i="1" s="1"/>
  <c r="K349" i="1"/>
  <c r="N349" i="1" s="1"/>
  <c r="K350" i="1"/>
  <c r="N350" i="1" s="1"/>
  <c r="K351" i="1"/>
  <c r="N351" i="1" s="1"/>
  <c r="K352" i="1"/>
  <c r="N352" i="1" s="1"/>
  <c r="K353" i="1"/>
  <c r="N353" i="1" s="1"/>
  <c r="K354" i="1"/>
  <c r="N354" i="1" s="1"/>
  <c r="K355" i="1"/>
  <c r="N355" i="1" s="1"/>
  <c r="K356" i="1"/>
  <c r="N356" i="1" s="1"/>
  <c r="K357" i="1"/>
  <c r="N357" i="1" s="1"/>
  <c r="K358" i="1"/>
  <c r="N358" i="1" s="1"/>
  <c r="K359" i="1"/>
  <c r="N359" i="1" s="1"/>
  <c r="K360" i="1"/>
  <c r="N360" i="1" s="1"/>
  <c r="K361" i="1"/>
  <c r="N361" i="1" s="1"/>
  <c r="K362" i="1"/>
  <c r="N362" i="1" s="1"/>
  <c r="K363" i="1"/>
  <c r="N363" i="1" s="1"/>
  <c r="K364" i="1"/>
  <c r="N364" i="1" s="1"/>
  <c r="K365" i="1"/>
  <c r="N365" i="1" s="1"/>
  <c r="K366" i="1"/>
  <c r="N366" i="1" s="1"/>
  <c r="K367" i="1"/>
  <c r="N367" i="1" s="1"/>
  <c r="K368" i="1"/>
  <c r="N368" i="1" s="1"/>
  <c r="K369" i="1"/>
  <c r="N369" i="1" s="1"/>
  <c r="K370" i="1"/>
  <c r="N370" i="1" s="1"/>
  <c r="K371" i="1"/>
  <c r="N371" i="1" s="1"/>
  <c r="K372" i="1"/>
  <c r="N372" i="1" s="1"/>
  <c r="K373" i="1"/>
  <c r="N373" i="1" s="1"/>
  <c r="K374" i="1"/>
  <c r="N374" i="1" s="1"/>
  <c r="K375" i="1"/>
  <c r="N375" i="1" s="1"/>
  <c r="K376" i="1"/>
  <c r="N376" i="1" s="1"/>
  <c r="K377" i="1"/>
  <c r="N377" i="1" s="1"/>
  <c r="K378" i="1"/>
  <c r="N378" i="1" s="1"/>
  <c r="K379" i="1"/>
  <c r="N379" i="1" s="1"/>
  <c r="K380" i="1"/>
  <c r="N380" i="1" s="1"/>
  <c r="K381" i="1"/>
  <c r="N381" i="1" s="1"/>
  <c r="K382" i="1"/>
  <c r="N382" i="1" s="1"/>
  <c r="K383" i="1"/>
  <c r="N383" i="1" s="1"/>
  <c r="K384" i="1"/>
  <c r="N384" i="1" s="1"/>
  <c r="K385" i="1"/>
  <c r="N385" i="1" s="1"/>
  <c r="K386" i="1"/>
  <c r="N386" i="1" s="1"/>
  <c r="K387" i="1"/>
  <c r="N387" i="1" s="1"/>
  <c r="K388" i="1"/>
  <c r="N388" i="1" s="1"/>
  <c r="K389" i="1"/>
  <c r="N389" i="1" s="1"/>
  <c r="K390" i="1"/>
  <c r="N390" i="1" s="1"/>
  <c r="K391" i="1"/>
  <c r="N391" i="1" s="1"/>
  <c r="K392" i="1"/>
  <c r="N392" i="1" s="1"/>
  <c r="K393" i="1"/>
  <c r="N393" i="1" s="1"/>
  <c r="K394" i="1"/>
  <c r="N394" i="1" s="1"/>
  <c r="K395" i="1"/>
  <c r="N395" i="1" s="1"/>
  <c r="K396" i="1"/>
  <c r="N396" i="1" s="1"/>
  <c r="K397" i="1"/>
  <c r="N397" i="1" s="1"/>
  <c r="K398" i="1"/>
  <c r="N398" i="1" s="1"/>
  <c r="K399" i="1"/>
  <c r="N399" i="1" s="1"/>
  <c r="K400" i="1"/>
  <c r="N400" i="1" s="1"/>
  <c r="K401" i="1"/>
  <c r="N401" i="1" s="1"/>
  <c r="K402" i="1"/>
  <c r="N402" i="1" s="1"/>
  <c r="K403" i="1"/>
  <c r="N403" i="1" s="1"/>
  <c r="K404" i="1"/>
  <c r="N404" i="1" s="1"/>
  <c r="K405" i="1"/>
  <c r="N405" i="1" s="1"/>
  <c r="K406" i="1"/>
  <c r="N406" i="1" s="1"/>
  <c r="K407" i="1"/>
  <c r="N407" i="1" s="1"/>
  <c r="K408" i="1"/>
  <c r="N408" i="1" s="1"/>
  <c r="K409" i="1"/>
  <c r="N409" i="1" s="1"/>
  <c r="K410" i="1"/>
  <c r="N410" i="1" s="1"/>
  <c r="K411" i="1"/>
  <c r="N411" i="1" s="1"/>
  <c r="K412" i="1"/>
  <c r="N412" i="1" s="1"/>
  <c r="K413" i="1"/>
  <c r="N413" i="1" s="1"/>
  <c r="K414" i="1"/>
  <c r="N414" i="1" s="1"/>
  <c r="K415" i="1"/>
  <c r="N415" i="1" s="1"/>
  <c r="K416" i="1"/>
  <c r="N416" i="1" s="1"/>
  <c r="K417" i="1"/>
  <c r="N417" i="1" s="1"/>
  <c r="K418" i="1"/>
  <c r="N418" i="1" s="1"/>
  <c r="K419" i="1"/>
  <c r="N419" i="1" s="1"/>
  <c r="K420" i="1"/>
  <c r="N420" i="1" s="1"/>
  <c r="K421" i="1"/>
  <c r="N421" i="1" s="1"/>
  <c r="K422" i="1"/>
  <c r="N422" i="1" s="1"/>
  <c r="K423" i="1"/>
  <c r="N423" i="1" s="1"/>
  <c r="K424" i="1"/>
  <c r="N424" i="1" s="1"/>
  <c r="K425" i="1"/>
  <c r="N425" i="1" s="1"/>
  <c r="K426" i="1"/>
  <c r="N426" i="1" s="1"/>
  <c r="K427" i="1"/>
  <c r="N427" i="1" s="1"/>
  <c r="K428" i="1"/>
  <c r="N428" i="1" s="1"/>
  <c r="K429" i="1"/>
  <c r="N429" i="1" s="1"/>
  <c r="K430" i="1"/>
  <c r="N430" i="1" s="1"/>
  <c r="K431" i="1"/>
  <c r="N431" i="1" s="1"/>
  <c r="K432" i="1"/>
  <c r="N432" i="1" s="1"/>
  <c r="K433" i="1"/>
  <c r="N433" i="1" s="1"/>
  <c r="K434" i="1"/>
  <c r="N434" i="1" s="1"/>
  <c r="K435" i="1"/>
  <c r="N435" i="1" s="1"/>
  <c r="K436" i="1"/>
  <c r="N436" i="1" s="1"/>
  <c r="K437" i="1"/>
  <c r="N437" i="1" s="1"/>
  <c r="K438" i="1"/>
  <c r="N438" i="1" s="1"/>
  <c r="K439" i="1"/>
  <c r="N439" i="1" s="1"/>
  <c r="K440" i="1"/>
  <c r="N440" i="1" s="1"/>
  <c r="K441" i="1"/>
  <c r="N441" i="1" s="1"/>
  <c r="K442" i="1"/>
  <c r="N442" i="1" s="1"/>
  <c r="K443" i="1"/>
  <c r="N443" i="1" s="1"/>
  <c r="K444" i="1"/>
  <c r="N444" i="1" s="1"/>
  <c r="K445" i="1"/>
  <c r="N445" i="1" s="1"/>
  <c r="K446" i="1"/>
  <c r="N446" i="1" s="1"/>
  <c r="K447" i="1"/>
  <c r="N447" i="1" s="1"/>
  <c r="K448" i="1"/>
  <c r="N448" i="1" s="1"/>
  <c r="K449" i="1"/>
  <c r="N449" i="1" s="1"/>
  <c r="K450" i="1"/>
  <c r="N450" i="1" s="1"/>
  <c r="K451" i="1"/>
  <c r="N451" i="1" s="1"/>
  <c r="K452" i="1"/>
  <c r="N452" i="1" s="1"/>
  <c r="K453" i="1"/>
  <c r="N453" i="1" s="1"/>
  <c r="K454" i="1"/>
  <c r="N454" i="1" s="1"/>
  <c r="K455" i="1"/>
  <c r="N455" i="1" s="1"/>
  <c r="K456" i="1"/>
  <c r="N456" i="1" s="1"/>
  <c r="K457" i="1"/>
  <c r="N457" i="1" s="1"/>
  <c r="K458" i="1"/>
  <c r="N458" i="1" s="1"/>
  <c r="K459" i="1"/>
  <c r="N459" i="1" s="1"/>
  <c r="K460" i="1"/>
  <c r="N460" i="1" s="1"/>
  <c r="K461" i="1"/>
  <c r="N461" i="1" s="1"/>
  <c r="K462" i="1"/>
  <c r="N462" i="1" s="1"/>
  <c r="K463" i="1"/>
  <c r="N463" i="1" s="1"/>
  <c r="K464" i="1"/>
  <c r="N464" i="1" s="1"/>
  <c r="K465" i="1"/>
  <c r="N465" i="1" s="1"/>
  <c r="K466" i="1"/>
  <c r="N466" i="1" s="1"/>
  <c r="K467" i="1"/>
  <c r="N467" i="1" s="1"/>
  <c r="K468" i="1"/>
  <c r="N468" i="1" s="1"/>
  <c r="K469" i="1"/>
  <c r="N469" i="1" s="1"/>
  <c r="K470" i="1"/>
  <c r="N470" i="1" s="1"/>
  <c r="K471" i="1"/>
  <c r="N471" i="1" s="1"/>
  <c r="K472" i="1"/>
  <c r="N472" i="1" s="1"/>
  <c r="K473" i="1"/>
  <c r="N473" i="1" s="1"/>
  <c r="K474" i="1"/>
  <c r="N474" i="1" s="1"/>
  <c r="K475" i="1"/>
  <c r="N475" i="1" s="1"/>
  <c r="K476" i="1"/>
  <c r="N476" i="1" s="1"/>
  <c r="K477" i="1"/>
  <c r="N477" i="1" s="1"/>
  <c r="K478" i="1"/>
  <c r="N478" i="1" s="1"/>
  <c r="K479" i="1"/>
  <c r="N479" i="1" s="1"/>
  <c r="K480" i="1"/>
  <c r="N480" i="1" s="1"/>
  <c r="K481" i="1"/>
  <c r="N481" i="1" s="1"/>
  <c r="K482" i="1"/>
  <c r="N482" i="1" s="1"/>
  <c r="K483" i="1"/>
  <c r="N483" i="1" s="1"/>
  <c r="K484" i="1"/>
  <c r="N484" i="1" s="1"/>
  <c r="K485" i="1"/>
  <c r="N485" i="1" s="1"/>
  <c r="K486" i="1"/>
  <c r="N486" i="1" s="1"/>
  <c r="K487" i="1"/>
  <c r="N487" i="1" s="1"/>
  <c r="K488" i="1"/>
  <c r="N488" i="1" s="1"/>
  <c r="K489" i="1"/>
  <c r="N489" i="1" s="1"/>
  <c r="K490" i="1"/>
  <c r="N490" i="1" s="1"/>
  <c r="K491" i="1"/>
  <c r="N491" i="1" s="1"/>
  <c r="K492" i="1"/>
  <c r="N492" i="1" s="1"/>
  <c r="K493" i="1"/>
  <c r="N493" i="1" s="1"/>
  <c r="K494" i="1"/>
  <c r="N494" i="1" s="1"/>
  <c r="K495" i="1"/>
  <c r="N495" i="1" s="1"/>
  <c r="K496" i="1"/>
  <c r="N496" i="1" s="1"/>
  <c r="K497" i="1"/>
  <c r="N497" i="1" s="1"/>
  <c r="K498" i="1"/>
  <c r="N498" i="1" s="1"/>
  <c r="K499" i="1"/>
  <c r="N499" i="1" s="1"/>
  <c r="K500" i="1"/>
  <c r="N500" i="1" s="1"/>
  <c r="K501" i="1"/>
  <c r="N501" i="1" s="1"/>
  <c r="K502" i="1"/>
  <c r="N502" i="1" s="1"/>
  <c r="K503" i="1"/>
  <c r="N503" i="1" s="1"/>
  <c r="K504" i="1"/>
  <c r="N504" i="1" s="1"/>
  <c r="K505" i="1"/>
  <c r="N505" i="1" s="1"/>
  <c r="K506" i="1"/>
  <c r="N506" i="1" s="1"/>
  <c r="K507" i="1"/>
  <c r="N507" i="1" s="1"/>
  <c r="K508" i="1"/>
  <c r="N508" i="1" s="1"/>
  <c r="K509" i="1"/>
  <c r="N509" i="1" s="1"/>
  <c r="K510" i="1"/>
  <c r="N510" i="1" s="1"/>
  <c r="K511" i="1"/>
  <c r="N511" i="1" s="1"/>
  <c r="K512" i="1"/>
  <c r="N512" i="1" s="1"/>
  <c r="K513" i="1"/>
  <c r="N513" i="1" s="1"/>
  <c r="K514" i="1"/>
  <c r="N514" i="1" s="1"/>
  <c r="K515" i="1"/>
  <c r="N515" i="1" s="1"/>
  <c r="K516" i="1"/>
  <c r="N516" i="1" s="1"/>
  <c r="K517" i="1"/>
  <c r="N517" i="1" s="1"/>
  <c r="K518" i="1"/>
  <c r="N518" i="1" s="1"/>
  <c r="K519" i="1"/>
  <c r="N519" i="1" s="1"/>
  <c r="K520" i="1"/>
  <c r="N520" i="1" s="1"/>
  <c r="K521" i="1"/>
  <c r="N521" i="1" s="1"/>
  <c r="K522" i="1"/>
  <c r="N522" i="1" s="1"/>
  <c r="K523" i="1"/>
  <c r="N523" i="1" s="1"/>
  <c r="K524" i="1"/>
  <c r="N524" i="1" s="1"/>
  <c r="K525" i="1"/>
  <c r="N525" i="1" s="1"/>
  <c r="K526" i="1"/>
  <c r="N526" i="1" s="1"/>
  <c r="K527" i="1"/>
  <c r="N527" i="1" s="1"/>
  <c r="K528" i="1"/>
  <c r="N528" i="1" s="1"/>
  <c r="K529" i="1"/>
  <c r="N529" i="1" s="1"/>
  <c r="K530" i="1"/>
  <c r="N530" i="1" s="1"/>
  <c r="K531" i="1"/>
  <c r="N531" i="1" s="1"/>
  <c r="K532" i="1"/>
  <c r="N532" i="1" s="1"/>
  <c r="K533" i="1"/>
  <c r="N533" i="1" s="1"/>
  <c r="K534" i="1"/>
  <c r="N534" i="1" s="1"/>
  <c r="K535" i="1"/>
  <c r="N535" i="1" s="1"/>
  <c r="K536" i="1"/>
  <c r="N536" i="1" s="1"/>
  <c r="K537" i="1"/>
  <c r="N537" i="1" s="1"/>
  <c r="K538" i="1"/>
  <c r="N538" i="1" s="1"/>
  <c r="K539" i="1"/>
  <c r="N539" i="1" s="1"/>
  <c r="K540" i="1"/>
  <c r="N540" i="1" s="1"/>
  <c r="K541" i="1"/>
  <c r="N541" i="1" s="1"/>
  <c r="K542" i="1"/>
  <c r="N542" i="1" s="1"/>
  <c r="K543" i="1"/>
  <c r="N543" i="1" s="1"/>
  <c r="K544" i="1"/>
  <c r="N544" i="1" s="1"/>
  <c r="K545" i="1"/>
  <c r="N545" i="1" s="1"/>
  <c r="K546" i="1"/>
  <c r="N546" i="1" s="1"/>
  <c r="K547" i="1"/>
  <c r="N547" i="1" s="1"/>
  <c r="K548" i="1"/>
  <c r="N548" i="1" s="1"/>
  <c r="K549" i="1"/>
  <c r="N549" i="1" s="1"/>
  <c r="K550" i="1"/>
  <c r="N550" i="1" s="1"/>
  <c r="K551" i="1"/>
  <c r="N551" i="1" s="1"/>
  <c r="K552" i="1"/>
  <c r="N552" i="1" s="1"/>
  <c r="K553" i="1"/>
  <c r="N553" i="1" s="1"/>
  <c r="K554" i="1"/>
  <c r="N554" i="1" s="1"/>
  <c r="K555" i="1"/>
  <c r="N555" i="1" s="1"/>
  <c r="K556" i="1"/>
  <c r="N556" i="1" s="1"/>
  <c r="K557" i="1"/>
  <c r="N557" i="1" s="1"/>
  <c r="K558" i="1"/>
  <c r="N558" i="1" s="1"/>
  <c r="K559" i="1"/>
  <c r="N559" i="1" s="1"/>
  <c r="K560" i="1"/>
  <c r="N560" i="1" s="1"/>
  <c r="K561" i="1"/>
  <c r="N561" i="1" s="1"/>
  <c r="K562" i="1"/>
  <c r="N562" i="1" s="1"/>
  <c r="K563" i="1"/>
  <c r="N563" i="1" s="1"/>
  <c r="K564" i="1"/>
  <c r="N564" i="1" s="1"/>
  <c r="K565" i="1"/>
  <c r="N565" i="1" s="1"/>
  <c r="K566" i="1"/>
  <c r="N566" i="1" s="1"/>
  <c r="K567" i="1"/>
  <c r="N567" i="1" s="1"/>
  <c r="K568" i="1"/>
  <c r="N568" i="1" s="1"/>
  <c r="K569" i="1"/>
  <c r="N569" i="1" s="1"/>
  <c r="K570" i="1"/>
  <c r="N570" i="1" s="1"/>
  <c r="K571" i="1"/>
  <c r="N571" i="1" s="1"/>
  <c r="K572" i="1"/>
  <c r="N572" i="1" s="1"/>
  <c r="K573" i="1"/>
  <c r="N573" i="1" s="1"/>
  <c r="K574" i="1"/>
  <c r="N574" i="1" s="1"/>
  <c r="K575" i="1"/>
  <c r="N575" i="1" s="1"/>
  <c r="K576" i="1"/>
  <c r="N576" i="1" s="1"/>
  <c r="K577" i="1"/>
  <c r="N577" i="1" s="1"/>
  <c r="K578" i="1"/>
  <c r="N578" i="1" s="1"/>
  <c r="K579" i="1"/>
  <c r="N579" i="1" s="1"/>
  <c r="K580" i="1"/>
  <c r="N580" i="1" s="1"/>
  <c r="K581" i="1"/>
  <c r="N581" i="1" s="1"/>
  <c r="K582" i="1"/>
  <c r="N582" i="1" s="1"/>
  <c r="K583" i="1"/>
  <c r="N583" i="1" s="1"/>
  <c r="K584" i="1"/>
  <c r="N584" i="1" s="1"/>
  <c r="K585" i="1"/>
  <c r="N585" i="1" s="1"/>
  <c r="K586" i="1"/>
  <c r="N586" i="1" s="1"/>
  <c r="K587" i="1"/>
  <c r="N587" i="1" s="1"/>
  <c r="K588" i="1"/>
  <c r="N588" i="1" s="1"/>
  <c r="K589" i="1"/>
  <c r="N589" i="1" s="1"/>
  <c r="K590" i="1"/>
  <c r="N590" i="1" s="1"/>
  <c r="K591" i="1"/>
  <c r="N591" i="1" s="1"/>
  <c r="K592" i="1"/>
  <c r="N592" i="1" s="1"/>
  <c r="K593" i="1"/>
  <c r="N593" i="1" s="1"/>
  <c r="K594" i="1"/>
  <c r="N594" i="1" s="1"/>
  <c r="K595" i="1"/>
  <c r="N595" i="1" s="1"/>
  <c r="K596" i="1"/>
  <c r="N596" i="1" s="1"/>
  <c r="K597" i="1"/>
  <c r="N597" i="1" s="1"/>
  <c r="K598" i="1"/>
  <c r="N598" i="1" s="1"/>
  <c r="K599" i="1"/>
  <c r="N599" i="1" s="1"/>
  <c r="K600" i="1"/>
  <c r="N600" i="1" s="1"/>
  <c r="K601" i="1"/>
  <c r="N601" i="1" s="1"/>
  <c r="K602" i="1"/>
  <c r="N602" i="1" s="1"/>
  <c r="K603" i="1"/>
  <c r="N603" i="1" s="1"/>
  <c r="K604" i="1"/>
  <c r="N604" i="1" s="1"/>
  <c r="K605" i="1"/>
  <c r="N605" i="1" s="1"/>
  <c r="K606" i="1"/>
  <c r="N606" i="1" s="1"/>
  <c r="K607" i="1"/>
  <c r="N607" i="1" s="1"/>
  <c r="K608" i="1"/>
  <c r="N608" i="1" s="1"/>
  <c r="K609" i="1"/>
  <c r="N609" i="1" s="1"/>
  <c r="K610" i="1"/>
  <c r="N610" i="1" s="1"/>
  <c r="K611" i="1"/>
  <c r="N611" i="1" s="1"/>
  <c r="K612" i="1"/>
  <c r="N612" i="1" s="1"/>
  <c r="K613" i="1"/>
  <c r="N613" i="1" s="1"/>
  <c r="K614" i="1"/>
  <c r="N614" i="1" s="1"/>
  <c r="K615" i="1"/>
  <c r="N615" i="1" s="1"/>
  <c r="K2" i="1"/>
  <c r="N2" i="1" s="1"/>
  <c r="J3" i="1"/>
  <c r="M3" i="1" s="1"/>
  <c r="J4" i="1"/>
  <c r="M4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M14" i="1" s="1"/>
  <c r="J15" i="1"/>
  <c r="M15" i="1" s="1"/>
  <c r="J16" i="1"/>
  <c r="M16" i="1" s="1"/>
  <c r="J17" i="1"/>
  <c r="M17" i="1" s="1"/>
  <c r="J18" i="1"/>
  <c r="M18" i="1" s="1"/>
  <c r="J19" i="1"/>
  <c r="M19" i="1" s="1"/>
  <c r="J20" i="1"/>
  <c r="M20" i="1" s="1"/>
  <c r="J21" i="1"/>
  <c r="M21" i="1" s="1"/>
  <c r="J22" i="1"/>
  <c r="M22" i="1" s="1"/>
  <c r="J23" i="1"/>
  <c r="M23" i="1" s="1"/>
  <c r="J24" i="1"/>
  <c r="M24" i="1" s="1"/>
  <c r="J25" i="1"/>
  <c r="M25" i="1" s="1"/>
  <c r="J26" i="1"/>
  <c r="M26" i="1" s="1"/>
  <c r="J27" i="1"/>
  <c r="M27" i="1" s="1"/>
  <c r="J28" i="1"/>
  <c r="M28" i="1" s="1"/>
  <c r="J29" i="1"/>
  <c r="M29" i="1" s="1"/>
  <c r="J30" i="1"/>
  <c r="M30" i="1" s="1"/>
  <c r="J31" i="1"/>
  <c r="M31" i="1" s="1"/>
  <c r="J32" i="1"/>
  <c r="M32" i="1" s="1"/>
  <c r="J33" i="1"/>
  <c r="M33" i="1" s="1"/>
  <c r="J34" i="1"/>
  <c r="M34" i="1" s="1"/>
  <c r="J35" i="1"/>
  <c r="M35" i="1" s="1"/>
  <c r="J36" i="1"/>
  <c r="M36" i="1" s="1"/>
  <c r="J37" i="1"/>
  <c r="M37" i="1" s="1"/>
  <c r="J38" i="1"/>
  <c r="M38" i="1" s="1"/>
  <c r="J39" i="1"/>
  <c r="M39" i="1" s="1"/>
  <c r="J40" i="1"/>
  <c r="M40" i="1" s="1"/>
  <c r="J41" i="1"/>
  <c r="M41" i="1" s="1"/>
  <c r="J42" i="1"/>
  <c r="M42" i="1" s="1"/>
  <c r="J43" i="1"/>
  <c r="M43" i="1" s="1"/>
  <c r="J44" i="1"/>
  <c r="M44" i="1" s="1"/>
  <c r="J45" i="1"/>
  <c r="M45" i="1" s="1"/>
  <c r="J46" i="1"/>
  <c r="M46" i="1" s="1"/>
  <c r="J47" i="1"/>
  <c r="M47" i="1" s="1"/>
  <c r="J48" i="1"/>
  <c r="M48" i="1" s="1"/>
  <c r="J49" i="1"/>
  <c r="M49" i="1" s="1"/>
  <c r="J50" i="1"/>
  <c r="M50" i="1" s="1"/>
  <c r="J51" i="1"/>
  <c r="M51" i="1" s="1"/>
  <c r="J52" i="1"/>
  <c r="M52" i="1" s="1"/>
  <c r="J53" i="1"/>
  <c r="M53" i="1" s="1"/>
  <c r="J54" i="1"/>
  <c r="M54" i="1" s="1"/>
  <c r="J55" i="1"/>
  <c r="M55" i="1" s="1"/>
  <c r="J56" i="1"/>
  <c r="M56" i="1" s="1"/>
  <c r="J57" i="1"/>
  <c r="M57" i="1" s="1"/>
  <c r="J58" i="1"/>
  <c r="M58" i="1" s="1"/>
  <c r="J59" i="1"/>
  <c r="M59" i="1" s="1"/>
  <c r="J60" i="1"/>
  <c r="M60" i="1" s="1"/>
  <c r="J61" i="1"/>
  <c r="M61" i="1" s="1"/>
  <c r="J62" i="1"/>
  <c r="M62" i="1" s="1"/>
  <c r="J63" i="1"/>
  <c r="M63" i="1" s="1"/>
  <c r="J64" i="1"/>
  <c r="M64" i="1" s="1"/>
  <c r="J65" i="1"/>
  <c r="M65" i="1" s="1"/>
  <c r="J66" i="1"/>
  <c r="M66" i="1" s="1"/>
  <c r="J67" i="1"/>
  <c r="M67" i="1" s="1"/>
  <c r="J68" i="1"/>
  <c r="M68" i="1" s="1"/>
  <c r="J69" i="1"/>
  <c r="M69" i="1" s="1"/>
  <c r="J70" i="1"/>
  <c r="M70" i="1" s="1"/>
  <c r="J71" i="1"/>
  <c r="M71" i="1" s="1"/>
  <c r="J72" i="1"/>
  <c r="M72" i="1" s="1"/>
  <c r="J73" i="1"/>
  <c r="M73" i="1" s="1"/>
  <c r="J74" i="1"/>
  <c r="M74" i="1" s="1"/>
  <c r="J75" i="1"/>
  <c r="M75" i="1" s="1"/>
  <c r="J76" i="1"/>
  <c r="M76" i="1" s="1"/>
  <c r="J77" i="1"/>
  <c r="M77" i="1" s="1"/>
  <c r="J78" i="1"/>
  <c r="M78" i="1" s="1"/>
  <c r="J79" i="1"/>
  <c r="M79" i="1" s="1"/>
  <c r="J80" i="1"/>
  <c r="M80" i="1" s="1"/>
  <c r="J81" i="1"/>
  <c r="M81" i="1" s="1"/>
  <c r="J82" i="1"/>
  <c r="M82" i="1" s="1"/>
  <c r="J83" i="1"/>
  <c r="M83" i="1" s="1"/>
  <c r="J84" i="1"/>
  <c r="M84" i="1" s="1"/>
  <c r="J85" i="1"/>
  <c r="M85" i="1" s="1"/>
  <c r="J86" i="1"/>
  <c r="M86" i="1" s="1"/>
  <c r="J87" i="1"/>
  <c r="M87" i="1" s="1"/>
  <c r="J88" i="1"/>
  <c r="M88" i="1" s="1"/>
  <c r="J89" i="1"/>
  <c r="M89" i="1" s="1"/>
  <c r="J90" i="1"/>
  <c r="M90" i="1" s="1"/>
  <c r="J91" i="1"/>
  <c r="M91" i="1" s="1"/>
  <c r="J92" i="1"/>
  <c r="M92" i="1" s="1"/>
  <c r="J93" i="1"/>
  <c r="M93" i="1" s="1"/>
  <c r="J94" i="1"/>
  <c r="M94" i="1" s="1"/>
  <c r="J95" i="1"/>
  <c r="M95" i="1" s="1"/>
  <c r="J96" i="1"/>
  <c r="M96" i="1" s="1"/>
  <c r="J97" i="1"/>
  <c r="M97" i="1" s="1"/>
  <c r="J98" i="1"/>
  <c r="M98" i="1" s="1"/>
  <c r="J99" i="1"/>
  <c r="M99" i="1" s="1"/>
  <c r="J100" i="1"/>
  <c r="M100" i="1" s="1"/>
  <c r="J101" i="1"/>
  <c r="M101" i="1" s="1"/>
  <c r="J102" i="1"/>
  <c r="M102" i="1" s="1"/>
  <c r="J103" i="1"/>
  <c r="M103" i="1" s="1"/>
  <c r="J104" i="1"/>
  <c r="M104" i="1" s="1"/>
  <c r="J105" i="1"/>
  <c r="M105" i="1" s="1"/>
  <c r="J106" i="1"/>
  <c r="M106" i="1" s="1"/>
  <c r="J107" i="1"/>
  <c r="M107" i="1" s="1"/>
  <c r="J108" i="1"/>
  <c r="M108" i="1" s="1"/>
  <c r="J109" i="1"/>
  <c r="M109" i="1" s="1"/>
  <c r="J110" i="1"/>
  <c r="M110" i="1" s="1"/>
  <c r="J111" i="1"/>
  <c r="M111" i="1" s="1"/>
  <c r="J112" i="1"/>
  <c r="M112" i="1" s="1"/>
  <c r="J113" i="1"/>
  <c r="M113" i="1" s="1"/>
  <c r="J114" i="1"/>
  <c r="M114" i="1" s="1"/>
  <c r="J115" i="1"/>
  <c r="M115" i="1" s="1"/>
  <c r="J116" i="1"/>
  <c r="M116" i="1" s="1"/>
  <c r="J117" i="1"/>
  <c r="M117" i="1" s="1"/>
  <c r="J118" i="1"/>
  <c r="M118" i="1" s="1"/>
  <c r="J119" i="1"/>
  <c r="M119" i="1" s="1"/>
  <c r="J120" i="1"/>
  <c r="M120" i="1" s="1"/>
  <c r="J121" i="1"/>
  <c r="M121" i="1" s="1"/>
  <c r="J122" i="1"/>
  <c r="M122" i="1" s="1"/>
  <c r="J123" i="1"/>
  <c r="M123" i="1" s="1"/>
  <c r="J124" i="1"/>
  <c r="M124" i="1" s="1"/>
  <c r="J125" i="1"/>
  <c r="M125" i="1" s="1"/>
  <c r="J126" i="1"/>
  <c r="M126" i="1" s="1"/>
  <c r="J127" i="1"/>
  <c r="M127" i="1" s="1"/>
  <c r="J128" i="1"/>
  <c r="M128" i="1" s="1"/>
  <c r="J129" i="1"/>
  <c r="M129" i="1" s="1"/>
  <c r="J130" i="1"/>
  <c r="M130" i="1" s="1"/>
  <c r="J131" i="1"/>
  <c r="M131" i="1" s="1"/>
  <c r="J132" i="1"/>
  <c r="M132" i="1" s="1"/>
  <c r="J133" i="1"/>
  <c r="M133" i="1" s="1"/>
  <c r="J134" i="1"/>
  <c r="M134" i="1" s="1"/>
  <c r="J135" i="1"/>
  <c r="M135" i="1" s="1"/>
  <c r="J136" i="1"/>
  <c r="M136" i="1" s="1"/>
  <c r="J137" i="1"/>
  <c r="M137" i="1" s="1"/>
  <c r="J138" i="1"/>
  <c r="M138" i="1" s="1"/>
  <c r="J139" i="1"/>
  <c r="M139" i="1" s="1"/>
  <c r="J140" i="1"/>
  <c r="M140" i="1" s="1"/>
  <c r="J141" i="1"/>
  <c r="M141" i="1" s="1"/>
  <c r="J142" i="1"/>
  <c r="M142" i="1" s="1"/>
  <c r="J143" i="1"/>
  <c r="M143" i="1" s="1"/>
  <c r="J144" i="1"/>
  <c r="M144" i="1" s="1"/>
  <c r="J145" i="1"/>
  <c r="M145" i="1" s="1"/>
  <c r="J146" i="1"/>
  <c r="M146" i="1" s="1"/>
  <c r="J147" i="1"/>
  <c r="M147" i="1" s="1"/>
  <c r="J148" i="1"/>
  <c r="M148" i="1" s="1"/>
  <c r="J149" i="1"/>
  <c r="M149" i="1" s="1"/>
  <c r="J150" i="1"/>
  <c r="M150" i="1" s="1"/>
  <c r="J151" i="1"/>
  <c r="M151" i="1" s="1"/>
  <c r="J152" i="1"/>
  <c r="M152" i="1" s="1"/>
  <c r="J153" i="1"/>
  <c r="M153" i="1" s="1"/>
  <c r="J154" i="1"/>
  <c r="M154" i="1" s="1"/>
  <c r="J155" i="1"/>
  <c r="M155" i="1" s="1"/>
  <c r="J156" i="1"/>
  <c r="M156" i="1" s="1"/>
  <c r="J157" i="1"/>
  <c r="M157" i="1" s="1"/>
  <c r="J158" i="1"/>
  <c r="M158" i="1" s="1"/>
  <c r="J159" i="1"/>
  <c r="M159" i="1" s="1"/>
  <c r="J160" i="1"/>
  <c r="M160" i="1" s="1"/>
  <c r="J161" i="1"/>
  <c r="M161" i="1" s="1"/>
  <c r="J162" i="1"/>
  <c r="M162" i="1" s="1"/>
  <c r="J163" i="1"/>
  <c r="M163" i="1" s="1"/>
  <c r="J164" i="1"/>
  <c r="M164" i="1" s="1"/>
  <c r="J165" i="1"/>
  <c r="M165" i="1" s="1"/>
  <c r="J166" i="1"/>
  <c r="M166" i="1" s="1"/>
  <c r="J167" i="1"/>
  <c r="M167" i="1" s="1"/>
  <c r="J168" i="1"/>
  <c r="M168" i="1" s="1"/>
  <c r="J169" i="1"/>
  <c r="M169" i="1" s="1"/>
  <c r="J170" i="1"/>
  <c r="M170" i="1" s="1"/>
  <c r="J171" i="1"/>
  <c r="M171" i="1" s="1"/>
  <c r="J172" i="1"/>
  <c r="M172" i="1" s="1"/>
  <c r="J173" i="1"/>
  <c r="M173" i="1" s="1"/>
  <c r="J174" i="1"/>
  <c r="M174" i="1" s="1"/>
  <c r="J175" i="1"/>
  <c r="M175" i="1" s="1"/>
  <c r="J176" i="1"/>
  <c r="M176" i="1" s="1"/>
  <c r="J177" i="1"/>
  <c r="M177" i="1" s="1"/>
  <c r="J178" i="1"/>
  <c r="M178" i="1" s="1"/>
  <c r="J179" i="1"/>
  <c r="M179" i="1" s="1"/>
  <c r="J180" i="1"/>
  <c r="M180" i="1" s="1"/>
  <c r="J181" i="1"/>
  <c r="M181" i="1" s="1"/>
  <c r="J182" i="1"/>
  <c r="M182" i="1" s="1"/>
  <c r="J183" i="1"/>
  <c r="M183" i="1" s="1"/>
  <c r="J184" i="1"/>
  <c r="M184" i="1" s="1"/>
  <c r="J185" i="1"/>
  <c r="M185" i="1" s="1"/>
  <c r="J186" i="1"/>
  <c r="M186" i="1" s="1"/>
  <c r="J187" i="1"/>
  <c r="M187" i="1" s="1"/>
  <c r="J188" i="1"/>
  <c r="M188" i="1" s="1"/>
  <c r="J189" i="1"/>
  <c r="M189" i="1" s="1"/>
  <c r="J190" i="1"/>
  <c r="M190" i="1" s="1"/>
  <c r="J191" i="1"/>
  <c r="M191" i="1" s="1"/>
  <c r="J192" i="1"/>
  <c r="M192" i="1" s="1"/>
  <c r="J193" i="1"/>
  <c r="M193" i="1" s="1"/>
  <c r="J194" i="1"/>
  <c r="M194" i="1" s="1"/>
  <c r="J195" i="1"/>
  <c r="M195" i="1" s="1"/>
  <c r="J196" i="1"/>
  <c r="M196" i="1" s="1"/>
  <c r="J197" i="1"/>
  <c r="M197" i="1" s="1"/>
  <c r="J198" i="1"/>
  <c r="M198" i="1" s="1"/>
  <c r="J199" i="1"/>
  <c r="M199" i="1" s="1"/>
  <c r="J200" i="1"/>
  <c r="M200" i="1" s="1"/>
  <c r="J201" i="1"/>
  <c r="M201" i="1" s="1"/>
  <c r="J202" i="1"/>
  <c r="M202" i="1" s="1"/>
  <c r="J203" i="1"/>
  <c r="M203" i="1" s="1"/>
  <c r="J204" i="1"/>
  <c r="M204" i="1" s="1"/>
  <c r="J205" i="1"/>
  <c r="M205" i="1" s="1"/>
  <c r="J206" i="1"/>
  <c r="M206" i="1" s="1"/>
  <c r="J207" i="1"/>
  <c r="M207" i="1" s="1"/>
  <c r="J208" i="1"/>
  <c r="M208" i="1" s="1"/>
  <c r="J209" i="1"/>
  <c r="M209" i="1" s="1"/>
  <c r="J210" i="1"/>
  <c r="M210" i="1" s="1"/>
  <c r="J211" i="1"/>
  <c r="M211" i="1" s="1"/>
  <c r="J212" i="1"/>
  <c r="M212" i="1" s="1"/>
  <c r="J213" i="1"/>
  <c r="M213" i="1" s="1"/>
  <c r="J214" i="1"/>
  <c r="M214" i="1" s="1"/>
  <c r="J215" i="1"/>
  <c r="M215" i="1" s="1"/>
  <c r="J216" i="1"/>
  <c r="M216" i="1" s="1"/>
  <c r="J217" i="1"/>
  <c r="M217" i="1" s="1"/>
  <c r="J218" i="1"/>
  <c r="M218" i="1" s="1"/>
  <c r="J219" i="1"/>
  <c r="M219" i="1" s="1"/>
  <c r="J220" i="1"/>
  <c r="M220" i="1" s="1"/>
  <c r="J221" i="1"/>
  <c r="M221" i="1" s="1"/>
  <c r="J222" i="1"/>
  <c r="M222" i="1" s="1"/>
  <c r="J223" i="1"/>
  <c r="M223" i="1" s="1"/>
  <c r="J224" i="1"/>
  <c r="M224" i="1" s="1"/>
  <c r="J225" i="1"/>
  <c r="M225" i="1" s="1"/>
  <c r="J226" i="1"/>
  <c r="M226" i="1" s="1"/>
  <c r="J227" i="1"/>
  <c r="M227" i="1" s="1"/>
  <c r="J228" i="1"/>
  <c r="M228" i="1" s="1"/>
  <c r="J229" i="1"/>
  <c r="M229" i="1" s="1"/>
  <c r="J230" i="1"/>
  <c r="M230" i="1" s="1"/>
  <c r="J231" i="1"/>
  <c r="M231" i="1" s="1"/>
  <c r="J232" i="1"/>
  <c r="M232" i="1" s="1"/>
  <c r="J233" i="1"/>
  <c r="M233" i="1" s="1"/>
  <c r="J234" i="1"/>
  <c r="M234" i="1" s="1"/>
  <c r="J235" i="1"/>
  <c r="M235" i="1" s="1"/>
  <c r="J236" i="1"/>
  <c r="M236" i="1" s="1"/>
  <c r="J237" i="1"/>
  <c r="M237" i="1" s="1"/>
  <c r="J238" i="1"/>
  <c r="M238" i="1" s="1"/>
  <c r="J239" i="1"/>
  <c r="M239" i="1" s="1"/>
  <c r="J240" i="1"/>
  <c r="M240" i="1" s="1"/>
  <c r="J241" i="1"/>
  <c r="M241" i="1" s="1"/>
  <c r="J242" i="1"/>
  <c r="M242" i="1" s="1"/>
  <c r="J243" i="1"/>
  <c r="M243" i="1" s="1"/>
  <c r="J244" i="1"/>
  <c r="M244" i="1" s="1"/>
  <c r="J245" i="1"/>
  <c r="M245" i="1" s="1"/>
  <c r="J246" i="1"/>
  <c r="M246" i="1" s="1"/>
  <c r="J247" i="1"/>
  <c r="M247" i="1" s="1"/>
  <c r="J248" i="1"/>
  <c r="M248" i="1" s="1"/>
  <c r="J249" i="1"/>
  <c r="M249" i="1" s="1"/>
  <c r="J250" i="1"/>
  <c r="M250" i="1" s="1"/>
  <c r="J251" i="1"/>
  <c r="M251" i="1" s="1"/>
  <c r="J252" i="1"/>
  <c r="M252" i="1" s="1"/>
  <c r="J253" i="1"/>
  <c r="M253" i="1" s="1"/>
  <c r="J254" i="1"/>
  <c r="M254" i="1" s="1"/>
  <c r="J255" i="1"/>
  <c r="M255" i="1" s="1"/>
  <c r="J256" i="1"/>
  <c r="M256" i="1" s="1"/>
  <c r="J257" i="1"/>
  <c r="M257" i="1" s="1"/>
  <c r="J258" i="1"/>
  <c r="M258" i="1" s="1"/>
  <c r="J259" i="1"/>
  <c r="M259" i="1" s="1"/>
  <c r="J260" i="1"/>
  <c r="M260" i="1" s="1"/>
  <c r="J261" i="1"/>
  <c r="M261" i="1" s="1"/>
  <c r="J262" i="1"/>
  <c r="M262" i="1" s="1"/>
  <c r="J263" i="1"/>
  <c r="M263" i="1" s="1"/>
  <c r="J264" i="1"/>
  <c r="M264" i="1" s="1"/>
  <c r="J265" i="1"/>
  <c r="M265" i="1" s="1"/>
  <c r="J266" i="1"/>
  <c r="M266" i="1" s="1"/>
  <c r="J267" i="1"/>
  <c r="M267" i="1" s="1"/>
  <c r="J268" i="1"/>
  <c r="M268" i="1" s="1"/>
  <c r="J269" i="1"/>
  <c r="M269" i="1" s="1"/>
  <c r="J270" i="1"/>
  <c r="M270" i="1" s="1"/>
  <c r="J271" i="1"/>
  <c r="M271" i="1" s="1"/>
  <c r="J272" i="1"/>
  <c r="M272" i="1" s="1"/>
  <c r="J273" i="1"/>
  <c r="M273" i="1" s="1"/>
  <c r="J274" i="1"/>
  <c r="M274" i="1" s="1"/>
  <c r="J275" i="1"/>
  <c r="M275" i="1" s="1"/>
  <c r="J276" i="1"/>
  <c r="M276" i="1" s="1"/>
  <c r="J277" i="1"/>
  <c r="M277" i="1" s="1"/>
  <c r="J278" i="1"/>
  <c r="M278" i="1" s="1"/>
  <c r="J279" i="1"/>
  <c r="M279" i="1" s="1"/>
  <c r="J280" i="1"/>
  <c r="M280" i="1" s="1"/>
  <c r="J281" i="1"/>
  <c r="M281" i="1" s="1"/>
  <c r="J282" i="1"/>
  <c r="M282" i="1" s="1"/>
  <c r="J283" i="1"/>
  <c r="M283" i="1" s="1"/>
  <c r="J284" i="1"/>
  <c r="M284" i="1" s="1"/>
  <c r="J285" i="1"/>
  <c r="M285" i="1" s="1"/>
  <c r="J286" i="1"/>
  <c r="M286" i="1" s="1"/>
  <c r="J287" i="1"/>
  <c r="M287" i="1" s="1"/>
  <c r="J288" i="1"/>
  <c r="M288" i="1" s="1"/>
  <c r="J289" i="1"/>
  <c r="M289" i="1" s="1"/>
  <c r="J290" i="1"/>
  <c r="M290" i="1" s="1"/>
  <c r="J291" i="1"/>
  <c r="M291" i="1" s="1"/>
  <c r="J292" i="1"/>
  <c r="M292" i="1" s="1"/>
  <c r="J293" i="1"/>
  <c r="M293" i="1" s="1"/>
  <c r="J294" i="1"/>
  <c r="M294" i="1" s="1"/>
  <c r="J295" i="1"/>
  <c r="M295" i="1" s="1"/>
  <c r="J296" i="1"/>
  <c r="M296" i="1" s="1"/>
  <c r="J297" i="1"/>
  <c r="M297" i="1" s="1"/>
  <c r="J298" i="1"/>
  <c r="M298" i="1" s="1"/>
  <c r="J299" i="1"/>
  <c r="M299" i="1" s="1"/>
  <c r="J300" i="1"/>
  <c r="M300" i="1" s="1"/>
  <c r="J301" i="1"/>
  <c r="M301" i="1" s="1"/>
  <c r="J302" i="1"/>
  <c r="M302" i="1" s="1"/>
  <c r="J303" i="1"/>
  <c r="M303" i="1" s="1"/>
  <c r="J304" i="1"/>
  <c r="M304" i="1" s="1"/>
  <c r="J305" i="1"/>
  <c r="M305" i="1" s="1"/>
  <c r="J306" i="1"/>
  <c r="M306" i="1" s="1"/>
  <c r="J307" i="1"/>
  <c r="M307" i="1" s="1"/>
  <c r="J308" i="1"/>
  <c r="M308" i="1" s="1"/>
  <c r="J309" i="1"/>
  <c r="M309" i="1" s="1"/>
  <c r="J310" i="1"/>
  <c r="M310" i="1" s="1"/>
  <c r="J311" i="1"/>
  <c r="M311" i="1" s="1"/>
  <c r="J312" i="1"/>
  <c r="M312" i="1" s="1"/>
  <c r="J313" i="1"/>
  <c r="M313" i="1" s="1"/>
  <c r="J314" i="1"/>
  <c r="M314" i="1" s="1"/>
  <c r="J315" i="1"/>
  <c r="M315" i="1" s="1"/>
  <c r="J316" i="1"/>
  <c r="M316" i="1" s="1"/>
  <c r="J317" i="1"/>
  <c r="M317" i="1" s="1"/>
  <c r="J318" i="1"/>
  <c r="M318" i="1" s="1"/>
  <c r="J319" i="1"/>
  <c r="M319" i="1" s="1"/>
  <c r="J320" i="1"/>
  <c r="M320" i="1" s="1"/>
  <c r="J321" i="1"/>
  <c r="M321" i="1" s="1"/>
  <c r="J322" i="1"/>
  <c r="M322" i="1" s="1"/>
  <c r="J323" i="1"/>
  <c r="M323" i="1" s="1"/>
  <c r="J324" i="1"/>
  <c r="M324" i="1" s="1"/>
  <c r="J325" i="1"/>
  <c r="M325" i="1" s="1"/>
  <c r="J326" i="1"/>
  <c r="M326" i="1" s="1"/>
  <c r="J327" i="1"/>
  <c r="M327" i="1" s="1"/>
  <c r="J328" i="1"/>
  <c r="M328" i="1" s="1"/>
  <c r="J329" i="1"/>
  <c r="M329" i="1" s="1"/>
  <c r="J330" i="1"/>
  <c r="M330" i="1" s="1"/>
  <c r="J331" i="1"/>
  <c r="M331" i="1" s="1"/>
  <c r="J332" i="1"/>
  <c r="M332" i="1" s="1"/>
  <c r="J333" i="1"/>
  <c r="M333" i="1" s="1"/>
  <c r="J334" i="1"/>
  <c r="M334" i="1" s="1"/>
  <c r="J335" i="1"/>
  <c r="M335" i="1" s="1"/>
  <c r="J336" i="1"/>
  <c r="M336" i="1" s="1"/>
  <c r="J337" i="1"/>
  <c r="M337" i="1" s="1"/>
  <c r="J338" i="1"/>
  <c r="M338" i="1" s="1"/>
  <c r="J339" i="1"/>
  <c r="M339" i="1" s="1"/>
  <c r="J340" i="1"/>
  <c r="M340" i="1" s="1"/>
  <c r="J341" i="1"/>
  <c r="M341" i="1" s="1"/>
  <c r="J342" i="1"/>
  <c r="M342" i="1" s="1"/>
  <c r="J343" i="1"/>
  <c r="M343" i="1" s="1"/>
  <c r="J344" i="1"/>
  <c r="M344" i="1" s="1"/>
  <c r="J345" i="1"/>
  <c r="M345" i="1" s="1"/>
  <c r="J346" i="1"/>
  <c r="M346" i="1" s="1"/>
  <c r="J347" i="1"/>
  <c r="M347" i="1" s="1"/>
  <c r="J348" i="1"/>
  <c r="M348" i="1" s="1"/>
  <c r="J349" i="1"/>
  <c r="M349" i="1" s="1"/>
  <c r="J350" i="1"/>
  <c r="M350" i="1" s="1"/>
  <c r="J351" i="1"/>
  <c r="M351" i="1" s="1"/>
  <c r="J352" i="1"/>
  <c r="M352" i="1" s="1"/>
  <c r="J353" i="1"/>
  <c r="M353" i="1" s="1"/>
  <c r="J354" i="1"/>
  <c r="M354" i="1" s="1"/>
  <c r="J355" i="1"/>
  <c r="M355" i="1" s="1"/>
  <c r="J356" i="1"/>
  <c r="M356" i="1" s="1"/>
  <c r="J357" i="1"/>
  <c r="M357" i="1" s="1"/>
  <c r="J358" i="1"/>
  <c r="M358" i="1" s="1"/>
  <c r="J359" i="1"/>
  <c r="M359" i="1" s="1"/>
  <c r="J360" i="1"/>
  <c r="M360" i="1" s="1"/>
  <c r="J361" i="1"/>
  <c r="M361" i="1" s="1"/>
  <c r="J362" i="1"/>
  <c r="M362" i="1" s="1"/>
  <c r="J363" i="1"/>
  <c r="M363" i="1" s="1"/>
  <c r="J364" i="1"/>
  <c r="M364" i="1" s="1"/>
  <c r="J365" i="1"/>
  <c r="M365" i="1" s="1"/>
  <c r="J366" i="1"/>
  <c r="M366" i="1" s="1"/>
  <c r="J367" i="1"/>
  <c r="M367" i="1" s="1"/>
  <c r="J368" i="1"/>
  <c r="M368" i="1" s="1"/>
  <c r="J369" i="1"/>
  <c r="M369" i="1" s="1"/>
  <c r="J370" i="1"/>
  <c r="M370" i="1" s="1"/>
  <c r="J371" i="1"/>
  <c r="M371" i="1" s="1"/>
  <c r="J372" i="1"/>
  <c r="M372" i="1" s="1"/>
  <c r="J373" i="1"/>
  <c r="M373" i="1" s="1"/>
  <c r="J374" i="1"/>
  <c r="M374" i="1" s="1"/>
  <c r="J375" i="1"/>
  <c r="M375" i="1" s="1"/>
  <c r="J376" i="1"/>
  <c r="M376" i="1" s="1"/>
  <c r="J377" i="1"/>
  <c r="M377" i="1" s="1"/>
  <c r="J378" i="1"/>
  <c r="M378" i="1" s="1"/>
  <c r="J379" i="1"/>
  <c r="M379" i="1" s="1"/>
  <c r="J380" i="1"/>
  <c r="M380" i="1" s="1"/>
  <c r="J381" i="1"/>
  <c r="M381" i="1" s="1"/>
  <c r="J382" i="1"/>
  <c r="M382" i="1" s="1"/>
  <c r="J383" i="1"/>
  <c r="M383" i="1" s="1"/>
  <c r="J384" i="1"/>
  <c r="M384" i="1" s="1"/>
  <c r="J385" i="1"/>
  <c r="M385" i="1" s="1"/>
  <c r="J386" i="1"/>
  <c r="M386" i="1" s="1"/>
  <c r="J387" i="1"/>
  <c r="M387" i="1" s="1"/>
  <c r="J388" i="1"/>
  <c r="M388" i="1" s="1"/>
  <c r="J389" i="1"/>
  <c r="M389" i="1" s="1"/>
  <c r="J390" i="1"/>
  <c r="M390" i="1" s="1"/>
  <c r="J391" i="1"/>
  <c r="M391" i="1" s="1"/>
  <c r="J392" i="1"/>
  <c r="M392" i="1" s="1"/>
  <c r="J393" i="1"/>
  <c r="M393" i="1" s="1"/>
  <c r="J394" i="1"/>
  <c r="M394" i="1" s="1"/>
  <c r="J395" i="1"/>
  <c r="M395" i="1" s="1"/>
  <c r="J396" i="1"/>
  <c r="M396" i="1" s="1"/>
  <c r="J397" i="1"/>
  <c r="M397" i="1" s="1"/>
  <c r="J398" i="1"/>
  <c r="M398" i="1" s="1"/>
  <c r="J399" i="1"/>
  <c r="M399" i="1" s="1"/>
  <c r="J400" i="1"/>
  <c r="M400" i="1" s="1"/>
  <c r="J401" i="1"/>
  <c r="M401" i="1" s="1"/>
  <c r="J402" i="1"/>
  <c r="M402" i="1" s="1"/>
  <c r="J403" i="1"/>
  <c r="M403" i="1" s="1"/>
  <c r="J404" i="1"/>
  <c r="M404" i="1" s="1"/>
  <c r="J405" i="1"/>
  <c r="M405" i="1" s="1"/>
  <c r="J406" i="1"/>
  <c r="M406" i="1" s="1"/>
  <c r="J407" i="1"/>
  <c r="M407" i="1" s="1"/>
  <c r="J408" i="1"/>
  <c r="M408" i="1" s="1"/>
  <c r="J409" i="1"/>
  <c r="M409" i="1" s="1"/>
  <c r="J410" i="1"/>
  <c r="M410" i="1" s="1"/>
  <c r="J411" i="1"/>
  <c r="M411" i="1" s="1"/>
  <c r="J412" i="1"/>
  <c r="M412" i="1" s="1"/>
  <c r="J413" i="1"/>
  <c r="M413" i="1" s="1"/>
  <c r="J414" i="1"/>
  <c r="M414" i="1" s="1"/>
  <c r="J415" i="1"/>
  <c r="M415" i="1" s="1"/>
  <c r="J416" i="1"/>
  <c r="M416" i="1" s="1"/>
  <c r="J417" i="1"/>
  <c r="M417" i="1" s="1"/>
  <c r="J418" i="1"/>
  <c r="M418" i="1" s="1"/>
  <c r="J419" i="1"/>
  <c r="M419" i="1" s="1"/>
  <c r="J420" i="1"/>
  <c r="M420" i="1" s="1"/>
  <c r="J421" i="1"/>
  <c r="M421" i="1" s="1"/>
  <c r="J422" i="1"/>
  <c r="M422" i="1" s="1"/>
  <c r="J423" i="1"/>
  <c r="M423" i="1" s="1"/>
  <c r="J424" i="1"/>
  <c r="M424" i="1" s="1"/>
  <c r="J425" i="1"/>
  <c r="M425" i="1" s="1"/>
  <c r="J426" i="1"/>
  <c r="M426" i="1" s="1"/>
  <c r="J427" i="1"/>
  <c r="M427" i="1" s="1"/>
  <c r="J428" i="1"/>
  <c r="M428" i="1" s="1"/>
  <c r="J429" i="1"/>
  <c r="M429" i="1" s="1"/>
  <c r="J430" i="1"/>
  <c r="M430" i="1" s="1"/>
  <c r="J431" i="1"/>
  <c r="M431" i="1" s="1"/>
  <c r="J432" i="1"/>
  <c r="M432" i="1" s="1"/>
  <c r="J433" i="1"/>
  <c r="M433" i="1" s="1"/>
  <c r="J434" i="1"/>
  <c r="M434" i="1" s="1"/>
  <c r="J435" i="1"/>
  <c r="M435" i="1" s="1"/>
  <c r="J436" i="1"/>
  <c r="M436" i="1" s="1"/>
  <c r="J437" i="1"/>
  <c r="M437" i="1" s="1"/>
  <c r="J438" i="1"/>
  <c r="M438" i="1" s="1"/>
  <c r="J439" i="1"/>
  <c r="M439" i="1" s="1"/>
  <c r="J440" i="1"/>
  <c r="M440" i="1" s="1"/>
  <c r="J441" i="1"/>
  <c r="M441" i="1" s="1"/>
  <c r="J442" i="1"/>
  <c r="M442" i="1" s="1"/>
  <c r="J443" i="1"/>
  <c r="M443" i="1" s="1"/>
  <c r="J444" i="1"/>
  <c r="M444" i="1" s="1"/>
  <c r="J445" i="1"/>
  <c r="M445" i="1" s="1"/>
  <c r="J446" i="1"/>
  <c r="M446" i="1" s="1"/>
  <c r="J447" i="1"/>
  <c r="M447" i="1" s="1"/>
  <c r="J448" i="1"/>
  <c r="M448" i="1" s="1"/>
  <c r="J449" i="1"/>
  <c r="M449" i="1" s="1"/>
  <c r="J450" i="1"/>
  <c r="M450" i="1" s="1"/>
  <c r="J451" i="1"/>
  <c r="M451" i="1" s="1"/>
  <c r="J452" i="1"/>
  <c r="M452" i="1" s="1"/>
  <c r="J453" i="1"/>
  <c r="M453" i="1" s="1"/>
  <c r="J454" i="1"/>
  <c r="M454" i="1" s="1"/>
  <c r="J455" i="1"/>
  <c r="M455" i="1" s="1"/>
  <c r="J456" i="1"/>
  <c r="M456" i="1" s="1"/>
  <c r="J457" i="1"/>
  <c r="M457" i="1" s="1"/>
  <c r="J458" i="1"/>
  <c r="M458" i="1" s="1"/>
  <c r="J459" i="1"/>
  <c r="M459" i="1" s="1"/>
  <c r="J460" i="1"/>
  <c r="M460" i="1" s="1"/>
  <c r="J461" i="1"/>
  <c r="M461" i="1" s="1"/>
  <c r="J462" i="1"/>
  <c r="M462" i="1" s="1"/>
  <c r="J463" i="1"/>
  <c r="M463" i="1" s="1"/>
  <c r="J464" i="1"/>
  <c r="M464" i="1" s="1"/>
  <c r="J465" i="1"/>
  <c r="M465" i="1" s="1"/>
  <c r="J466" i="1"/>
  <c r="M466" i="1" s="1"/>
  <c r="J467" i="1"/>
  <c r="M467" i="1" s="1"/>
  <c r="J468" i="1"/>
  <c r="M468" i="1" s="1"/>
  <c r="J469" i="1"/>
  <c r="M469" i="1" s="1"/>
  <c r="J470" i="1"/>
  <c r="M470" i="1" s="1"/>
  <c r="J471" i="1"/>
  <c r="M471" i="1" s="1"/>
  <c r="J472" i="1"/>
  <c r="M472" i="1" s="1"/>
  <c r="J473" i="1"/>
  <c r="M473" i="1" s="1"/>
  <c r="J474" i="1"/>
  <c r="M474" i="1" s="1"/>
  <c r="J475" i="1"/>
  <c r="M475" i="1" s="1"/>
  <c r="J476" i="1"/>
  <c r="M476" i="1" s="1"/>
  <c r="J477" i="1"/>
  <c r="M477" i="1" s="1"/>
  <c r="J478" i="1"/>
  <c r="M478" i="1" s="1"/>
  <c r="J479" i="1"/>
  <c r="M479" i="1" s="1"/>
  <c r="J480" i="1"/>
  <c r="M480" i="1" s="1"/>
  <c r="J481" i="1"/>
  <c r="M481" i="1" s="1"/>
  <c r="J482" i="1"/>
  <c r="M482" i="1" s="1"/>
  <c r="J483" i="1"/>
  <c r="M483" i="1" s="1"/>
  <c r="J484" i="1"/>
  <c r="M484" i="1" s="1"/>
  <c r="J485" i="1"/>
  <c r="M485" i="1" s="1"/>
  <c r="J486" i="1"/>
  <c r="M486" i="1" s="1"/>
  <c r="J487" i="1"/>
  <c r="M487" i="1" s="1"/>
  <c r="J488" i="1"/>
  <c r="M488" i="1" s="1"/>
  <c r="J489" i="1"/>
  <c r="M489" i="1" s="1"/>
  <c r="J490" i="1"/>
  <c r="M490" i="1" s="1"/>
  <c r="J491" i="1"/>
  <c r="M491" i="1" s="1"/>
  <c r="J492" i="1"/>
  <c r="M492" i="1" s="1"/>
  <c r="J493" i="1"/>
  <c r="M493" i="1" s="1"/>
  <c r="J494" i="1"/>
  <c r="M494" i="1" s="1"/>
  <c r="J495" i="1"/>
  <c r="M495" i="1" s="1"/>
  <c r="J496" i="1"/>
  <c r="M496" i="1" s="1"/>
  <c r="J497" i="1"/>
  <c r="M497" i="1" s="1"/>
  <c r="J498" i="1"/>
  <c r="M498" i="1" s="1"/>
  <c r="J499" i="1"/>
  <c r="M499" i="1" s="1"/>
  <c r="J500" i="1"/>
  <c r="M500" i="1" s="1"/>
  <c r="J501" i="1"/>
  <c r="M501" i="1" s="1"/>
  <c r="J502" i="1"/>
  <c r="M502" i="1" s="1"/>
  <c r="J503" i="1"/>
  <c r="M503" i="1" s="1"/>
  <c r="J504" i="1"/>
  <c r="M504" i="1" s="1"/>
  <c r="J505" i="1"/>
  <c r="M505" i="1" s="1"/>
  <c r="J506" i="1"/>
  <c r="M506" i="1" s="1"/>
  <c r="J507" i="1"/>
  <c r="M507" i="1" s="1"/>
  <c r="J508" i="1"/>
  <c r="M508" i="1" s="1"/>
  <c r="J509" i="1"/>
  <c r="M509" i="1" s="1"/>
  <c r="J510" i="1"/>
  <c r="M510" i="1" s="1"/>
  <c r="J511" i="1"/>
  <c r="M511" i="1" s="1"/>
  <c r="J512" i="1"/>
  <c r="M512" i="1" s="1"/>
  <c r="J513" i="1"/>
  <c r="M513" i="1" s="1"/>
  <c r="J514" i="1"/>
  <c r="M514" i="1" s="1"/>
  <c r="J515" i="1"/>
  <c r="M515" i="1" s="1"/>
  <c r="J516" i="1"/>
  <c r="M516" i="1" s="1"/>
  <c r="J517" i="1"/>
  <c r="M517" i="1" s="1"/>
  <c r="J518" i="1"/>
  <c r="M518" i="1" s="1"/>
  <c r="J519" i="1"/>
  <c r="M519" i="1" s="1"/>
  <c r="J520" i="1"/>
  <c r="M520" i="1" s="1"/>
  <c r="J521" i="1"/>
  <c r="M521" i="1" s="1"/>
  <c r="J522" i="1"/>
  <c r="M522" i="1" s="1"/>
  <c r="J523" i="1"/>
  <c r="M523" i="1" s="1"/>
  <c r="J524" i="1"/>
  <c r="M524" i="1" s="1"/>
  <c r="J525" i="1"/>
  <c r="M525" i="1" s="1"/>
  <c r="J526" i="1"/>
  <c r="M526" i="1" s="1"/>
  <c r="J527" i="1"/>
  <c r="M527" i="1" s="1"/>
  <c r="J528" i="1"/>
  <c r="M528" i="1" s="1"/>
  <c r="J529" i="1"/>
  <c r="M529" i="1" s="1"/>
  <c r="J530" i="1"/>
  <c r="M530" i="1" s="1"/>
  <c r="J531" i="1"/>
  <c r="M531" i="1" s="1"/>
  <c r="J532" i="1"/>
  <c r="M532" i="1" s="1"/>
  <c r="J533" i="1"/>
  <c r="M533" i="1" s="1"/>
  <c r="J534" i="1"/>
  <c r="M534" i="1" s="1"/>
  <c r="J535" i="1"/>
  <c r="M535" i="1" s="1"/>
  <c r="J536" i="1"/>
  <c r="M536" i="1" s="1"/>
  <c r="J537" i="1"/>
  <c r="M537" i="1" s="1"/>
  <c r="J538" i="1"/>
  <c r="M538" i="1" s="1"/>
  <c r="J539" i="1"/>
  <c r="M539" i="1" s="1"/>
  <c r="J540" i="1"/>
  <c r="M540" i="1" s="1"/>
  <c r="J541" i="1"/>
  <c r="M541" i="1" s="1"/>
  <c r="J542" i="1"/>
  <c r="M542" i="1" s="1"/>
  <c r="J543" i="1"/>
  <c r="M543" i="1" s="1"/>
  <c r="J544" i="1"/>
  <c r="M544" i="1" s="1"/>
  <c r="J545" i="1"/>
  <c r="M545" i="1" s="1"/>
  <c r="J546" i="1"/>
  <c r="M546" i="1" s="1"/>
  <c r="J547" i="1"/>
  <c r="M547" i="1" s="1"/>
  <c r="J548" i="1"/>
  <c r="M548" i="1" s="1"/>
  <c r="J549" i="1"/>
  <c r="M549" i="1" s="1"/>
  <c r="J550" i="1"/>
  <c r="M550" i="1" s="1"/>
  <c r="J551" i="1"/>
  <c r="M551" i="1" s="1"/>
  <c r="J552" i="1"/>
  <c r="M552" i="1" s="1"/>
  <c r="J553" i="1"/>
  <c r="M553" i="1" s="1"/>
  <c r="J554" i="1"/>
  <c r="M554" i="1" s="1"/>
  <c r="J555" i="1"/>
  <c r="M555" i="1" s="1"/>
  <c r="J556" i="1"/>
  <c r="M556" i="1" s="1"/>
  <c r="J557" i="1"/>
  <c r="M557" i="1" s="1"/>
  <c r="J558" i="1"/>
  <c r="M558" i="1" s="1"/>
  <c r="J559" i="1"/>
  <c r="M559" i="1" s="1"/>
  <c r="J560" i="1"/>
  <c r="M560" i="1" s="1"/>
  <c r="J561" i="1"/>
  <c r="M561" i="1" s="1"/>
  <c r="J562" i="1"/>
  <c r="M562" i="1" s="1"/>
  <c r="J563" i="1"/>
  <c r="M563" i="1" s="1"/>
  <c r="J564" i="1"/>
  <c r="M564" i="1" s="1"/>
  <c r="J565" i="1"/>
  <c r="M565" i="1" s="1"/>
  <c r="J566" i="1"/>
  <c r="M566" i="1" s="1"/>
  <c r="J567" i="1"/>
  <c r="M567" i="1" s="1"/>
  <c r="J568" i="1"/>
  <c r="M568" i="1" s="1"/>
  <c r="J569" i="1"/>
  <c r="M569" i="1" s="1"/>
  <c r="J570" i="1"/>
  <c r="M570" i="1" s="1"/>
  <c r="J571" i="1"/>
  <c r="M571" i="1" s="1"/>
  <c r="J572" i="1"/>
  <c r="M572" i="1" s="1"/>
  <c r="J573" i="1"/>
  <c r="M573" i="1" s="1"/>
  <c r="J574" i="1"/>
  <c r="M574" i="1" s="1"/>
  <c r="J575" i="1"/>
  <c r="M575" i="1" s="1"/>
  <c r="J576" i="1"/>
  <c r="M576" i="1" s="1"/>
  <c r="J577" i="1"/>
  <c r="M577" i="1" s="1"/>
  <c r="J578" i="1"/>
  <c r="M578" i="1" s="1"/>
  <c r="J579" i="1"/>
  <c r="M579" i="1" s="1"/>
  <c r="J580" i="1"/>
  <c r="M580" i="1" s="1"/>
  <c r="J581" i="1"/>
  <c r="M581" i="1" s="1"/>
  <c r="J582" i="1"/>
  <c r="M582" i="1" s="1"/>
  <c r="J583" i="1"/>
  <c r="M583" i="1" s="1"/>
  <c r="J584" i="1"/>
  <c r="M584" i="1" s="1"/>
  <c r="J585" i="1"/>
  <c r="M585" i="1" s="1"/>
  <c r="J586" i="1"/>
  <c r="M586" i="1" s="1"/>
  <c r="J587" i="1"/>
  <c r="M587" i="1" s="1"/>
  <c r="J588" i="1"/>
  <c r="M588" i="1" s="1"/>
  <c r="J589" i="1"/>
  <c r="M589" i="1" s="1"/>
  <c r="J590" i="1"/>
  <c r="M590" i="1" s="1"/>
  <c r="J591" i="1"/>
  <c r="M591" i="1" s="1"/>
  <c r="J592" i="1"/>
  <c r="M592" i="1" s="1"/>
  <c r="J593" i="1"/>
  <c r="M593" i="1" s="1"/>
  <c r="J594" i="1"/>
  <c r="M594" i="1" s="1"/>
  <c r="J595" i="1"/>
  <c r="M595" i="1" s="1"/>
  <c r="J596" i="1"/>
  <c r="M596" i="1" s="1"/>
  <c r="J597" i="1"/>
  <c r="M597" i="1" s="1"/>
  <c r="J598" i="1"/>
  <c r="M598" i="1" s="1"/>
  <c r="J599" i="1"/>
  <c r="M599" i="1" s="1"/>
  <c r="J600" i="1"/>
  <c r="M600" i="1" s="1"/>
  <c r="J601" i="1"/>
  <c r="M601" i="1" s="1"/>
  <c r="J602" i="1"/>
  <c r="M602" i="1" s="1"/>
  <c r="J603" i="1"/>
  <c r="M603" i="1" s="1"/>
  <c r="J604" i="1"/>
  <c r="M604" i="1" s="1"/>
  <c r="J605" i="1"/>
  <c r="M605" i="1" s="1"/>
  <c r="J606" i="1"/>
  <c r="M606" i="1" s="1"/>
  <c r="J607" i="1"/>
  <c r="M607" i="1" s="1"/>
  <c r="J608" i="1"/>
  <c r="M608" i="1" s="1"/>
  <c r="J609" i="1"/>
  <c r="M609" i="1" s="1"/>
  <c r="J610" i="1"/>
  <c r="M610" i="1" s="1"/>
  <c r="J611" i="1"/>
  <c r="M611" i="1" s="1"/>
  <c r="J612" i="1"/>
  <c r="M612" i="1" s="1"/>
  <c r="J613" i="1"/>
  <c r="M613" i="1" s="1"/>
  <c r="J614" i="1"/>
  <c r="M614" i="1" s="1"/>
  <c r="J615" i="1"/>
  <c r="M615" i="1" s="1"/>
  <c r="J2" i="1"/>
  <c r="M2" i="1" s="1"/>
  <c r="C608" i="1" l="1"/>
  <c r="C364" i="1"/>
  <c r="C220" i="1"/>
  <c r="C152" i="1"/>
  <c r="C76" i="1"/>
  <c r="C22" i="1"/>
  <c r="C520" i="1"/>
  <c r="C572" i="1"/>
  <c r="C440" i="1"/>
  <c r="C284" i="1"/>
  <c r="C260" i="1"/>
  <c r="C20" i="1"/>
  <c r="C202" i="1"/>
  <c r="C304" i="1"/>
  <c r="C332" i="1"/>
  <c r="C160" i="1"/>
  <c r="C232" i="1"/>
  <c r="C416" i="1"/>
  <c r="C380" i="1"/>
  <c r="C356" i="1"/>
  <c r="C236" i="1"/>
  <c r="C10" i="1"/>
  <c r="C116" i="1"/>
  <c r="C92" i="1"/>
  <c r="C8" i="1"/>
  <c r="C488" i="1"/>
  <c r="C164" i="1"/>
  <c r="C320" i="1"/>
  <c r="C464" i="1"/>
  <c r="C344" i="1"/>
  <c r="C428" i="1"/>
  <c r="C224" i="1"/>
  <c r="C369" i="1"/>
  <c r="C237" i="1"/>
  <c r="C85" i="1"/>
  <c r="C69" i="1"/>
  <c r="C613" i="1"/>
  <c r="C585" i="1"/>
  <c r="C541" i="1"/>
  <c r="C513" i="1"/>
  <c r="C469" i="1"/>
  <c r="C441" i="1"/>
  <c r="C397" i="1"/>
  <c r="C349" i="1"/>
  <c r="C333" i="1"/>
  <c r="C201" i="1"/>
  <c r="C133" i="1"/>
  <c r="C117" i="1"/>
  <c r="C84" i="1"/>
  <c r="C9" i="1"/>
  <c r="C612" i="1"/>
  <c r="C540" i="1"/>
  <c r="C468" i="1"/>
  <c r="C396" i="1"/>
  <c r="C348" i="1"/>
  <c r="C313" i="1"/>
  <c r="C297" i="1"/>
  <c r="C249" i="1"/>
  <c r="C132" i="1"/>
  <c r="C25" i="1"/>
  <c r="C481" i="1"/>
  <c r="C217" i="1"/>
  <c r="C97" i="1"/>
  <c r="C552" i="1"/>
  <c r="C480" i="1"/>
  <c r="C408" i="1"/>
  <c r="C277" i="1"/>
  <c r="C216" i="1"/>
  <c r="C145" i="1"/>
  <c r="C129" i="1"/>
  <c r="C81" i="1"/>
  <c r="C61" i="1"/>
  <c r="C409" i="1"/>
  <c r="C565" i="1"/>
  <c r="C537" i="1"/>
  <c r="C493" i="1"/>
  <c r="C465" i="1"/>
  <c r="C421" i="1"/>
  <c r="C393" i="1"/>
  <c r="C229" i="1"/>
  <c r="C144" i="1"/>
  <c r="C60" i="1"/>
  <c r="C45" i="1"/>
  <c r="C564" i="1"/>
  <c r="C492" i="1"/>
  <c r="C420" i="1"/>
  <c r="C309" i="1"/>
  <c r="C228" i="1"/>
  <c r="C213" i="1"/>
  <c r="C193" i="1"/>
  <c r="C37" i="1"/>
  <c r="C577" i="1"/>
  <c r="C549" i="1"/>
  <c r="C477" i="1"/>
  <c r="C405" i="1"/>
  <c r="C289" i="1"/>
  <c r="C273" i="1"/>
  <c r="C192" i="1"/>
  <c r="C57" i="1"/>
  <c r="C36" i="1"/>
  <c r="C576" i="1"/>
  <c r="C288" i="1"/>
  <c r="C561" i="1"/>
  <c r="C121" i="1"/>
  <c r="C205" i="1"/>
  <c r="C388" i="1"/>
  <c r="C244" i="1"/>
  <c r="C100" i="1"/>
  <c r="C605" i="1"/>
  <c r="C593" i="1"/>
  <c r="C581" i="1"/>
  <c r="C569" i="1"/>
  <c r="C521" i="1"/>
  <c r="C509" i="1"/>
  <c r="C497" i="1"/>
  <c r="C485" i="1"/>
  <c r="C473" i="1"/>
  <c r="C461" i="1"/>
  <c r="C449" i="1"/>
  <c r="C437" i="1"/>
  <c r="C425" i="1"/>
  <c r="C256" i="1"/>
  <c r="C88" i="1"/>
  <c r="C604" i="1"/>
  <c r="C592" i="1"/>
  <c r="C580" i="1"/>
  <c r="C568" i="1"/>
  <c r="C532" i="1"/>
  <c r="C508" i="1"/>
  <c r="C496" i="1"/>
  <c r="C484" i="1"/>
  <c r="C472" i="1"/>
  <c r="C460" i="1"/>
  <c r="C448" i="1"/>
  <c r="C436" i="1"/>
  <c r="C424" i="1"/>
  <c r="C268" i="1"/>
  <c r="C307" i="1"/>
  <c r="C294" i="1"/>
  <c r="C280" i="1"/>
  <c r="C163" i="1"/>
  <c r="C150" i="1"/>
  <c r="C136" i="1"/>
  <c r="C110" i="1"/>
  <c r="C19" i="1"/>
  <c r="C6" i="1"/>
  <c r="C306" i="1"/>
  <c r="C292" i="1"/>
  <c r="C162" i="1"/>
  <c r="C148" i="1"/>
  <c r="C31" i="1"/>
  <c r="C18" i="1"/>
  <c r="C4" i="1"/>
  <c r="C331" i="1"/>
  <c r="C187" i="1"/>
  <c r="C43" i="1"/>
  <c r="C55" i="1"/>
  <c r="C355" i="1"/>
  <c r="C211" i="1"/>
  <c r="C67" i="1"/>
  <c r="C14" i="1"/>
  <c r="C79" i="1"/>
  <c r="C66" i="1"/>
  <c r="C379" i="1"/>
  <c r="C235" i="1"/>
  <c r="C91" i="1"/>
  <c r="C38" i="1"/>
</calcChain>
</file>

<file path=xl/sharedStrings.xml><?xml version="1.0" encoding="utf-8"?>
<sst xmlns="http://schemas.openxmlformats.org/spreadsheetml/2006/main" count="6556" uniqueCount="116">
  <si>
    <t>DATE</t>
  </si>
  <si>
    <t>TIME</t>
  </si>
  <si>
    <t>BRAND</t>
  </si>
  <si>
    <t>CURVE</t>
  </si>
  <si>
    <t>CONV</t>
  </si>
  <si>
    <t>NOVA</t>
  </si>
  <si>
    <t>DA</t>
  </si>
  <si>
    <t>NOVA - Conv</t>
  </si>
  <si>
    <t>DA - Conv</t>
  </si>
  <si>
    <t>NOVA - DA</t>
  </si>
  <si>
    <t>Medium</t>
  </si>
  <si>
    <t>A</t>
  </si>
  <si>
    <t>-</t>
  </si>
  <si>
    <t>NS (M)</t>
  </si>
  <si>
    <t>High</t>
  </si>
  <si>
    <t>B</t>
  </si>
  <si>
    <t>ACM</t>
  </si>
  <si>
    <t>Low</t>
  </si>
  <si>
    <t>Gardenia</t>
  </si>
  <si>
    <t>MA</t>
  </si>
  <si>
    <t>Aryzta</t>
  </si>
  <si>
    <t xml:space="preserve">MF </t>
  </si>
  <si>
    <t>Mighty White</t>
  </si>
  <si>
    <t>KF</t>
  </si>
  <si>
    <t>MB</t>
  </si>
  <si>
    <t>B.Key 25kg</t>
  </si>
  <si>
    <t>Sauh</t>
  </si>
  <si>
    <t>SPN</t>
  </si>
  <si>
    <t>Chembong</t>
  </si>
  <si>
    <t>Nestle</t>
  </si>
  <si>
    <t>Stork</t>
  </si>
  <si>
    <t>G.Mas</t>
  </si>
  <si>
    <t>PA</t>
  </si>
  <si>
    <t>SRF</t>
  </si>
  <si>
    <t>KFC</t>
  </si>
  <si>
    <t>Italian Baker</t>
  </si>
  <si>
    <t>Pen MG</t>
  </si>
  <si>
    <t>Stork W</t>
  </si>
  <si>
    <t>BF</t>
  </si>
  <si>
    <t>TIB Cake Flour</t>
  </si>
  <si>
    <t>ASW</t>
  </si>
  <si>
    <t>APW</t>
  </si>
  <si>
    <t>B.Key Pau</t>
  </si>
  <si>
    <t xml:space="preserve">Stork </t>
  </si>
  <si>
    <t>MF</t>
  </si>
  <si>
    <t>SRF (S'pore)</t>
  </si>
  <si>
    <t>Gunung Mas</t>
  </si>
  <si>
    <t>Bulk</t>
  </si>
  <si>
    <t>HIgh</t>
  </si>
  <si>
    <t>Blue Key 1kg</t>
  </si>
  <si>
    <t>Blue Key 25kg</t>
  </si>
  <si>
    <t>Cap Sauh</t>
  </si>
  <si>
    <t>Chembong Flour</t>
  </si>
  <si>
    <t>LH 32</t>
  </si>
  <si>
    <t>Aquafeed</t>
  </si>
  <si>
    <t>Mighty</t>
  </si>
  <si>
    <t>FL 2</t>
  </si>
  <si>
    <t>Pen Mg</t>
  </si>
  <si>
    <t>x</t>
  </si>
  <si>
    <t>DA - Nova</t>
  </si>
  <si>
    <t>TIB Cake</t>
  </si>
  <si>
    <t xml:space="preserve">MB </t>
  </si>
  <si>
    <t>Special N</t>
  </si>
  <si>
    <t xml:space="preserve">                </t>
  </si>
  <si>
    <t>NOVA - CONV</t>
  </si>
  <si>
    <t>Difference between NOVA and DA</t>
  </si>
  <si>
    <t>Result from rapid tester at lab</t>
  </si>
  <si>
    <t>Result from rapid tester at production</t>
  </si>
  <si>
    <t>DA - CONV</t>
  </si>
  <si>
    <t>Difference between NOVA and conventional results</t>
  </si>
  <si>
    <t>Difference between DA and conventional results</t>
  </si>
  <si>
    <t xml:space="preserve">Here we are making 3 comparison to check the difference: </t>
  </si>
  <si>
    <t xml:space="preserve">   necessary, eg: arrange repeat test, factor adjustment, etc</t>
  </si>
  <si>
    <t>*Besides daily review, a longer term review ie: weekly and monthly review is required</t>
  </si>
  <si>
    <t xml:space="preserve">  to observe the overall trend</t>
  </si>
  <si>
    <t xml:space="preserve">Remarks: </t>
  </si>
  <si>
    <t>There are total 3 parameters in monitoring, ie: moisture, protein and ash</t>
  </si>
  <si>
    <t>Each compiled in different sheet for easy review</t>
  </si>
  <si>
    <t>In each sheet, there are 3 results compiled here:</t>
  </si>
  <si>
    <t>Conventional Results from Reference Method (Reference Value) - not all samples will do conventional test, but only at fixed frequency</t>
  </si>
  <si>
    <t>*Acceptable tolerance for the difference is dependent on the parameters:</t>
  </si>
  <si>
    <t xml:space="preserve">  i) moisture </t>
  </si>
  <si>
    <t xml:space="preserve">  ii) protein</t>
  </si>
  <si>
    <t xml:space="preserve">  iii) ash</t>
  </si>
  <si>
    <t>NIT</t>
  </si>
  <si>
    <t>NIT - Conv</t>
  </si>
  <si>
    <t>DA-NIT</t>
  </si>
  <si>
    <t>Tib Cake Flour</t>
  </si>
  <si>
    <t>NIT, DA and Conventional Report</t>
  </si>
  <si>
    <r>
      <rPr>
        <sz val="12"/>
        <color indexed="8"/>
        <rFont val="Aptos Narrow"/>
        <family val="2"/>
      </rPr>
      <t>±</t>
    </r>
    <r>
      <rPr>
        <sz val="12"/>
        <color indexed="8"/>
        <rFont val="Calibri"/>
        <family val="2"/>
      </rPr>
      <t xml:space="preserve"> 0.2</t>
    </r>
  </si>
  <si>
    <r>
      <rPr>
        <sz val="12"/>
        <color indexed="8"/>
        <rFont val="Aptos Narrow"/>
        <family val="2"/>
      </rPr>
      <t>±</t>
    </r>
    <r>
      <rPr>
        <sz val="12"/>
        <color indexed="8"/>
        <rFont val="Calibri"/>
        <family val="2"/>
      </rPr>
      <t xml:space="preserve"> 0.02</t>
    </r>
  </si>
  <si>
    <t>*Food Technologist will review the results in daily basis</t>
  </si>
  <si>
    <r>
      <t xml:space="preserve">*Any difference larger than </t>
    </r>
    <r>
      <rPr>
        <sz val="12"/>
        <color indexed="8"/>
        <rFont val="Aptos Narrow"/>
        <family val="2"/>
      </rPr>
      <t>the acceptable tolerance</t>
    </r>
    <r>
      <rPr>
        <sz val="12"/>
        <color indexed="8"/>
        <rFont val="Calibri"/>
        <family val="2"/>
      </rPr>
      <t xml:space="preserve"> requires attention, so that we can arrange the </t>
    </r>
  </si>
  <si>
    <t/>
  </si>
  <si>
    <t>DA - NOVA</t>
  </si>
  <si>
    <t>Process</t>
  </si>
  <si>
    <t>NOVA-CONV STATUS</t>
  </si>
  <si>
    <t>DA - Conv Status</t>
  </si>
  <si>
    <t>DA - NOVA Status</t>
  </si>
  <si>
    <t>NOVA - Conv Status</t>
  </si>
  <si>
    <t>DA - Nova Status</t>
  </si>
  <si>
    <t>NIT - Conv Status</t>
  </si>
  <si>
    <t>DA - Conv Staus</t>
  </si>
  <si>
    <t>DA-NIT Status</t>
  </si>
  <si>
    <t>DateTime</t>
  </si>
  <si>
    <t>Moisture Weekly Trend</t>
  </si>
  <si>
    <t>Weekly average by instrument • Monday-starting weeks • 1 May–13 Jun 2026</t>
  </si>
  <si>
    <t>Week starting</t>
  </si>
  <si>
    <t>NOVA avg</t>
  </si>
  <si>
    <t>DA avg</t>
  </si>
  <si>
    <t>CONV avg</t>
  </si>
  <si>
    <t>Samples</t>
  </si>
  <si>
    <t>NOVA n</t>
  </si>
  <si>
    <t>DA n</t>
  </si>
  <si>
    <t>CONV n</t>
  </si>
  <si>
    <t>Coverage note: averages use all valid numeric readings in each week; CONV is sparse because reference testing is performed at a fixed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</si>
</sst>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"/>
    <numFmt numFmtId="166" formatCode="\ hh:mm\ AM/PM"/>
    <numFmt numFmtId="167" formatCode="0.00####"/>
    <numFmt numFmtId="168" formatCode="hh:mm"/>
    <numFmt numFmtId="169" formatCode="dd/mm/yyyy"/>
    <numFmt numFmtId="170" formatCode="0.000"/>
    <numFmt numFmtId="171" formatCode="dd/mm/yyyy\ hh:mm"/>
    <numFmt numFmtId="172" formatCode="dd\ mmm\ 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Aptos Narrow"/>
      <family val="2"/>
    </font>
    <font>
      <b/>
      <u/>
      <sz val="14"/>
      <color theme="1"/>
      <name val="Calibri"/>
      <family val="2"/>
      <scheme val="minor"/>
    </font>
    <font>
      <sz val="10"/>
      <color theme="1"/>
      <name val="Aptos"/>
    </font>
    <font>
      <b/>
      <sz val="20"/>
      <color rgb="FFFFFFFF"/>
      <name val="Calibri"/>
      <family val="2"/>
      <scheme val="minor"/>
    </font>
    <font>
      <i/>
      <sz val="11"/>
      <color rgb="FF44546A"/>
      <name val="Calibri"/>
      <family val="2"/>
      <scheme val="minor"/>
    </font>
    <font>
      <b/>
      <sz val="10"/>
      <color rgb="FF17365D"/>
      <name val="Aptos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5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246">
    <xf numFmtId="0" fontId="0" fillId="0" borderId="0" xfId="0"/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2" fontId="2" fillId="0" borderId="2" xfId="2" applyNumberFormat="1" applyFont="1" applyBorder="1" applyAlignment="1">
      <alignment horizontal="center" vertical="center"/>
    </xf>
    <xf numFmtId="165" fontId="2" fillId="2" borderId="3" xfId="2" applyNumberFormat="1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5" fillId="0" borderId="3" xfId="2" applyFont="1" applyBorder="1" applyAlignment="1">
      <alignment horizontal="center" vertical="center"/>
    </xf>
    <xf numFmtId="0" fontId="4" fillId="0" borderId="3" xfId="3" applyFont="1" applyBorder="1" applyAlignment="1">
      <alignment horizontal="center"/>
    </xf>
    <xf numFmtId="0" fontId="4" fillId="0" borderId="3" xfId="3" applyFont="1" applyBorder="1" applyAlignment="1">
      <alignment horizontal="left"/>
    </xf>
    <xf numFmtId="2" fontId="4" fillId="0" borderId="3" xfId="3" applyNumberFormat="1" applyFont="1" applyBorder="1" applyAlignment="1">
      <alignment horizontal="center"/>
    </xf>
    <xf numFmtId="2" fontId="5" fillId="2" borderId="3" xfId="2" applyNumberFormat="1" applyFont="1" applyFill="1" applyBorder="1" applyAlignment="1">
      <alignment horizontal="center"/>
    </xf>
    <xf numFmtId="2" fontId="5" fillId="0" borderId="3" xfId="2" applyNumberFormat="1" applyFont="1" applyBorder="1" applyAlignment="1">
      <alignment horizontal="center"/>
    </xf>
    <xf numFmtId="0" fontId="4" fillId="0" borderId="3" xfId="3" quotePrefix="1" applyFont="1" applyBorder="1" applyAlignment="1">
      <alignment horizontal="center"/>
    </xf>
    <xf numFmtId="0" fontId="5" fillId="0" borderId="6" xfId="2" applyFont="1" applyBorder="1" applyAlignment="1">
      <alignment horizontal="center" vertical="center"/>
    </xf>
    <xf numFmtId="0" fontId="3" fillId="0" borderId="3" xfId="3" applyBorder="1" applyAlignment="1">
      <alignment horizontal="center" vertical="center"/>
    </xf>
    <xf numFmtId="2" fontId="3" fillId="0" borderId="3" xfId="3" applyNumberFormat="1" applyBorder="1" applyAlignment="1">
      <alignment horizontal="center" vertical="center"/>
    </xf>
    <xf numFmtId="0" fontId="3" fillId="0" borderId="0" xfId="3" applyAlignment="1">
      <alignment horizontal="center" vertical="center"/>
    </xf>
    <xf numFmtId="2" fontId="5" fillId="0" borderId="3" xfId="2" quotePrefix="1" applyNumberFormat="1" applyFont="1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166" fontId="1" fillId="0" borderId="3" xfId="2" applyNumberFormat="1" applyBorder="1" applyAlignment="1">
      <alignment horizontal="center" vertical="center"/>
    </xf>
    <xf numFmtId="0" fontId="5" fillId="0" borderId="3" xfId="2" quotePrefix="1" applyFont="1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2" fontId="3" fillId="0" borderId="3" xfId="3" quotePrefix="1" applyNumberFormat="1" applyBorder="1" applyAlignment="1">
      <alignment horizontal="center" vertical="center"/>
    </xf>
    <xf numFmtId="167" fontId="1" fillId="0" borderId="3" xfId="2" applyNumberForma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1" fillId="0" borderId="23" xfId="2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167" fontId="1" fillId="0" borderId="0" xfId="2" applyNumberFormat="1" applyAlignment="1">
      <alignment horizontal="center" vertical="center"/>
    </xf>
    <xf numFmtId="165" fontId="5" fillId="2" borderId="0" xfId="3" applyNumberFormat="1" applyFont="1" applyFill="1" applyAlignment="1">
      <alignment horizontal="center"/>
    </xf>
    <xf numFmtId="0" fontId="6" fillId="0" borderId="24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 wrapText="1"/>
    </xf>
    <xf numFmtId="2" fontId="6" fillId="0" borderId="24" xfId="4" applyNumberFormat="1" applyFont="1" applyBorder="1" applyAlignment="1">
      <alignment horizontal="center" vertical="center"/>
    </xf>
    <xf numFmtId="2" fontId="6" fillId="0" borderId="25" xfId="4" applyNumberFormat="1" applyFont="1" applyBorder="1" applyAlignment="1">
      <alignment horizontal="center" vertical="center" wrapText="1"/>
    </xf>
    <xf numFmtId="2" fontId="6" fillId="0" borderId="26" xfId="4" applyNumberFormat="1" applyFont="1" applyBorder="1" applyAlignment="1">
      <alignment horizontal="center" vertical="center" wrapText="1"/>
    </xf>
    <xf numFmtId="2" fontId="7" fillId="0" borderId="3" xfId="4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left" vertical="center" wrapText="1"/>
    </xf>
    <xf numFmtId="2" fontId="5" fillId="0" borderId="3" xfId="2" applyNumberFormat="1" applyFont="1" applyBorder="1" applyAlignment="1">
      <alignment horizontal="center" vertical="center"/>
    </xf>
    <xf numFmtId="2" fontId="3" fillId="0" borderId="0" xfId="3" applyNumberFormat="1" applyAlignment="1">
      <alignment horizontal="center" vertical="center"/>
    </xf>
    <xf numFmtId="2" fontId="5" fillId="0" borderId="3" xfId="3" applyNumberFormat="1" applyFont="1" applyBorder="1" applyAlignment="1">
      <alignment horizontal="center" vertical="center"/>
    </xf>
    <xf numFmtId="0" fontId="4" fillId="0" borderId="0" xfId="3" applyFont="1" applyAlignment="1">
      <alignment horizontal="left"/>
    </xf>
    <xf numFmtId="164" fontId="5" fillId="0" borderId="3" xfId="1" applyFont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1" fillId="0" borderId="27" xfId="2" applyBorder="1" applyAlignment="1">
      <alignment horizontal="center" vertical="center"/>
    </xf>
    <xf numFmtId="0" fontId="1" fillId="0" borderId="28" xfId="2" applyBorder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8" fillId="0" borderId="0" xfId="3" applyFont="1" applyAlignment="1">
      <alignment horizontal="left"/>
    </xf>
    <xf numFmtId="0" fontId="9" fillId="0" borderId="0" xfId="3" applyFont="1" applyAlignment="1">
      <alignment horizontal="left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left"/>
    </xf>
    <xf numFmtId="0" fontId="11" fillId="0" borderId="0" xfId="3" applyFont="1" applyAlignment="1">
      <alignment horizontal="left"/>
    </xf>
    <xf numFmtId="0" fontId="13" fillId="0" borderId="0" xfId="0" applyFont="1"/>
    <xf numFmtId="168" fontId="4" fillId="0" borderId="0" xfId="3" applyNumberFormat="1" applyFont="1" applyAlignment="1">
      <alignment horizontal="center"/>
    </xf>
    <xf numFmtId="168" fontId="2" fillId="0" borderId="2" xfId="2" applyNumberFormat="1" applyFont="1" applyBorder="1" applyAlignment="1">
      <alignment horizontal="center" vertical="center"/>
    </xf>
    <xf numFmtId="168" fontId="1" fillId="0" borderId="3" xfId="2" applyNumberFormat="1" applyBorder="1" applyAlignment="1">
      <alignment horizontal="left" vertical="center"/>
    </xf>
    <xf numFmtId="168" fontId="4" fillId="0" borderId="3" xfId="3" applyNumberFormat="1" applyFont="1" applyBorder="1" applyAlignment="1">
      <alignment horizontal="center"/>
    </xf>
    <xf numFmtId="168" fontId="1" fillId="0" borderId="0" xfId="2" applyNumberFormat="1" applyAlignment="1">
      <alignment horizontal="left" vertical="center"/>
    </xf>
    <xf numFmtId="168" fontId="1" fillId="0" borderId="3" xfId="2" applyNumberFormat="1" applyBorder="1" applyAlignment="1">
      <alignment horizontal="center" vertical="center"/>
    </xf>
    <xf numFmtId="168" fontId="1" fillId="0" borderId="7" xfId="2" applyNumberFormat="1" applyBorder="1" applyAlignment="1">
      <alignment horizontal="center" vertical="center"/>
    </xf>
    <xf numFmtId="168" fontId="1" fillId="0" borderId="8" xfId="2" applyNumberFormat="1" applyBorder="1" applyAlignment="1">
      <alignment horizontal="center" vertical="center"/>
    </xf>
    <xf numFmtId="168" fontId="1" fillId="0" borderId="9" xfId="2" applyNumberFormat="1" applyBorder="1" applyAlignment="1">
      <alignment horizontal="center" vertical="center"/>
    </xf>
    <xf numFmtId="168" fontId="1" fillId="0" borderId="10" xfId="2" applyNumberFormat="1" applyBorder="1" applyAlignment="1">
      <alignment horizontal="center" vertical="center"/>
    </xf>
    <xf numFmtId="168" fontId="1" fillId="0" borderId="7" xfId="2" applyNumberFormat="1" applyBorder="1" applyAlignment="1">
      <alignment horizontal="left" vertical="center"/>
    </xf>
    <xf numFmtId="168" fontId="1" fillId="0" borderId="8" xfId="2" applyNumberFormat="1" applyBorder="1" applyAlignment="1">
      <alignment horizontal="left" vertical="center"/>
    </xf>
    <xf numFmtId="168" fontId="1" fillId="0" borderId="12" xfId="2" applyNumberFormat="1" applyBorder="1" applyAlignment="1">
      <alignment horizontal="left" vertical="center"/>
    </xf>
    <xf numFmtId="168" fontId="1" fillId="0" borderId="13" xfId="2" applyNumberFormat="1" applyBorder="1" applyAlignment="1">
      <alignment horizontal="left" vertical="center"/>
    </xf>
    <xf numFmtId="168" fontId="1" fillId="0" borderId="15" xfId="2" applyNumberFormat="1" applyBorder="1" applyAlignment="1">
      <alignment horizontal="left" vertical="center"/>
    </xf>
    <xf numFmtId="168" fontId="1" fillId="0" borderId="5" xfId="2" applyNumberFormat="1" applyBorder="1" applyAlignment="1">
      <alignment horizontal="left" vertical="center"/>
    </xf>
    <xf numFmtId="168" fontId="1" fillId="0" borderId="16" xfId="2" applyNumberFormat="1" applyBorder="1" applyAlignment="1">
      <alignment horizontal="left" vertical="center"/>
    </xf>
    <xf numFmtId="168" fontId="1" fillId="0" borderId="17" xfId="2" applyNumberFormat="1" applyBorder="1" applyAlignment="1">
      <alignment horizontal="left" vertical="center"/>
    </xf>
    <xf numFmtId="168" fontId="1" fillId="0" borderId="18" xfId="2" applyNumberFormat="1" applyBorder="1" applyAlignment="1">
      <alignment horizontal="left" vertical="center"/>
    </xf>
    <xf numFmtId="168" fontId="1" fillId="0" borderId="9" xfId="2" applyNumberFormat="1" applyBorder="1" applyAlignment="1">
      <alignment horizontal="left" vertical="center"/>
    </xf>
    <xf numFmtId="168" fontId="1" fillId="0" borderId="10" xfId="2" applyNumberFormat="1" applyBorder="1" applyAlignment="1">
      <alignment horizontal="left" vertical="center"/>
    </xf>
    <xf numFmtId="168" fontId="1" fillId="0" borderId="19" xfId="2" applyNumberFormat="1" applyBorder="1" applyAlignment="1">
      <alignment horizontal="left" vertical="center"/>
    </xf>
    <xf numFmtId="168" fontId="1" fillId="0" borderId="20" xfId="2" applyNumberFormat="1" applyBorder="1" applyAlignment="1">
      <alignment horizontal="left" vertical="center"/>
    </xf>
    <xf numFmtId="168" fontId="1" fillId="0" borderId="21" xfId="2" applyNumberFormat="1" applyBorder="1" applyAlignment="1">
      <alignment horizontal="left" vertical="center"/>
    </xf>
    <xf numFmtId="168" fontId="1" fillId="0" borderId="22" xfId="2" applyNumberFormat="1" applyBorder="1" applyAlignment="1">
      <alignment horizontal="left" vertical="center"/>
    </xf>
    <xf numFmtId="169" fontId="2" fillId="0" borderId="1" xfId="2" applyNumberFormat="1" applyFont="1" applyBorder="1" applyAlignment="1">
      <alignment horizontal="center" vertical="center"/>
    </xf>
    <xf numFmtId="169" fontId="4" fillId="0" borderId="0" xfId="3" applyNumberFormat="1" applyFont="1" applyAlignment="1">
      <alignment horizontal="center"/>
    </xf>
    <xf numFmtId="169" fontId="3" fillId="0" borderId="0" xfId="3" applyNumberFormat="1" applyAlignment="1">
      <alignment horizontal="center" vertical="center"/>
    </xf>
    <xf numFmtId="169" fontId="5" fillId="0" borderId="0" xfId="2" applyNumberFormat="1" applyFont="1" applyAlignment="1">
      <alignment horizontal="center" vertical="center"/>
    </xf>
    <xf numFmtId="168" fontId="1" fillId="0" borderId="0" xfId="2" applyNumberFormat="1" applyAlignment="1">
      <alignment horizontal="center" vertical="center"/>
    </xf>
    <xf numFmtId="168" fontId="1" fillId="0" borderId="12" xfId="2" applyNumberFormat="1" applyBorder="1" applyAlignment="1">
      <alignment horizontal="center" vertical="center"/>
    </xf>
    <xf numFmtId="168" fontId="1" fillId="0" borderId="13" xfId="2" applyNumberFormat="1" applyBorder="1" applyAlignment="1">
      <alignment horizontal="center" vertical="center"/>
    </xf>
    <xf numFmtId="168" fontId="1" fillId="0" borderId="15" xfId="2" applyNumberFormat="1" applyBorder="1" applyAlignment="1">
      <alignment horizontal="center" vertical="center"/>
    </xf>
    <xf numFmtId="168" fontId="1" fillId="0" borderId="5" xfId="2" applyNumberFormat="1" applyBorder="1" applyAlignment="1">
      <alignment horizontal="center" vertical="center"/>
    </xf>
    <xf numFmtId="168" fontId="1" fillId="0" borderId="16" xfId="2" applyNumberFormat="1" applyBorder="1" applyAlignment="1">
      <alignment horizontal="center" vertical="center"/>
    </xf>
    <xf numFmtId="168" fontId="1" fillId="0" borderId="17" xfId="2" applyNumberFormat="1" applyBorder="1" applyAlignment="1">
      <alignment horizontal="center" vertical="center"/>
    </xf>
    <xf numFmtId="168" fontId="1" fillId="0" borderId="18" xfId="2" applyNumberFormat="1" applyBorder="1" applyAlignment="1">
      <alignment horizontal="center" vertical="center"/>
    </xf>
    <xf numFmtId="168" fontId="1" fillId="0" borderId="19" xfId="2" applyNumberFormat="1" applyBorder="1" applyAlignment="1">
      <alignment horizontal="center" vertical="center"/>
    </xf>
    <xf numFmtId="168" fontId="1" fillId="0" borderId="20" xfId="2" applyNumberFormat="1" applyBorder="1" applyAlignment="1">
      <alignment horizontal="center" vertical="center"/>
    </xf>
    <xf numFmtId="168" fontId="1" fillId="0" borderId="21" xfId="2" applyNumberFormat="1" applyBorder="1" applyAlignment="1">
      <alignment horizontal="center" vertical="center"/>
    </xf>
    <xf numFmtId="168" fontId="1" fillId="0" borderId="22" xfId="2" applyNumberFormat="1" applyBorder="1" applyAlignment="1">
      <alignment horizontal="center" vertical="center"/>
    </xf>
    <xf numFmtId="168" fontId="5" fillId="0" borderId="0" xfId="2" applyNumberFormat="1" applyFont="1" applyAlignment="1">
      <alignment horizontal="center" vertical="center"/>
    </xf>
    <xf numFmtId="168" fontId="6" fillId="0" borderId="24" xfId="4" applyNumberFormat="1" applyFont="1" applyBorder="1" applyAlignment="1">
      <alignment horizontal="center" vertical="center"/>
    </xf>
    <xf numFmtId="168" fontId="3" fillId="0" borderId="3" xfId="3" applyNumberFormat="1" applyBorder="1" applyAlignment="1">
      <alignment horizontal="center" vertical="center"/>
    </xf>
    <xf numFmtId="168" fontId="3" fillId="0" borderId="0" xfId="3" applyNumberFormat="1" applyAlignment="1">
      <alignment horizontal="center" vertical="center"/>
    </xf>
    <xf numFmtId="2" fontId="2" fillId="2" borderId="3" xfId="2" applyNumberFormat="1" applyFont="1" applyFill="1" applyBorder="1" applyAlignment="1">
      <alignment horizontal="center" vertical="center" wrapText="1"/>
    </xf>
    <xf numFmtId="2" fontId="1" fillId="2" borderId="3" xfId="2" applyNumberFormat="1" applyFill="1" applyBorder="1" applyAlignment="1">
      <alignment horizontal="center" vertical="center"/>
    </xf>
    <xf numFmtId="2" fontId="4" fillId="2" borderId="3" xfId="3" applyNumberFormat="1" applyFont="1" applyFill="1" applyBorder="1" applyAlignment="1">
      <alignment horizontal="center"/>
    </xf>
    <xf numFmtId="2" fontId="1" fillId="0" borderId="3" xfId="2" applyNumberFormat="1" applyBorder="1" applyAlignment="1">
      <alignment horizontal="center" vertical="center"/>
    </xf>
    <xf numFmtId="2" fontId="1" fillId="0" borderId="0" xfId="2" applyNumberFormat="1" applyAlignment="1">
      <alignment horizontal="center" vertical="center"/>
    </xf>
    <xf numFmtId="2" fontId="4" fillId="2" borderId="0" xfId="3" applyNumberFormat="1" applyFont="1" applyFill="1" applyAlignment="1">
      <alignment horizontal="center"/>
    </xf>
    <xf numFmtId="2" fontId="2" fillId="0" borderId="4" xfId="2" applyNumberFormat="1" applyFont="1" applyBorder="1" applyAlignment="1">
      <alignment horizontal="center" vertical="center"/>
    </xf>
    <xf numFmtId="2" fontId="5" fillId="0" borderId="3" xfId="3" applyNumberFormat="1" applyFont="1" applyBorder="1" applyAlignment="1">
      <alignment horizontal="center"/>
    </xf>
    <xf numFmtId="2" fontId="5" fillId="0" borderId="0" xfId="3" applyNumberFormat="1" applyFont="1" applyAlignment="1">
      <alignment horizontal="center"/>
    </xf>
    <xf numFmtId="2" fontId="2" fillId="0" borderId="1" xfId="2" applyNumberFormat="1" applyFont="1" applyBorder="1" applyAlignment="1">
      <alignment horizontal="center" vertical="center" wrapText="1"/>
    </xf>
    <xf numFmtId="170" fontId="5" fillId="0" borderId="3" xfId="2" quotePrefix="1" applyNumberFormat="1" applyFont="1" applyBorder="1" applyAlignment="1">
      <alignment horizontal="center" vertical="center"/>
    </xf>
    <xf numFmtId="170" fontId="1" fillId="0" borderId="3" xfId="2" applyNumberFormat="1" applyBorder="1" applyAlignment="1">
      <alignment horizontal="center" vertical="center"/>
    </xf>
    <xf numFmtId="170" fontId="5" fillId="0" borderId="3" xfId="2" applyNumberFormat="1" applyFont="1" applyBorder="1" applyAlignment="1">
      <alignment horizontal="center" vertical="center"/>
    </xf>
    <xf numFmtId="170" fontId="1" fillId="0" borderId="3" xfId="2" quotePrefix="1" applyNumberFormat="1" applyBorder="1" applyAlignment="1">
      <alignment horizontal="center" vertical="center"/>
    </xf>
    <xf numFmtId="170" fontId="3" fillId="0" borderId="3" xfId="3" quotePrefix="1" applyNumberFormat="1" applyBorder="1" applyAlignment="1">
      <alignment horizontal="center" vertical="center"/>
    </xf>
    <xf numFmtId="170" fontId="3" fillId="3" borderId="3" xfId="3" quotePrefix="1" applyNumberFormat="1" applyFill="1" applyBorder="1" applyAlignment="1">
      <alignment horizontal="center" vertical="center"/>
    </xf>
    <xf numFmtId="170" fontId="1" fillId="0" borderId="0" xfId="2" applyNumberFormat="1" applyAlignment="1">
      <alignment horizontal="center" vertical="center"/>
    </xf>
    <xf numFmtId="170" fontId="3" fillId="0" borderId="3" xfId="3" applyNumberFormat="1" applyBorder="1" applyAlignment="1">
      <alignment horizontal="center" vertical="center"/>
    </xf>
    <xf numFmtId="170" fontId="5" fillId="3" borderId="3" xfId="2" applyNumberFormat="1" applyFont="1" applyFill="1" applyBorder="1" applyAlignment="1">
      <alignment horizontal="center" vertical="center"/>
    </xf>
    <xf numFmtId="170" fontId="5" fillId="0" borderId="0" xfId="2" applyNumberFormat="1" applyFont="1" applyAlignment="1">
      <alignment horizontal="center" vertical="center"/>
    </xf>
    <xf numFmtId="4" fontId="2" fillId="2" borderId="5" xfId="3" applyNumberFormat="1" applyFont="1" applyFill="1" applyBorder="1" applyAlignment="1">
      <alignment horizontal="center" vertical="center" wrapText="1"/>
    </xf>
    <xf numFmtId="4" fontId="5" fillId="2" borderId="5" xfId="2" applyNumberFormat="1" applyFont="1" applyFill="1" applyBorder="1" applyAlignment="1">
      <alignment horizontal="center"/>
    </xf>
    <xf numFmtId="4" fontId="5" fillId="2" borderId="0" xfId="3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69" fontId="2" fillId="0" borderId="29" xfId="3" applyNumberFormat="1" applyFont="1" applyBorder="1" applyAlignment="1">
      <alignment horizontal="center" vertical="center"/>
    </xf>
    <xf numFmtId="168" fontId="2" fillId="0" borderId="30" xfId="3" applyNumberFormat="1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 wrapText="1"/>
    </xf>
    <xf numFmtId="170" fontId="2" fillId="0" borderId="29" xfId="3" applyNumberFormat="1" applyFont="1" applyBorder="1" applyAlignment="1">
      <alignment horizontal="center" vertical="center"/>
    </xf>
    <xf numFmtId="2" fontId="2" fillId="0" borderId="31" xfId="3" applyNumberFormat="1" applyFont="1" applyBorder="1" applyAlignment="1">
      <alignment horizontal="center" vertical="center"/>
    </xf>
    <xf numFmtId="2" fontId="2" fillId="0" borderId="30" xfId="3" applyNumberFormat="1" applyFont="1" applyBorder="1" applyAlignment="1">
      <alignment horizontal="center" vertical="center"/>
    </xf>
    <xf numFmtId="2" fontId="2" fillId="0" borderId="32" xfId="3" applyNumberFormat="1" applyFont="1" applyBorder="1" applyAlignment="1">
      <alignment horizontal="center" vertical="center"/>
    </xf>
    <xf numFmtId="169" fontId="6" fillId="0" borderId="34" xfId="4" applyNumberFormat="1" applyFont="1" applyBorder="1" applyAlignment="1">
      <alignment horizontal="center" vertical="center"/>
    </xf>
    <xf numFmtId="171" fontId="2" fillId="0" borderId="0" xfId="2" applyNumberFormat="1" applyFont="1" applyAlignment="1">
      <alignment horizontal="center" vertical="center"/>
    </xf>
    <xf numFmtId="171" fontId="1" fillId="0" borderId="3" xfId="2" applyNumberFormat="1" applyBorder="1" applyAlignment="1">
      <alignment horizontal="left" vertical="center"/>
    </xf>
    <xf numFmtId="171" fontId="1" fillId="0" borderId="5" xfId="2" applyNumberFormat="1" applyBorder="1" applyAlignment="1">
      <alignment horizontal="left" vertical="center"/>
    </xf>
    <xf numFmtId="171" fontId="4" fillId="0" borderId="3" xfId="3" applyNumberFormat="1" applyFont="1" applyBorder="1" applyAlignment="1">
      <alignment horizontal="center"/>
    </xf>
    <xf numFmtId="171" fontId="1" fillId="0" borderId="0" xfId="2" applyNumberFormat="1" applyAlignment="1">
      <alignment horizontal="left" vertical="center"/>
    </xf>
    <xf numFmtId="171" fontId="1" fillId="0" borderId="3" xfId="2" applyNumberFormat="1" applyBorder="1" applyAlignment="1">
      <alignment horizontal="center" vertical="center"/>
    </xf>
    <xf numFmtId="171" fontId="1" fillId="0" borderId="39" xfId="2" applyNumberFormat="1" applyBorder="1" applyAlignment="1">
      <alignment horizontal="center" vertical="center"/>
    </xf>
    <xf numFmtId="171" fontId="1" fillId="0" borderId="40" xfId="2" applyNumberFormat="1" applyBorder="1" applyAlignment="1">
      <alignment horizontal="center" vertical="center"/>
    </xf>
    <xf numFmtId="171" fontId="1" fillId="0" borderId="41" xfId="2" applyNumberFormat="1" applyBorder="1" applyAlignment="1">
      <alignment horizontal="center" vertical="center"/>
    </xf>
    <xf numFmtId="171" fontId="1" fillId="0" borderId="42" xfId="2" applyNumberFormat="1" applyBorder="1" applyAlignment="1">
      <alignment horizontal="center" vertical="center"/>
    </xf>
    <xf numFmtId="171" fontId="1" fillId="0" borderId="0" xfId="2" applyNumberFormat="1" applyAlignment="1">
      <alignment horizontal="center" vertical="center"/>
    </xf>
    <xf numFmtId="171" fontId="1" fillId="0" borderId="43" xfId="2" applyNumberFormat="1" applyBorder="1" applyAlignment="1">
      <alignment horizontal="center" vertical="center"/>
    </xf>
    <xf numFmtId="171" fontId="1" fillId="0" borderId="11" xfId="2" applyNumberFormat="1" applyBorder="1" applyAlignment="1">
      <alignment horizontal="left" vertical="center"/>
    </xf>
    <xf numFmtId="171" fontId="1" fillId="0" borderId="39" xfId="2" applyNumberFormat="1" applyBorder="1" applyAlignment="1">
      <alignment horizontal="left" vertical="center"/>
    </xf>
    <xf numFmtId="171" fontId="1" fillId="0" borderId="44" xfId="2" applyNumberFormat="1" applyBorder="1" applyAlignment="1">
      <alignment horizontal="left" vertical="center"/>
    </xf>
    <xf numFmtId="171" fontId="1" fillId="0" borderId="36" xfId="2" applyNumberFormat="1" applyBorder="1" applyAlignment="1">
      <alignment horizontal="left" vertical="center"/>
    </xf>
    <xf numFmtId="171" fontId="1" fillId="0" borderId="21" xfId="2" applyNumberFormat="1" applyBorder="1" applyAlignment="1">
      <alignment horizontal="left" vertical="center"/>
    </xf>
    <xf numFmtId="171" fontId="1" fillId="0" borderId="22" xfId="2" applyNumberFormat="1" applyBorder="1" applyAlignment="1">
      <alignment horizontal="left" vertical="center"/>
    </xf>
    <xf numFmtId="171" fontId="1" fillId="0" borderId="13" xfId="2" applyNumberFormat="1" applyBorder="1" applyAlignment="1">
      <alignment horizontal="left" vertical="center"/>
    </xf>
    <xf numFmtId="171" fontId="1" fillId="0" borderId="35" xfId="2" applyNumberFormat="1" applyBorder="1" applyAlignment="1">
      <alignment horizontal="left" vertical="center"/>
    </xf>
    <xf numFmtId="171" fontId="1" fillId="0" borderId="42" xfId="2" applyNumberFormat="1" applyBorder="1" applyAlignment="1">
      <alignment horizontal="left" vertical="center"/>
    </xf>
    <xf numFmtId="171" fontId="1" fillId="0" borderId="41" xfId="2" applyNumberFormat="1" applyBorder="1" applyAlignment="1">
      <alignment horizontal="left" vertical="center"/>
    </xf>
    <xf numFmtId="171" fontId="1" fillId="0" borderId="40" xfId="2" applyNumberFormat="1" applyBorder="1" applyAlignment="1">
      <alignment horizontal="left" vertical="center"/>
    </xf>
    <xf numFmtId="171" fontId="1" fillId="0" borderId="12" xfId="2" applyNumberFormat="1" applyBorder="1" applyAlignment="1">
      <alignment horizontal="left" vertical="center"/>
    </xf>
    <xf numFmtId="171" fontId="1" fillId="0" borderId="45" xfId="2" applyNumberFormat="1" applyBorder="1" applyAlignment="1">
      <alignment horizontal="left" vertical="center"/>
    </xf>
    <xf numFmtId="171" fontId="1" fillId="0" borderId="46" xfId="2" applyNumberFormat="1" applyBorder="1" applyAlignment="1">
      <alignment horizontal="left" vertical="center"/>
    </xf>
    <xf numFmtId="171" fontId="1" fillId="0" borderId="47" xfId="2" applyNumberFormat="1" applyBorder="1" applyAlignment="1">
      <alignment horizontal="left" vertical="center"/>
    </xf>
    <xf numFmtId="171" fontId="1" fillId="0" borderId="19" xfId="2" applyNumberFormat="1" applyBorder="1" applyAlignment="1">
      <alignment horizontal="left" vertical="center"/>
    </xf>
    <xf numFmtId="171" fontId="4" fillId="0" borderId="0" xfId="3" applyNumberFormat="1" applyFont="1" applyAlignment="1">
      <alignment horizontal="center"/>
    </xf>
    <xf numFmtId="169" fontId="1" fillId="4" borderId="3" xfId="2" quotePrefix="1" applyNumberFormat="1" applyFill="1" applyBorder="1" applyAlignment="1">
      <alignment horizontal="left" vertical="center"/>
    </xf>
    <xf numFmtId="169" fontId="1" fillId="0" borderId="3" xfId="2" quotePrefix="1" applyNumberFormat="1" applyBorder="1" applyAlignment="1">
      <alignment horizontal="left" vertical="center"/>
    </xf>
    <xf numFmtId="169" fontId="1" fillId="4" borderId="3" xfId="2" applyNumberFormat="1" applyFill="1" applyBorder="1" applyAlignment="1">
      <alignment horizontal="center" vertical="center"/>
    </xf>
    <xf numFmtId="169" fontId="1" fillId="0" borderId="3" xfId="2" applyNumberFormat="1" applyBorder="1" applyAlignment="1">
      <alignment horizontal="center" vertical="center"/>
    </xf>
    <xf numFmtId="169" fontId="1" fillId="4" borderId="5" xfId="2" applyNumberFormat="1" applyFill="1" applyBorder="1" applyAlignment="1">
      <alignment horizontal="center" vertical="center"/>
    </xf>
    <xf numFmtId="169" fontId="1" fillId="0" borderId="5" xfId="2" applyNumberFormat="1" applyBorder="1" applyAlignment="1">
      <alignment horizontal="center" vertical="center"/>
    </xf>
    <xf numFmtId="169" fontId="1" fillId="4" borderId="37" xfId="2" applyNumberFormat="1" applyFill="1" applyBorder="1" applyAlignment="1">
      <alignment horizontal="center" vertical="center"/>
    </xf>
    <xf numFmtId="169" fontId="1" fillId="0" borderId="52" xfId="2" applyNumberFormat="1" applyBorder="1" applyAlignment="1">
      <alignment horizontal="center" vertical="center"/>
    </xf>
    <xf numFmtId="169" fontId="1" fillId="4" borderId="50" xfId="2" applyNumberFormat="1" applyFill="1" applyBorder="1" applyAlignment="1">
      <alignment horizontal="center" vertical="center"/>
    </xf>
    <xf numFmtId="169" fontId="1" fillId="0" borderId="48" xfId="2" applyNumberFormat="1" applyBorder="1" applyAlignment="1">
      <alignment horizontal="center" vertical="center"/>
    </xf>
    <xf numFmtId="169" fontId="1" fillId="4" borderId="49" xfId="2" applyNumberFormat="1" applyFill="1" applyBorder="1" applyAlignment="1">
      <alignment horizontal="center" vertical="center"/>
    </xf>
    <xf numFmtId="169" fontId="1" fillId="0" borderId="50" xfId="2" applyNumberFormat="1" applyBorder="1" applyAlignment="1">
      <alignment horizontal="center" vertical="center"/>
    </xf>
    <xf numFmtId="169" fontId="1" fillId="4" borderId="33" xfId="2" applyNumberFormat="1" applyFill="1" applyBorder="1" applyAlignment="1">
      <alignment horizontal="center" vertical="center"/>
    </xf>
    <xf numFmtId="169" fontId="1" fillId="0" borderId="33" xfId="2" applyNumberFormat="1" applyBorder="1" applyAlignment="1">
      <alignment horizontal="center" vertical="center"/>
    </xf>
    <xf numFmtId="169" fontId="1" fillId="4" borderId="53" xfId="2" applyNumberFormat="1" applyFill="1" applyBorder="1" applyAlignment="1">
      <alignment horizontal="center" vertical="center"/>
    </xf>
    <xf numFmtId="169" fontId="1" fillId="4" borderId="11" xfId="2" applyNumberFormat="1" applyFill="1" applyBorder="1" applyAlignment="1">
      <alignment horizontal="center" vertical="center"/>
    </xf>
    <xf numFmtId="169" fontId="1" fillId="4" borderId="44" xfId="2" applyNumberFormat="1" applyFill="1" applyBorder="1" applyAlignment="1">
      <alignment horizontal="center" vertical="center"/>
    </xf>
    <xf numFmtId="169" fontId="1" fillId="0" borderId="36" xfId="2" applyNumberFormat="1" applyBorder="1" applyAlignment="1">
      <alignment horizontal="center" vertical="center"/>
    </xf>
    <xf numFmtId="169" fontId="1" fillId="4" borderId="21" xfId="2" applyNumberFormat="1" applyFill="1" applyBorder="1" applyAlignment="1">
      <alignment horizontal="center" vertical="center"/>
    </xf>
    <xf numFmtId="169" fontId="1" fillId="0" borderId="22" xfId="2" applyNumberFormat="1" applyBorder="1" applyAlignment="1">
      <alignment horizontal="center" vertical="center"/>
    </xf>
    <xf numFmtId="169" fontId="1" fillId="4" borderId="13" xfId="2" applyNumberFormat="1" applyFill="1" applyBorder="1" applyAlignment="1">
      <alignment horizontal="center" vertical="center"/>
    </xf>
    <xf numFmtId="169" fontId="1" fillId="4" borderId="52" xfId="2" applyNumberFormat="1" applyFill="1" applyBorder="1" applyAlignment="1">
      <alignment horizontal="center" vertical="center"/>
    </xf>
    <xf numFmtId="169" fontId="1" fillId="0" borderId="11" xfId="2" applyNumberFormat="1" applyBorder="1" applyAlignment="1">
      <alignment horizontal="center" vertical="center"/>
    </xf>
    <xf numFmtId="169" fontId="1" fillId="0" borderId="13" xfId="2" applyNumberFormat="1" applyBorder="1" applyAlignment="1">
      <alignment horizontal="center" vertical="center"/>
    </xf>
    <xf numFmtId="169" fontId="1" fillId="4" borderId="48" xfId="2" applyNumberFormat="1" applyFill="1" applyBorder="1" applyAlignment="1">
      <alignment horizontal="center" vertical="center"/>
    </xf>
    <xf numFmtId="169" fontId="1" fillId="4" borderId="36" xfId="2" applyNumberFormat="1" applyFill="1" applyBorder="1" applyAlignment="1">
      <alignment horizontal="center" vertical="center"/>
    </xf>
    <xf numFmtId="169" fontId="1" fillId="4" borderId="38" xfId="2" applyNumberFormat="1" applyFill="1" applyBorder="1" applyAlignment="1">
      <alignment horizontal="center" vertical="center"/>
    </xf>
    <xf numFmtId="169" fontId="1" fillId="0" borderId="35" xfId="2" applyNumberFormat="1" applyBorder="1" applyAlignment="1">
      <alignment horizontal="center" vertical="center"/>
    </xf>
    <xf numFmtId="169" fontId="1" fillId="0" borderId="51" xfId="2" applyNumberFormat="1" applyBorder="1" applyAlignment="1">
      <alignment horizontal="center" vertical="center"/>
    </xf>
    <xf numFmtId="169" fontId="1" fillId="4" borderId="51" xfId="2" applyNumberFormat="1" applyFill="1" applyBorder="1" applyAlignment="1">
      <alignment horizontal="center" vertical="center"/>
    </xf>
    <xf numFmtId="169" fontId="1" fillId="0" borderId="49" xfId="2" applyNumberFormat="1" applyBorder="1" applyAlignment="1">
      <alignment horizontal="center" vertical="center"/>
    </xf>
    <xf numFmtId="169" fontId="1" fillId="0" borderId="47" xfId="2" applyNumberFormat="1" applyBorder="1" applyAlignment="1">
      <alignment horizontal="center" vertical="center"/>
    </xf>
    <xf numFmtId="169" fontId="1" fillId="0" borderId="19" xfId="2" applyNumberFormat="1" applyBorder="1" applyAlignment="1">
      <alignment horizontal="center" vertical="center"/>
    </xf>
    <xf numFmtId="169" fontId="1" fillId="0" borderId="53" xfId="2" applyNumberFormat="1" applyBorder="1" applyAlignment="1">
      <alignment horizontal="center" vertical="center"/>
    </xf>
    <xf numFmtId="169" fontId="1" fillId="4" borderId="35" xfId="2" applyNumberFormat="1" applyFill="1" applyBorder="1" applyAlignment="1">
      <alignment horizontal="center" vertical="center"/>
    </xf>
    <xf numFmtId="169" fontId="1" fillId="4" borderId="22" xfId="2" applyNumberFormat="1" applyFill="1" applyBorder="1" applyAlignment="1">
      <alignment horizontal="center" vertical="center"/>
    </xf>
    <xf numFmtId="169" fontId="1" fillId="0" borderId="52" xfId="2" applyNumberFormat="1" applyBorder="1" applyAlignment="1">
      <alignment horizontal="left" vertical="center"/>
    </xf>
    <xf numFmtId="169" fontId="1" fillId="4" borderId="13" xfId="2" applyNumberFormat="1" applyFill="1" applyBorder="1" applyAlignment="1">
      <alignment horizontal="left" vertical="center"/>
    </xf>
    <xf numFmtId="169" fontId="1" fillId="0" borderId="48" xfId="2" applyNumberFormat="1" applyBorder="1" applyAlignment="1">
      <alignment horizontal="left" vertical="center"/>
    </xf>
    <xf numFmtId="169" fontId="1" fillId="4" borderId="50" xfId="2" applyNumberFormat="1" applyFill="1" applyBorder="1" applyAlignment="1">
      <alignment horizontal="left" vertical="center"/>
    </xf>
    <xf numFmtId="169" fontId="1" fillId="4" borderId="3" xfId="2" applyNumberFormat="1" applyFill="1" applyBorder="1" applyAlignment="1">
      <alignment horizontal="left" vertical="center"/>
    </xf>
    <xf numFmtId="169" fontId="1" fillId="0" borderId="3" xfId="2" applyNumberFormat="1" applyBorder="1" applyAlignment="1">
      <alignment horizontal="left" vertical="center"/>
    </xf>
    <xf numFmtId="169" fontId="1" fillId="4" borderId="49" xfId="2" applyNumberFormat="1" applyFill="1" applyBorder="1" applyAlignment="1">
      <alignment horizontal="left" vertical="center"/>
    </xf>
    <xf numFmtId="169" fontId="1" fillId="0" borderId="49" xfId="2" applyNumberFormat="1" applyBorder="1" applyAlignment="1">
      <alignment horizontal="left" vertical="center"/>
    </xf>
    <xf numFmtId="169" fontId="1" fillId="4" borderId="48" xfId="2" applyNumberFormat="1" applyFill="1" applyBorder="1" applyAlignment="1">
      <alignment horizontal="left" vertical="center"/>
    </xf>
    <xf numFmtId="169" fontId="1" fillId="0" borderId="50" xfId="2" applyNumberFormat="1" applyBorder="1" applyAlignment="1">
      <alignment horizontal="left" vertical="center"/>
    </xf>
    <xf numFmtId="169" fontId="1" fillId="4" borderId="47" xfId="2" applyNumberFormat="1" applyFill="1" applyBorder="1" applyAlignment="1">
      <alignment horizontal="left" vertical="center"/>
    </xf>
    <xf numFmtId="169" fontId="1" fillId="0" borderId="44" xfId="2" applyNumberFormat="1" applyBorder="1" applyAlignment="1">
      <alignment horizontal="left" vertical="center"/>
    </xf>
    <xf numFmtId="169" fontId="1" fillId="4" borderId="36" xfId="2" applyNumberFormat="1" applyFill="1" applyBorder="1" applyAlignment="1">
      <alignment horizontal="left" vertical="center"/>
    </xf>
    <xf numFmtId="169" fontId="1" fillId="0" borderId="36" xfId="2" applyNumberFormat="1" applyBorder="1" applyAlignment="1">
      <alignment horizontal="left" vertical="center"/>
    </xf>
    <xf numFmtId="171" fontId="6" fillId="0" borderId="24" xfId="4" applyNumberFormat="1" applyFont="1" applyBorder="1" applyAlignment="1">
      <alignment horizontal="center" vertical="center"/>
    </xf>
    <xf numFmtId="171" fontId="1" fillId="0" borderId="5" xfId="2" applyNumberFormat="1" applyBorder="1" applyAlignment="1">
      <alignment horizontal="center" vertical="center"/>
    </xf>
    <xf numFmtId="171" fontId="1" fillId="0" borderId="6" xfId="2" applyNumberFormat="1" applyBorder="1" applyAlignment="1">
      <alignment horizontal="center" vertical="center"/>
    </xf>
    <xf numFmtId="171" fontId="3" fillId="0" borderId="3" xfId="3" applyNumberFormat="1" applyBorder="1" applyAlignment="1">
      <alignment horizontal="center" vertical="center"/>
    </xf>
    <xf numFmtId="171" fontId="1" fillId="0" borderId="11" xfId="2" applyNumberFormat="1" applyBorder="1" applyAlignment="1">
      <alignment horizontal="center" vertical="center"/>
    </xf>
    <xf numFmtId="171" fontId="1" fillId="0" borderId="44" xfId="2" applyNumberFormat="1" applyBorder="1" applyAlignment="1">
      <alignment horizontal="center" vertical="center"/>
    </xf>
    <xf numFmtId="171" fontId="1" fillId="0" borderId="36" xfId="2" applyNumberFormat="1" applyBorder="1" applyAlignment="1">
      <alignment horizontal="center" vertical="center"/>
    </xf>
    <xf numFmtId="171" fontId="1" fillId="0" borderId="21" xfId="2" applyNumberFormat="1" applyBorder="1" applyAlignment="1">
      <alignment horizontal="center" vertical="center"/>
    </xf>
    <xf numFmtId="171" fontId="1" fillId="0" borderId="22" xfId="2" applyNumberFormat="1" applyBorder="1" applyAlignment="1">
      <alignment horizontal="center" vertical="center"/>
    </xf>
    <xf numFmtId="171" fontId="1" fillId="0" borderId="13" xfId="2" applyNumberFormat="1" applyBorder="1" applyAlignment="1">
      <alignment horizontal="center" vertical="center"/>
    </xf>
    <xf numFmtId="171" fontId="1" fillId="0" borderId="12" xfId="2" applyNumberFormat="1" applyBorder="1" applyAlignment="1">
      <alignment horizontal="center" vertical="center"/>
    </xf>
    <xf numFmtId="171" fontId="1" fillId="0" borderId="35" xfId="2" applyNumberFormat="1" applyBorder="1" applyAlignment="1">
      <alignment horizontal="center" vertical="center"/>
    </xf>
    <xf numFmtId="171" fontId="1" fillId="0" borderId="45" xfId="2" applyNumberFormat="1" applyBorder="1" applyAlignment="1">
      <alignment horizontal="center" vertical="center"/>
    </xf>
    <xf numFmtId="171" fontId="1" fillId="0" borderId="47" xfId="2" applyNumberFormat="1" applyBorder="1" applyAlignment="1">
      <alignment horizontal="center" vertical="center"/>
    </xf>
    <xf numFmtId="171" fontId="1" fillId="0" borderId="19" xfId="2" applyNumberFormat="1" applyBorder="1" applyAlignment="1">
      <alignment horizontal="center" vertical="center"/>
    </xf>
    <xf numFmtId="171" fontId="3" fillId="0" borderId="0" xfId="3" applyNumberFormat="1" applyAlignment="1">
      <alignment horizontal="center" vertical="center"/>
    </xf>
    <xf numFmtId="171" fontId="2" fillId="0" borderId="30" xfId="3" applyNumberFormat="1" applyFont="1" applyBorder="1" applyAlignment="1">
      <alignment horizontal="center" vertical="center"/>
    </xf>
    <xf numFmtId="171" fontId="5" fillId="0" borderId="0" xfId="2" applyNumberFormat="1" applyFont="1" applyAlignment="1">
      <alignment horizontal="center" vertical="center"/>
    </xf>
    <xf numFmtId="0" fontId="14" fillId="5" borderId="0" xfId="0" applyFont="1" applyFill="1"/>
    <xf numFmtId="0" fontId="17" fillId="7" borderId="0" xfId="0" applyFont="1" applyFill="1"/>
    <xf numFmtId="172" fontId="14" fillId="5" borderId="0" xfId="0" applyNumberFormat="1" applyFont="1" applyFill="1"/>
    <xf numFmtId="2" fontId="14" fillId="5" borderId="0" xfId="0" applyNumberFormat="1" applyFont="1" applyFill="1"/>
    <xf numFmtId="1" fontId="14" fillId="5" borderId="0" xfId="0" applyNumberFormat="1" applyFont="1" applyFill="1"/>
    <xf numFmtId="172" fontId="14" fillId="5" borderId="54" xfId="0" applyNumberFormat="1" applyFont="1" applyFill="1" applyBorder="1"/>
    <xf numFmtId="2" fontId="14" fillId="5" borderId="54" xfId="0" applyNumberFormat="1" applyFont="1" applyFill="1" applyBorder="1"/>
    <xf numFmtId="1" fontId="14" fillId="5" borderId="54" xfId="0" applyNumberFormat="1" applyFont="1" applyFill="1" applyBorder="1"/>
    <xf numFmtId="0" fontId="15" fillId="6" borderId="0" xfId="0" applyFont="1" applyFill="1"/>
    <xf numFmtId="0" fontId="0" fillId="0" borderId="0" xfId="0"/>
    <xf numFmtId="0" fontId="16" fillId="0" borderId="0" xfId="0" applyFont="1"/>
    <xf numFmtId="0" fontId="18" fillId="0" borderId="0" xfId="0" applyFont="1"/>
  </cellXfs>
  <cellStyles count="5">
    <cellStyle name="Comma" xfId="1" builtinId="3"/>
    <cellStyle name="Excel Built-in Normal" xfId="3" xr:uid="{3C0C6DF7-FCD8-4205-9FAA-754F4F0F9209}"/>
    <cellStyle name="Normal" xfId="0" builtinId="0"/>
    <cellStyle name="Normal 2" xfId="2" xr:uid="{7129D704-A2FB-41E8-9530-430C88F256AA}"/>
    <cellStyle name="Normal 2 2" xfId="4" xr:uid="{638E157D-3236-4514-8E75-2C381826B6BC}"/>
  </cellStyles>
  <dxfs count="55"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9"/>
      </font>
      <fill>
        <patternFill patternType="solid">
          <fgColor indexed="26"/>
          <bgColor indexed="43"/>
        </patternFill>
      </fill>
    </dxf>
    <dxf>
      <font>
        <b val="0"/>
        <condense val="0"/>
        <extend val="0"/>
        <color indexed="63"/>
      </font>
      <fill>
        <patternFill patternType="solid">
          <fgColor indexed="47"/>
          <bgColor indexed="4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 patternType="solid">
          <fgColor indexed="31"/>
          <bgColor indexed="4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1" formatCode="dd/mm/yyyy\ hh:mm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1" formatCode="dd/mm/yyyy\ hh:mm"/>
    </dxf>
    <dxf>
      <numFmt numFmtId="168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1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8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Average Moisture by Instrument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'Moisture Weekly Trend'!$B$5</c:f>
              <c:strCache>
                <c:ptCount val="1"/>
                <c:pt idx="0">
                  <c:v>NOVA avg</c:v>
                </c:pt>
              </c:strCache>
            </c:strRef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'Moisture Weekly Trend'!$A$6:$A$12</c:f>
              <c:numCache>
                <c:formatCode>dd\ mmm\ yyyy</c:formatCode>
                <c:ptCount val="7"/>
                <c:pt idx="0">
                  <c:v>46139</c:v>
                </c:pt>
                <c:pt idx="1">
                  <c:v>46146</c:v>
                </c:pt>
                <c:pt idx="2">
                  <c:v>46153</c:v>
                </c:pt>
                <c:pt idx="3">
                  <c:v>46160</c:v>
                </c:pt>
                <c:pt idx="4">
                  <c:v>46167</c:v>
                </c:pt>
                <c:pt idx="5">
                  <c:v>46174</c:v>
                </c:pt>
                <c:pt idx="6">
                  <c:v>46181</c:v>
                </c:pt>
              </c:numCache>
            </c:numRef>
          </c:cat>
          <c:val>
            <c:numRef>
              <c:f>'Moisture Weekly Trend'!$B$6:$B$12</c:f>
              <c:numCache>
                <c:formatCode>0.00</c:formatCode>
                <c:ptCount val="7"/>
                <c:pt idx="0">
                  <c:v>13.981428571428573</c:v>
                </c:pt>
                <c:pt idx="1">
                  <c:v>14.048275862068957</c:v>
                </c:pt>
                <c:pt idx="2">
                  <c:v>13.995135135135129</c:v>
                </c:pt>
                <c:pt idx="3">
                  <c:v>14.002450980392144</c:v>
                </c:pt>
                <c:pt idx="4">
                  <c:v>#N/A</c:v>
                </c:pt>
                <c:pt idx="5">
                  <c:v>14.125</c:v>
                </c:pt>
                <c:pt idx="6">
                  <c:v>14.040000000000001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2-496B-8B03-E84FE627485B}"/>
            </c:ext>
          </c:extLst>
        </c:ser>
        <c:ser>
          <c:idx val="1"/>
          <c:order val="1"/>
          <c:tx>
            <c:strRef>
              <c:f>'Moisture Weekly Trend'!$C$5</c:f>
              <c:strCache>
                <c:ptCount val="1"/>
                <c:pt idx="0">
                  <c:v>DA avg</c:v>
                </c:pt>
              </c:strCache>
            </c:strRef>
          </c:tx>
          <c:spPr>
            <a:ln w="28575" cap="rnd">
              <a:solidFill>
                <a:srgbClr val="2E8B5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'Moisture Weekly Trend'!$A$6:$A$12</c:f>
              <c:numCache>
                <c:formatCode>dd\ mmm\ yyyy</c:formatCode>
                <c:ptCount val="7"/>
                <c:pt idx="0">
                  <c:v>46139</c:v>
                </c:pt>
                <c:pt idx="1">
                  <c:v>46146</c:v>
                </c:pt>
                <c:pt idx="2">
                  <c:v>46153</c:v>
                </c:pt>
                <c:pt idx="3">
                  <c:v>46160</c:v>
                </c:pt>
                <c:pt idx="4">
                  <c:v>46167</c:v>
                </c:pt>
                <c:pt idx="5">
                  <c:v>46174</c:v>
                </c:pt>
                <c:pt idx="6">
                  <c:v>46181</c:v>
                </c:pt>
              </c:numCache>
            </c:numRef>
          </c:cat>
          <c:val>
            <c:numRef>
              <c:f>'Moisture Weekly Trend'!$C$6:$C$12</c:f>
              <c:numCache>
                <c:formatCode>0.00</c:formatCode>
                <c:ptCount val="7"/>
                <c:pt idx="0">
                  <c:v>13.984374999999998</c:v>
                </c:pt>
                <c:pt idx="1">
                  <c:v>14.039024390243901</c:v>
                </c:pt>
                <c:pt idx="2">
                  <c:v>13.989534883720937</c:v>
                </c:pt>
                <c:pt idx="3">
                  <c:v>13.988421052631567</c:v>
                </c:pt>
                <c:pt idx="4">
                  <c:v>#N/A</c:v>
                </c:pt>
                <c:pt idx="5">
                  <c:v>14.2</c:v>
                </c:pt>
                <c:pt idx="6">
                  <c:v>14.059999999999999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2-496B-8B03-E84FE627485B}"/>
            </c:ext>
          </c:extLst>
        </c:ser>
        <c:ser>
          <c:idx val="2"/>
          <c:order val="2"/>
          <c:tx>
            <c:strRef>
              <c:f>'Moisture Weekly Trend'!$D$5</c:f>
              <c:strCache>
                <c:ptCount val="1"/>
                <c:pt idx="0">
                  <c:v>CONV avg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'Moisture Weekly Trend'!$A$6:$A$12</c:f>
              <c:numCache>
                <c:formatCode>dd\ mmm\ yyyy</c:formatCode>
                <c:ptCount val="7"/>
                <c:pt idx="0">
                  <c:v>46139</c:v>
                </c:pt>
                <c:pt idx="1">
                  <c:v>46146</c:v>
                </c:pt>
                <c:pt idx="2">
                  <c:v>46153</c:v>
                </c:pt>
                <c:pt idx="3">
                  <c:v>46160</c:v>
                </c:pt>
                <c:pt idx="4">
                  <c:v>46167</c:v>
                </c:pt>
                <c:pt idx="5">
                  <c:v>46174</c:v>
                </c:pt>
                <c:pt idx="6">
                  <c:v>46181</c:v>
                </c:pt>
              </c:numCache>
            </c:numRef>
          </c:cat>
          <c:val>
            <c:numRef>
              <c:f>'Moisture Weekly Trend'!$D$6:$D$12</c:f>
              <c:numCache>
                <c:formatCode>0.00</c:formatCode>
                <c:ptCount val="7"/>
                <c:pt idx="0">
                  <c:v>13.780000000000001</c:v>
                </c:pt>
                <c:pt idx="1">
                  <c:v>13.900666666666668</c:v>
                </c:pt>
                <c:pt idx="2">
                  <c:v>13.894736842105264</c:v>
                </c:pt>
                <c:pt idx="3">
                  <c:v>13.933555555555557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2-496B-8B03-E84FE627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7856863"/>
        <c:axId val="1617216495"/>
      </c:lineChart>
      <c:dateAx>
        <c:axId val="2017856863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A6A6A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216495"/>
        <c:crosses val="autoZero"/>
        <c:auto val="0"/>
        <c:lblOffset val="100"/>
        <c:baseTimeUnit val="days"/>
        <c:majorUnit val="7"/>
        <c:majorTimeUnit val="days"/>
      </c:dateAx>
      <c:valAx>
        <c:axId val="16172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A6A6A6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5686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3</xdr:row>
      <xdr:rowOff>95249</xdr:rowOff>
    </xdr:from>
    <xdr:to>
      <xdr:col>15</xdr:col>
      <xdr:colOff>26670</xdr:colOff>
      <xdr:row>26</xdr:row>
      <xdr:rowOff>133350</xdr:rowOff>
    </xdr:to>
    <xdr:graphicFrame macro="">
      <xdr:nvGraphicFramePr>
        <xdr:cNvPr id="2" name="Weekly Moisture Average">
          <a:extLst>
            <a:ext uri="{FF2B5EF4-FFF2-40B4-BE49-F238E27FC236}">
              <a16:creationId xmlns:a16="http://schemas.microsoft.com/office/drawing/2014/main" id="{C501CB36-56F3-F7B8-F6B0-A166B1825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012C41-E333-4C45-9A4B-DED898CBD19A}" name="tbl_Moisture" displayName="tbl_Moisture" ref="A1:O615" totalsRowShown="0" dataDxfId="54" dataCellStyle="Excel Built-in Normal">
  <autoFilter ref="A1:O615" xr:uid="{30012C41-E333-4C45-9A4B-DED898CBD19A}"/>
  <tableColumns count="15">
    <tableColumn id="1" xr3:uid="{B6EAA9B1-3805-47B1-B1CE-EFF4B9C03A7C}" name="DATE" dataDxfId="53" dataCellStyle="Normal 2"/>
    <tableColumn id="2" xr3:uid="{5B64CC05-90A3-4CE6-B5E8-C3F6E7C7A7B5}" name="TIME" dataDxfId="52" dataCellStyle="Excel Built-in Normal"/>
    <tableColumn id="15" xr3:uid="{1B3D891C-85B6-4FD9-A6EF-F08D879D2734}" name="DateTime" dataDxfId="51">
      <calculatedColumnFormula>A2+MOD(B2,1)</calculatedColumnFormula>
    </tableColumn>
    <tableColumn id="3" xr3:uid="{9C2D180D-A378-446B-8DB7-5BEEF576595A}" name="BRAND" dataDxfId="50" dataCellStyle="Excel Built-in Normal"/>
    <tableColumn id="4" xr3:uid="{8053F0E7-FB49-4A1B-9135-2ED4EC196F82}" name="CURVE" dataDxfId="49" dataCellStyle="Excel Built-in Normal"/>
    <tableColumn id="5" xr3:uid="{6CE4A6C8-1445-4914-B9EE-4D50F7AF0C10}" name="Process" dataDxfId="48" dataCellStyle="Excel Built-in Normal"/>
    <tableColumn id="6" xr3:uid="{76A57115-E6EB-4F11-A456-A8E4723DC487}" name="CONV" dataDxfId="47" dataCellStyle="Excel Built-in Normal"/>
    <tableColumn id="7" xr3:uid="{0E04F411-826A-41EE-B9A3-2EFAC2815080}" name="NOVA" dataDxfId="46" dataCellStyle="Excel Built-in Normal"/>
    <tableColumn id="8" xr3:uid="{F909717C-4D52-4CC0-8678-D98842E2BB23}" name="DA" dataDxfId="45" dataCellStyle="Excel Built-in Normal"/>
    <tableColumn id="9" xr3:uid="{146DF80A-D832-4D61-9717-C537EA1C742D}" name="NOVA - Conv" dataDxfId="44" dataCellStyle="Normal 2">
      <calculatedColumnFormula>IF(OR(H2="",G2=""),"",H2-G2)</calculatedColumnFormula>
    </tableColumn>
    <tableColumn id="10" xr3:uid="{56F94DD0-860F-448B-A81E-2ECACEBE1232}" name="DA - Conv" dataDxfId="43" dataCellStyle="Normal 2">
      <calculatedColumnFormula>IF(OR(TRIM(G2&amp;"")="",TRIM(I2&amp;"")="",G2="-",I2="-"),"",I2-G2)</calculatedColumnFormula>
    </tableColumn>
    <tableColumn id="11" xr3:uid="{D4C959C3-2ABA-4B64-B834-EA1115031389}" name="DA - NOVA" dataDxfId="42" dataCellStyle="Normal 2">
      <calculatedColumnFormula>IF(OR(TRIM(H2&amp;"")="",TRIM(I2&amp;"")="",H2="-",I2="-"),"",I2-H2)</calculatedColumnFormula>
    </tableColumn>
    <tableColumn id="12" xr3:uid="{94CCA7E9-3A7E-49EC-BACB-306E18EB324C}" name="NOVA-CONV STATUS" dataDxfId="41" dataCellStyle="Excel Built-in Normal">
      <calculatedColumnFormula>IF(J2="","",IF(ABS(J2)&lt;=0.2,"Within Tolerance","Out of Tolerance"))</calculatedColumnFormula>
    </tableColumn>
    <tableColumn id="13" xr3:uid="{F1A34D32-0E9B-46B9-B63F-C5AFA364E8AE}" name="DA - Conv Status" dataDxfId="40" dataCellStyle="Excel Built-in Normal">
      <calculatedColumnFormula>IF(K2="","",IF(ABS(K2)&lt;=0.2,"Within Tolerance","Out of Tolerance"))</calculatedColumnFormula>
    </tableColumn>
    <tableColumn id="14" xr3:uid="{1D4DF37D-3EB6-4FD1-AC12-97C9586952AF}" name="DA - NOVA Status" dataDxfId="39" dataCellStyle="Excel Built-in Normal">
      <calculatedColumnFormula>IF(L2="","",IF(ABS(L2)&lt;=0.2,"Within Tolerance","Out of Tolerance"))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1CB002-36E6-4273-9232-3F0551C29308}" name="tbl_Protein" displayName="tbl_Protein" ref="A1:O619" totalsRowShown="0" headerRowDxfId="38" dataDxfId="36" headerRowBorderDxfId="37" tableBorderDxfId="35" headerRowCellStyle="Normal 2 2" dataCellStyle="Excel Built-in Normal">
  <autoFilter ref="A1:O619" xr:uid="{0F1CB002-36E6-4273-9232-3F0551C29308}"/>
  <tableColumns count="15">
    <tableColumn id="1" xr3:uid="{FD5CE51A-D219-43F1-8FE1-DBFA10A51F34}" name="DATE" dataDxfId="34" dataCellStyle="Excel Built-in Normal"/>
    <tableColumn id="2" xr3:uid="{2BBF92BA-B2E1-4507-977B-117CBA02DDED}" name="TIME" dataDxfId="33" dataCellStyle="Excel Built-in Normal"/>
    <tableColumn id="16" xr3:uid="{CE21318C-784D-4037-A57E-B9EA32C9A717}" name="DateTime" dataDxfId="32">
      <calculatedColumnFormula>A2+MOD(B2,1)</calculatedColumnFormula>
    </tableColumn>
    <tableColumn id="3" xr3:uid="{7EF162B5-9243-4D86-B42C-3C4C5483F8ED}" name="BRAND" dataDxfId="31" dataCellStyle="Excel Built-in Normal"/>
    <tableColumn id="4" xr3:uid="{586E0521-864E-4841-9842-ED289F0C45DA}" name="CURVE" dataDxfId="30" dataCellStyle="Excel Built-in Normal"/>
    <tableColumn id="5" xr3:uid="{7E0850E0-AF5E-4793-9D2B-865F39E1475F}" name="Process" dataDxfId="29" dataCellStyle="Excel Built-in Normal"/>
    <tableColumn id="6" xr3:uid="{98BDDDFB-51E8-4C7C-A9BF-3184574983BC}" name="CONV" dataDxfId="28" dataCellStyle="Excel Built-in Normal"/>
    <tableColumn id="7" xr3:uid="{2AB368C2-994A-4E6A-9D07-93BCE4911629}" name="NOVA" dataDxfId="27" dataCellStyle="Excel Built-in Normal"/>
    <tableColumn id="8" xr3:uid="{E845EB6B-24F6-40BD-9068-6005731E5E14}" name="DA" dataDxfId="26" dataCellStyle="Excel Built-in Normal"/>
    <tableColumn id="9" xr3:uid="{4CFC4A6E-26EC-4499-954C-0E37273D3A5F}" name="NOVA - Conv" dataDxfId="25" dataCellStyle="Normal 2 2">
      <calculatedColumnFormula>IF(OR(TRIM(G2&amp;"")="",TRIM(H2&amp;"")="",G2="-",H2="-"),"",H2-G2)</calculatedColumnFormula>
    </tableColumn>
    <tableColumn id="10" xr3:uid="{223782DC-B017-470F-AFEB-1273497D308D}" name="DA - Conv" dataDxfId="24" dataCellStyle="Normal 2 2">
      <calculatedColumnFormula>IF(OR(TRIM(G2&amp;"")="",TRIM(I2&amp;"")="",G2="-",I2="-"),"",I2-G2)</calculatedColumnFormula>
    </tableColumn>
    <tableColumn id="11" xr3:uid="{ACA09CC0-9AF6-4765-98CD-2859440C7C48}" name="DA - Nova" dataDxfId="23" dataCellStyle="Normal 2 2">
      <calculatedColumnFormula>IF(OR(TRIM(H2&amp;"")="",TRIM(I2&amp;"")="",H2="-",I2="-"),"",I2-H2)</calculatedColumnFormula>
    </tableColumn>
    <tableColumn id="12" xr3:uid="{70AD2554-E0FA-426E-8B0D-984EA81FFC93}" name="NOVA - Conv Status" dataDxfId="22" dataCellStyle="Excel Built-in Normal">
      <calculatedColumnFormula>IF(J2="","",IF(ABS(J2)&lt;=0.2,"Within Tolerance","Out of Tolerance"))</calculatedColumnFormula>
    </tableColumn>
    <tableColumn id="13" xr3:uid="{66BB91FE-6703-4710-8471-1CE092F40429}" name="DA - Conv Status" dataDxfId="21" dataCellStyle="Excel Built-in Normal"/>
    <tableColumn id="14" xr3:uid="{21D62491-319D-4541-9F36-9134DF558B6A}" name="DA - Nova Status" dataDxfId="20" dataCellStyle="Excel Built-in Normal">
      <calculatedColumnFormula>IF(L2="","",IF(ABS(L2)&lt;=0.2,"Within Tolerance","Out of Tolerance"))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29D3B-8AF6-49DB-990D-FCB60A4E7ABF}" name="tbl_Ash" displayName="tbl_Ash" ref="A1:N625" totalsRowShown="0" headerRowDxfId="19" dataDxfId="18" tableBorderDxfId="17" headerRowCellStyle="Excel Built-in Normal" dataCellStyle="Normal 2">
  <autoFilter ref="A1:N625" xr:uid="{82D29D3B-8AF6-49DB-990D-FCB60A4E7ABF}">
    <filterColumn colId="7">
      <filters blank="1"/>
    </filterColumn>
  </autoFilter>
  <tableColumns count="14">
    <tableColumn id="1" xr3:uid="{3CDF8852-DC1F-48F2-9D2D-99734493C0DC}" name="DATE" dataDxfId="16" dataCellStyle="Normal 2"/>
    <tableColumn id="2" xr3:uid="{B07F0A10-C7DB-4900-AC59-7668B1E27D86}" name="TIME"/>
    <tableColumn id="15" xr3:uid="{38972F1C-44EC-46BA-857D-75351EA50FBC}" name="DateTime" dataDxfId="15" dataCellStyle="Normal 2">
      <calculatedColumnFormula>A2+MOD(B2,1)</calculatedColumnFormula>
    </tableColumn>
    <tableColumn id="3" xr3:uid="{05C9E463-A034-46A8-B30A-47BDC1656216}" name="BRAND"/>
    <tableColumn id="4" xr3:uid="{EEC916C9-E968-4500-9952-DF9D2931E4E1}" name="Process" dataDxfId="14" dataCellStyle="Normal 2"/>
    <tableColumn id="5" xr3:uid="{4A3F7B13-2B10-41A7-8ACD-0C20EA7AC39D}" name="CONV" dataDxfId="13" dataCellStyle="Excel Built-in Normal"/>
    <tableColumn id="6" xr3:uid="{014D944C-7966-4239-859D-301F43FAC67C}" name="NIT" dataDxfId="12" dataCellStyle="Normal 2"/>
    <tableColumn id="7" xr3:uid="{0D5EEAA7-C7D6-4362-B7A8-46DB4412911A}" name="DA" dataDxfId="11" dataCellStyle="Normal 2"/>
    <tableColumn id="8" xr3:uid="{214DE300-68E7-4DE5-9105-172AE34CB878}" name="NIT - Conv" dataDxfId="10" dataCellStyle="Excel Built-in Normal">
      <calculatedColumnFormula>IF(OR(TRIM(F2&amp;"")="",TRIM(G2&amp;"")="",F2="-",G2="-"),"",G2-F2)</calculatedColumnFormula>
    </tableColumn>
    <tableColumn id="9" xr3:uid="{A06CD568-A592-4662-B01E-B3A3F2C1BC25}" name="DA - Conv" dataDxfId="9" dataCellStyle="Excel Built-in Normal">
      <calculatedColumnFormula>IF(OR(TRIM(F2&amp;"")="",TRIM(H2&amp;"")="",F2="-",H2="-"),"",H2-F2)</calculatedColumnFormula>
    </tableColumn>
    <tableColumn id="10" xr3:uid="{9007FB17-3AF0-40E3-A438-882E3D8F582C}" name="DA-NIT" dataDxfId="8" dataCellStyle="Excel Built-in Normal">
      <calculatedColumnFormula>IF(OR(TRIM(G2&amp;"")="",TRIM(H2&amp;"")="",G2="-",H2="-"),"",H2-G2)</calculatedColumnFormula>
    </tableColumn>
    <tableColumn id="11" xr3:uid="{8211FC9B-5D81-437E-9D93-1EDC40D4C3A4}" name="NIT - Conv Status" dataDxfId="7" dataCellStyle="Normal 2">
      <calculatedColumnFormula>IF(ISNUMBER(I2),IF(ABS(I2)&lt;=0.02,"Within Tolerance","Out of Tolerance"),"")</calculatedColumnFormula>
    </tableColumn>
    <tableColumn id="12" xr3:uid="{A124213D-D358-422A-92FF-6354DF7B141F}" name="DA - Conv Staus" dataDxfId="6" dataCellStyle="Normal 2">
      <calculatedColumnFormula>IF(ISNUMBER(J2),IF(ABS(J2)&lt;=0.02,"Within Tolerance","Out of Tolerance"),"")</calculatedColumnFormula>
    </tableColumn>
    <tableColumn id="13" xr3:uid="{718A327D-33A1-496E-B526-1265B99BEFA4}" name="DA-NIT Status" dataDxfId="5" dataCellStyle="Normal 2">
      <calculatedColumnFormula>IF(ISNUMBER(K2),IF(ABS(K2)&lt;=0.02,"Within Tolerance","Out of Tolerance"),"")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31B4-E993-4B1C-86CC-8E059BCFA392}">
  <dimension ref="B1:C25"/>
  <sheetViews>
    <sheetView workbookViewId="0">
      <selection activeCell="O7" sqref="O7"/>
    </sheetView>
  </sheetViews>
  <sheetFormatPr defaultRowHeight="14.4" x14ac:dyDescent="0.3"/>
  <cols>
    <col min="2" max="2" width="15.109375" customWidth="1"/>
  </cols>
  <sheetData>
    <row r="1" spans="2:3" ht="18" x14ac:dyDescent="0.35">
      <c r="B1" s="58" t="s">
        <v>88</v>
      </c>
    </row>
    <row r="3" spans="2:3" ht="15.6" x14ac:dyDescent="0.3">
      <c r="B3" s="53" t="s">
        <v>76</v>
      </c>
      <c r="C3" s="54"/>
    </row>
    <row r="4" spans="2:3" ht="15.6" x14ac:dyDescent="0.3">
      <c r="B4" s="53" t="s">
        <v>77</v>
      </c>
      <c r="C4" s="54"/>
    </row>
    <row r="5" spans="2:3" ht="15.6" x14ac:dyDescent="0.3">
      <c r="B5" s="54"/>
      <c r="C5" s="54"/>
    </row>
    <row r="6" spans="2:3" ht="15.6" x14ac:dyDescent="0.3">
      <c r="B6" s="53" t="s">
        <v>78</v>
      </c>
      <c r="C6" s="55"/>
    </row>
    <row r="7" spans="2:3" ht="15.6" x14ac:dyDescent="0.3">
      <c r="B7" s="55" t="s">
        <v>4</v>
      </c>
      <c r="C7" s="54" t="s">
        <v>79</v>
      </c>
    </row>
    <row r="8" spans="2:3" ht="15.6" x14ac:dyDescent="0.3">
      <c r="B8" s="55" t="s">
        <v>5</v>
      </c>
      <c r="C8" s="54" t="s">
        <v>66</v>
      </c>
    </row>
    <row r="9" spans="2:3" ht="15.6" x14ac:dyDescent="0.3">
      <c r="B9" s="55" t="s">
        <v>6</v>
      </c>
      <c r="C9" s="54" t="s">
        <v>67</v>
      </c>
    </row>
    <row r="10" spans="2:3" ht="15.6" x14ac:dyDescent="0.3">
      <c r="B10" s="55"/>
      <c r="C10" s="54"/>
    </row>
    <row r="11" spans="2:3" ht="15.6" x14ac:dyDescent="0.3">
      <c r="B11" s="53" t="s">
        <v>71</v>
      </c>
      <c r="C11" s="54"/>
    </row>
    <row r="12" spans="2:3" ht="15.6" x14ac:dyDescent="0.3">
      <c r="B12" s="55" t="s">
        <v>64</v>
      </c>
      <c r="C12" s="54" t="s">
        <v>69</v>
      </c>
    </row>
    <row r="13" spans="2:3" ht="15.6" x14ac:dyDescent="0.3">
      <c r="B13" s="55" t="s">
        <v>68</v>
      </c>
      <c r="C13" s="54" t="s">
        <v>70</v>
      </c>
    </row>
    <row r="14" spans="2:3" ht="15.6" x14ac:dyDescent="0.3">
      <c r="B14" s="55" t="s">
        <v>9</v>
      </c>
      <c r="C14" s="54" t="s">
        <v>65</v>
      </c>
    </row>
    <row r="15" spans="2:3" ht="15.6" x14ac:dyDescent="0.3">
      <c r="B15" s="55"/>
      <c r="C15" s="55"/>
    </row>
    <row r="16" spans="2:3" ht="15.6" x14ac:dyDescent="0.3">
      <c r="B16" s="56" t="s">
        <v>75</v>
      </c>
      <c r="C16" s="55"/>
    </row>
    <row r="17" spans="2:3" ht="15.6" x14ac:dyDescent="0.3">
      <c r="B17" s="54" t="s">
        <v>80</v>
      </c>
      <c r="C17" s="55"/>
    </row>
    <row r="18" spans="2:3" ht="15.6" x14ac:dyDescent="0.3">
      <c r="B18" s="54" t="s">
        <v>81</v>
      </c>
      <c r="C18" s="57" t="s">
        <v>89</v>
      </c>
    </row>
    <row r="19" spans="2:3" ht="15.6" x14ac:dyDescent="0.3">
      <c r="B19" s="54" t="s">
        <v>82</v>
      </c>
      <c r="C19" s="57" t="s">
        <v>89</v>
      </c>
    </row>
    <row r="20" spans="2:3" ht="15.6" x14ac:dyDescent="0.3">
      <c r="B20" s="54" t="s">
        <v>83</v>
      </c>
      <c r="C20" s="57" t="s">
        <v>90</v>
      </c>
    </row>
    <row r="21" spans="2:3" ht="15.6" x14ac:dyDescent="0.3">
      <c r="B21" s="54" t="s">
        <v>91</v>
      </c>
      <c r="C21" s="55"/>
    </row>
    <row r="22" spans="2:3" ht="15.6" x14ac:dyDescent="0.3">
      <c r="B22" s="54" t="s">
        <v>92</v>
      </c>
      <c r="C22" s="55"/>
    </row>
    <row r="23" spans="2:3" ht="15.6" x14ac:dyDescent="0.3">
      <c r="B23" s="54" t="s">
        <v>72</v>
      </c>
      <c r="C23" s="54"/>
    </row>
    <row r="24" spans="2:3" ht="15.6" x14ac:dyDescent="0.3">
      <c r="B24" s="54" t="s">
        <v>73</v>
      </c>
      <c r="C24" s="55"/>
    </row>
    <row r="25" spans="2:3" ht="15.6" x14ac:dyDescent="0.3">
      <c r="B25" s="54" t="s">
        <v>74</v>
      </c>
      <c r="C25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1C26-36A9-41B2-B44E-B8A14AA75890}">
  <dimension ref="A1:O24"/>
  <sheetViews>
    <sheetView showGridLines="0" workbookViewId="0">
      <selection activeCell="D22" sqref="D22"/>
    </sheetView>
  </sheetViews>
  <sheetFormatPr defaultRowHeight="14.4" x14ac:dyDescent="0.3"/>
  <cols>
    <col min="1" max="1" width="17" customWidth="1"/>
    <col min="2" max="4" width="12.5546875" customWidth="1"/>
    <col min="5" max="8" width="10.21875" customWidth="1"/>
  </cols>
  <sheetData>
    <row r="1" spans="1:15" ht="31.95" customHeight="1" x14ac:dyDescent="0.5">
      <c r="A1" s="242" t="s">
        <v>105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</row>
    <row r="2" spans="1:15" ht="22.05" customHeight="1" x14ac:dyDescent="0.3">
      <c r="A2" s="244" t="s">
        <v>106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</row>
    <row r="3" spans="1:15" x14ac:dyDescent="0.3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</row>
    <row r="4" spans="1:15" x14ac:dyDescent="0.3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</row>
    <row r="5" spans="1:15" x14ac:dyDescent="0.3">
      <c r="A5" s="235" t="s">
        <v>107</v>
      </c>
      <c r="B5" s="235" t="s">
        <v>108</v>
      </c>
      <c r="C5" s="235" t="s">
        <v>109</v>
      </c>
      <c r="D5" s="235" t="s">
        <v>110</v>
      </c>
      <c r="E5" s="235" t="s">
        <v>111</v>
      </c>
      <c r="F5" s="235" t="s">
        <v>112</v>
      </c>
      <c r="G5" s="235" t="s">
        <v>113</v>
      </c>
      <c r="H5" s="235" t="s">
        <v>114</v>
      </c>
      <c r="I5" s="234"/>
      <c r="J5" s="234"/>
      <c r="K5" s="234"/>
      <c r="L5" s="234"/>
      <c r="M5" s="234"/>
      <c r="N5" s="234"/>
      <c r="O5" s="234"/>
    </row>
    <row r="6" spans="1:15" x14ac:dyDescent="0.3">
      <c r="A6" s="236">
        <v>46139</v>
      </c>
      <c r="B6" s="237">
        <f>IFERROR(AVERAGEIFS(tbl_Moisture[NOVA],tbl_Moisture[DATE],"&gt;="&amp;$A6,tbl_Moisture[DATE],"&lt;"&amp;$A6+7),NA())</f>
        <v>13.981428571428573</v>
      </c>
      <c r="C6" s="237">
        <f>IFERROR(AVERAGEIFS(tbl_Moisture[DA],tbl_Moisture[DATE],"&gt;="&amp;$A6,tbl_Moisture[DATE],"&lt;"&amp;$A6+7),NA())</f>
        <v>13.984374999999998</v>
      </c>
      <c r="D6" s="237">
        <f>IFERROR(AVERAGEIFS(tbl_Moisture[CONV],tbl_Moisture[DATE],"&gt;="&amp;$A6,tbl_Moisture[DATE],"&lt;"&amp;$A6+7),NA())</f>
        <v>13.780000000000001</v>
      </c>
      <c r="E6" s="238">
        <f>COUNTIFS(tbl_Moisture[DATE],"&gt;="&amp;$A6,tbl_Moisture[DATE],"&lt;"&amp;$A6+7)</f>
        <v>70</v>
      </c>
      <c r="F6" s="238">
        <f>COUNTIFS(tbl_Moisture[DATE],"&gt;="&amp;$A6,tbl_Moisture[DATE],"&lt;"&amp;$A6+7,tbl_Moisture[NOVA],"&gt;=0")</f>
        <v>70</v>
      </c>
      <c r="G6" s="238">
        <f>COUNTIFS(tbl_Moisture[DATE],"&gt;="&amp;$A6,tbl_Moisture[DATE],"&lt;"&amp;$A6+7,tbl_Moisture[DA],"&gt;=0")</f>
        <v>64</v>
      </c>
      <c r="H6" s="238">
        <f>COUNTIFS(tbl_Moisture[DATE],"&gt;="&amp;$A6,tbl_Moisture[DATE],"&lt;"&amp;$A6+7,tbl_Moisture[CONV],"&gt;=0")</f>
        <v>6</v>
      </c>
      <c r="I6" s="234"/>
      <c r="J6" s="234"/>
      <c r="K6" s="234"/>
      <c r="L6" s="234"/>
      <c r="M6" s="234"/>
      <c r="N6" s="234"/>
      <c r="O6" s="234"/>
    </row>
    <row r="7" spans="1:15" x14ac:dyDescent="0.3">
      <c r="A7" s="236">
        <v>46146</v>
      </c>
      <c r="B7" s="237">
        <f>IFERROR(AVERAGEIFS(tbl_Moisture[NOVA],tbl_Moisture[DATE],"&gt;="&amp;$A7,tbl_Moisture[DATE],"&lt;"&amp;$A7+7),NA())</f>
        <v>14.048275862068957</v>
      </c>
      <c r="C7" s="237">
        <f>IFERROR(AVERAGEIFS(tbl_Moisture[DA],tbl_Moisture[DATE],"&gt;="&amp;$A7,tbl_Moisture[DATE],"&lt;"&amp;$A7+7),NA())</f>
        <v>14.039024390243901</v>
      </c>
      <c r="D7" s="237">
        <f>IFERROR(AVERAGEIFS(tbl_Moisture[CONV],tbl_Moisture[DATE],"&gt;="&amp;$A7,tbl_Moisture[DATE],"&lt;"&amp;$A7+7),NA())</f>
        <v>13.900666666666668</v>
      </c>
      <c r="E7" s="238">
        <f>COUNTIFS(tbl_Moisture[DATE],"&gt;="&amp;$A7,tbl_Moisture[DATE],"&lt;"&amp;$A7+7)</f>
        <v>145</v>
      </c>
      <c r="F7" s="238">
        <f>COUNTIFS(tbl_Moisture[DATE],"&gt;="&amp;$A7,tbl_Moisture[DATE],"&lt;"&amp;$A7+7,tbl_Moisture[NOVA],"&gt;=0")</f>
        <v>145</v>
      </c>
      <c r="G7" s="238">
        <f>COUNTIFS(tbl_Moisture[DATE],"&gt;="&amp;$A7,tbl_Moisture[DATE],"&lt;"&amp;$A7+7,tbl_Moisture[DA],"&gt;=0")</f>
        <v>123</v>
      </c>
      <c r="H7" s="238">
        <f>COUNTIFS(tbl_Moisture[DATE],"&gt;="&amp;$A7,tbl_Moisture[DATE],"&lt;"&amp;$A7+7,tbl_Moisture[CONV],"&gt;=0")</f>
        <v>15</v>
      </c>
      <c r="I7" s="234"/>
      <c r="J7" s="234"/>
      <c r="K7" s="234"/>
      <c r="L7" s="234"/>
      <c r="M7" s="234"/>
      <c r="N7" s="234"/>
      <c r="O7" s="234"/>
    </row>
    <row r="8" spans="1:15" x14ac:dyDescent="0.3">
      <c r="A8" s="236">
        <v>46153</v>
      </c>
      <c r="B8" s="237">
        <f>IFERROR(AVERAGEIFS(tbl_Moisture[NOVA],tbl_Moisture[DATE],"&gt;="&amp;$A8,tbl_Moisture[DATE],"&lt;"&amp;$A8+7),NA())</f>
        <v>13.995135135135129</v>
      </c>
      <c r="C8" s="237">
        <f>IFERROR(AVERAGEIFS(tbl_Moisture[DA],tbl_Moisture[DATE],"&gt;="&amp;$A8,tbl_Moisture[DATE],"&lt;"&amp;$A8+7),NA())</f>
        <v>13.989534883720937</v>
      </c>
      <c r="D8" s="237">
        <f>IFERROR(AVERAGEIFS(tbl_Moisture[CONV],tbl_Moisture[DATE],"&gt;="&amp;$A8,tbl_Moisture[DATE],"&lt;"&amp;$A8+7),NA())</f>
        <v>13.894736842105264</v>
      </c>
      <c r="E8" s="238">
        <f>COUNTIFS(tbl_Moisture[DATE],"&gt;="&amp;$A8,tbl_Moisture[DATE],"&lt;"&amp;$A8+7)</f>
        <v>185</v>
      </c>
      <c r="F8" s="238">
        <f>COUNTIFS(tbl_Moisture[DATE],"&gt;="&amp;$A8,tbl_Moisture[DATE],"&lt;"&amp;$A8+7,tbl_Moisture[NOVA],"&gt;=0")</f>
        <v>185</v>
      </c>
      <c r="G8" s="238">
        <f>COUNTIFS(tbl_Moisture[DATE],"&gt;="&amp;$A8,tbl_Moisture[DATE],"&lt;"&amp;$A8+7,tbl_Moisture[DA],"&gt;=0")</f>
        <v>172</v>
      </c>
      <c r="H8" s="238">
        <f>COUNTIFS(tbl_Moisture[DATE],"&gt;="&amp;$A8,tbl_Moisture[DATE],"&lt;"&amp;$A8+7,tbl_Moisture[CONV],"&gt;=0")</f>
        <v>19</v>
      </c>
      <c r="I8" s="234"/>
      <c r="J8" s="234"/>
      <c r="K8" s="234"/>
      <c r="L8" s="234"/>
      <c r="M8" s="234"/>
      <c r="N8" s="234"/>
      <c r="O8" s="234"/>
    </row>
    <row r="9" spans="1:15" x14ac:dyDescent="0.3">
      <c r="A9" s="236">
        <v>46160</v>
      </c>
      <c r="B9" s="237">
        <f>IFERROR(AVERAGEIFS(tbl_Moisture[NOVA],tbl_Moisture[DATE],"&gt;="&amp;$A9,tbl_Moisture[DATE],"&lt;"&amp;$A9+7),NA())</f>
        <v>14.002450980392144</v>
      </c>
      <c r="C9" s="237">
        <f>IFERROR(AVERAGEIFS(tbl_Moisture[DA],tbl_Moisture[DATE],"&gt;="&amp;$A9,tbl_Moisture[DATE],"&lt;"&amp;$A9+7),NA())</f>
        <v>13.988421052631567</v>
      </c>
      <c r="D9" s="237">
        <f>IFERROR(AVERAGEIFS(tbl_Moisture[CONV],tbl_Moisture[DATE],"&gt;="&amp;$A9,tbl_Moisture[DATE],"&lt;"&amp;$A9+7),NA())</f>
        <v>13.933555555555557</v>
      </c>
      <c r="E9" s="238">
        <f>COUNTIFS(tbl_Moisture[DATE],"&gt;="&amp;$A9,tbl_Moisture[DATE],"&lt;"&amp;$A9+7)</f>
        <v>205</v>
      </c>
      <c r="F9" s="238">
        <f>COUNTIFS(tbl_Moisture[DATE],"&gt;="&amp;$A9,tbl_Moisture[DATE],"&lt;"&amp;$A9+7,tbl_Moisture[NOVA],"&gt;=0")</f>
        <v>204</v>
      </c>
      <c r="G9" s="238">
        <f>COUNTIFS(tbl_Moisture[DATE],"&gt;="&amp;$A9,tbl_Moisture[DATE],"&lt;"&amp;$A9+7,tbl_Moisture[DA],"&gt;=0")</f>
        <v>190</v>
      </c>
      <c r="H9" s="238">
        <f>COUNTIFS(tbl_Moisture[DATE],"&gt;="&amp;$A9,tbl_Moisture[DATE],"&lt;"&amp;$A9+7,tbl_Moisture[CONV],"&gt;=0")</f>
        <v>18</v>
      </c>
      <c r="I9" s="234"/>
      <c r="J9" s="234"/>
      <c r="K9" s="234"/>
      <c r="L9" s="234"/>
      <c r="M9" s="234"/>
      <c r="N9" s="234"/>
      <c r="O9" s="234"/>
    </row>
    <row r="10" spans="1:15" x14ac:dyDescent="0.3">
      <c r="A10" s="236">
        <v>46167</v>
      </c>
      <c r="B10" s="237" t="e">
        <f>IFERROR(AVERAGEIFS(tbl_Moisture[NOVA],tbl_Moisture[DATE],"&gt;="&amp;$A10,tbl_Moisture[DATE],"&lt;"&amp;$A10+7),NA())</f>
        <v>#N/A</v>
      </c>
      <c r="C10" s="237" t="e">
        <f>IFERROR(AVERAGEIFS(tbl_Moisture[DA],tbl_Moisture[DATE],"&gt;="&amp;$A10,tbl_Moisture[DATE],"&lt;"&amp;$A10+7),NA())</f>
        <v>#N/A</v>
      </c>
      <c r="D10" s="237" t="e">
        <f>IFERROR(AVERAGEIFS(tbl_Moisture[CONV],tbl_Moisture[DATE],"&gt;="&amp;$A10,tbl_Moisture[DATE],"&lt;"&amp;$A10+7),NA())</f>
        <v>#N/A</v>
      </c>
      <c r="E10" s="238">
        <f>COUNTIFS(tbl_Moisture[DATE],"&gt;="&amp;$A10,tbl_Moisture[DATE],"&lt;"&amp;$A10+7)</f>
        <v>0</v>
      </c>
      <c r="F10" s="238">
        <f>COUNTIFS(tbl_Moisture[DATE],"&gt;="&amp;$A10,tbl_Moisture[DATE],"&lt;"&amp;$A10+7,tbl_Moisture[NOVA],"&gt;=0")</f>
        <v>0</v>
      </c>
      <c r="G10" s="238">
        <f>COUNTIFS(tbl_Moisture[DATE],"&gt;="&amp;$A10,tbl_Moisture[DATE],"&lt;"&amp;$A10+7,tbl_Moisture[DA],"&gt;=0")</f>
        <v>0</v>
      </c>
      <c r="H10" s="238">
        <f>COUNTIFS(tbl_Moisture[DATE],"&gt;="&amp;$A10,tbl_Moisture[DATE],"&lt;"&amp;$A10+7,tbl_Moisture[CONV],"&gt;=0")</f>
        <v>0</v>
      </c>
      <c r="I10" s="234"/>
      <c r="J10" s="234"/>
      <c r="K10" s="234"/>
      <c r="L10" s="234"/>
      <c r="M10" s="234"/>
      <c r="N10" s="234"/>
      <c r="O10" s="234"/>
    </row>
    <row r="11" spans="1:15" x14ac:dyDescent="0.3">
      <c r="A11" s="236">
        <v>46174</v>
      </c>
      <c r="B11" s="237">
        <f>IFERROR(AVERAGEIFS(tbl_Moisture[NOVA],tbl_Moisture[DATE],"&gt;="&amp;$A11,tbl_Moisture[DATE],"&lt;"&amp;$A11+7),NA())</f>
        <v>14.125</v>
      </c>
      <c r="C11" s="237">
        <f>IFERROR(AVERAGEIFS(tbl_Moisture[DA],tbl_Moisture[DATE],"&gt;="&amp;$A11,tbl_Moisture[DATE],"&lt;"&amp;$A11+7),NA())</f>
        <v>14.2</v>
      </c>
      <c r="D11" s="237" t="e">
        <f>IFERROR(AVERAGEIFS(tbl_Moisture[CONV],tbl_Moisture[DATE],"&gt;="&amp;$A11,tbl_Moisture[DATE],"&lt;"&amp;$A11+7),NA())</f>
        <v>#N/A</v>
      </c>
      <c r="E11" s="238">
        <f>COUNTIFS(tbl_Moisture[DATE],"&gt;="&amp;$A11,tbl_Moisture[DATE],"&lt;"&amp;$A11+7)</f>
        <v>4</v>
      </c>
      <c r="F11" s="238">
        <f>COUNTIFS(tbl_Moisture[DATE],"&gt;="&amp;$A11,tbl_Moisture[DATE],"&lt;"&amp;$A11+7,tbl_Moisture[NOVA],"&gt;=0")</f>
        <v>4</v>
      </c>
      <c r="G11" s="238">
        <f>COUNTIFS(tbl_Moisture[DATE],"&gt;="&amp;$A11,tbl_Moisture[DATE],"&lt;"&amp;$A11+7,tbl_Moisture[DA],"&gt;=0")</f>
        <v>4</v>
      </c>
      <c r="H11" s="238">
        <f>COUNTIFS(tbl_Moisture[DATE],"&gt;="&amp;$A11,tbl_Moisture[DATE],"&lt;"&amp;$A11+7,tbl_Moisture[CONV],"&gt;=0")</f>
        <v>0</v>
      </c>
      <c r="I11" s="234"/>
      <c r="J11" s="234"/>
      <c r="K11" s="234"/>
      <c r="L11" s="234"/>
      <c r="M11" s="234"/>
      <c r="N11" s="234"/>
      <c r="O11" s="234"/>
    </row>
    <row r="12" spans="1:15" x14ac:dyDescent="0.3">
      <c r="A12" s="239">
        <v>46181</v>
      </c>
      <c r="B12" s="240">
        <f>IFERROR(AVERAGEIFS(tbl_Moisture[NOVA],tbl_Moisture[DATE],"&gt;="&amp;$A12,tbl_Moisture[DATE],"&lt;"&amp;$A12+7),NA())</f>
        <v>14.040000000000001</v>
      </c>
      <c r="C12" s="240">
        <f>IFERROR(AVERAGEIFS(tbl_Moisture[DA],tbl_Moisture[DATE],"&gt;="&amp;$A12,tbl_Moisture[DATE],"&lt;"&amp;$A12+7),NA())</f>
        <v>14.059999999999999</v>
      </c>
      <c r="D12" s="240" t="e">
        <f>IFERROR(AVERAGEIFS(tbl_Moisture[CONV],tbl_Moisture[DATE],"&gt;="&amp;$A12,tbl_Moisture[DATE],"&lt;"&amp;$A12+7),NA())</f>
        <v>#N/A</v>
      </c>
      <c r="E12" s="241">
        <f>COUNTIFS(tbl_Moisture[DATE],"&gt;="&amp;$A12,tbl_Moisture[DATE],"&lt;"&amp;$A12+7)</f>
        <v>5</v>
      </c>
      <c r="F12" s="241">
        <f>COUNTIFS(tbl_Moisture[DATE],"&gt;="&amp;$A12,tbl_Moisture[DATE],"&lt;"&amp;$A12+7,tbl_Moisture[NOVA],"&gt;=0")</f>
        <v>5</v>
      </c>
      <c r="G12" s="241">
        <f>COUNTIFS(tbl_Moisture[DATE],"&gt;="&amp;$A12,tbl_Moisture[DATE],"&lt;"&amp;$A12+7,tbl_Moisture[DA],"&gt;=0")</f>
        <v>5</v>
      </c>
      <c r="H12" s="241">
        <f>COUNTIFS(tbl_Moisture[DATE],"&gt;="&amp;$A12,tbl_Moisture[DATE],"&lt;"&amp;$A12+7,tbl_Moisture[CONV],"&gt;=0")</f>
        <v>0</v>
      </c>
      <c r="I12" s="234"/>
      <c r="J12" s="234"/>
      <c r="K12" s="234"/>
      <c r="L12" s="234"/>
      <c r="M12" s="234"/>
      <c r="N12" s="234"/>
      <c r="O12" s="234"/>
    </row>
    <row r="13" spans="1:15" x14ac:dyDescent="0.3">
      <c r="A13" s="234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</row>
    <row r="14" spans="1:15" x14ac:dyDescent="0.3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</row>
    <row r="15" spans="1:15" x14ac:dyDescent="0.3">
      <c r="A15" s="245" t="s">
        <v>115</v>
      </c>
      <c r="B15" s="243"/>
      <c r="C15" s="243"/>
      <c r="D15" s="243"/>
      <c r="E15" s="243"/>
      <c r="F15" s="243"/>
      <c r="G15" s="243"/>
      <c r="H15" s="243"/>
      <c r="I15" s="234"/>
      <c r="J15" s="234"/>
      <c r="K15" s="234"/>
      <c r="L15" s="234"/>
      <c r="M15" s="234"/>
      <c r="N15" s="234"/>
      <c r="O15" s="234"/>
    </row>
    <row r="16" spans="1:15" x14ac:dyDescent="0.3">
      <c r="A16" s="234"/>
      <c r="B16" s="234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</row>
    <row r="17" spans="1:15" x14ac:dyDescent="0.3">
      <c r="A17" s="234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</row>
    <row r="18" spans="1:15" x14ac:dyDescent="0.3">
      <c r="A18" s="234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</row>
    <row r="19" spans="1:15" x14ac:dyDescent="0.3">
      <c r="A19" s="234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</row>
    <row r="20" spans="1:15" x14ac:dyDescent="0.3">
      <c r="A20" s="234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</row>
    <row r="21" spans="1:15" x14ac:dyDescent="0.3">
      <c r="A21" s="234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</row>
    <row r="22" spans="1:15" x14ac:dyDescent="0.3">
      <c r="A22" s="234"/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</row>
    <row r="23" spans="1:15" x14ac:dyDescent="0.3">
      <c r="A23" s="234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</row>
    <row r="24" spans="1:15" x14ac:dyDescent="0.3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</row>
  </sheetData>
  <mergeCells count="3">
    <mergeCell ref="A1:O1"/>
    <mergeCell ref="A2:O2"/>
    <mergeCell ref="A15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2FEA-8432-4668-8118-756AF89A6AE5}">
  <sheetPr>
    <pageSetUpPr fitToPage="1"/>
  </sheetPr>
  <dimension ref="A1:O615"/>
  <sheetViews>
    <sheetView tabSelected="1" topLeftCell="B1" zoomScaleNormal="100" workbookViewId="0">
      <pane ySplit="1" topLeftCell="A62" activePane="bottomLeft" state="frozen"/>
      <selection activeCell="L4468" sqref="L4468"/>
      <selection pane="bottomLeft" activeCell="O1" sqref="O1:O1048576"/>
    </sheetView>
  </sheetViews>
  <sheetFormatPr defaultColWidth="10.109375" defaultRowHeight="14.4" x14ac:dyDescent="0.3"/>
  <cols>
    <col min="1" max="1" width="35.109375" style="85" customWidth="1"/>
    <col min="2" max="2" width="41.88671875" style="59" customWidth="1"/>
    <col min="3" max="3" width="41.88671875" style="165" customWidth="1"/>
    <col min="4" max="4" width="16.33203125" style="6" customWidth="1"/>
    <col min="5" max="5" width="12.109375" style="6" customWidth="1"/>
    <col min="6" max="6" width="10.109375" style="6"/>
    <col min="7" max="7" width="10.109375" style="6" customWidth="1"/>
    <col min="8" max="8" width="10.109375" style="109" customWidth="1"/>
    <col min="9" max="9" width="10.109375" style="112" customWidth="1"/>
    <col min="10" max="10" width="14" style="36" customWidth="1"/>
    <col min="11" max="11" width="11.21875" style="112" customWidth="1"/>
    <col min="12" max="12" width="12.21875" style="126" customWidth="1"/>
    <col min="13" max="13" width="30.21875" style="6" customWidth="1"/>
    <col min="14" max="14" width="32.33203125" style="6" customWidth="1"/>
    <col min="15" max="15" width="24.5546875" style="6" customWidth="1"/>
    <col min="16" max="16384" width="10.109375" style="6"/>
  </cols>
  <sheetData>
    <row r="1" spans="1:15" ht="41.25" customHeight="1" x14ac:dyDescent="0.3">
      <c r="A1" s="84" t="s">
        <v>0</v>
      </c>
      <c r="B1" s="60" t="s">
        <v>1</v>
      </c>
      <c r="C1" s="137" t="s">
        <v>104</v>
      </c>
      <c r="D1" s="1" t="s">
        <v>2</v>
      </c>
      <c r="E1" s="2" t="s">
        <v>3</v>
      </c>
      <c r="F1" s="3" t="s">
        <v>95</v>
      </c>
      <c r="G1" s="4" t="s">
        <v>4</v>
      </c>
      <c r="H1" s="104" t="s">
        <v>5</v>
      </c>
      <c r="I1" s="110" t="s">
        <v>6</v>
      </c>
      <c r="J1" s="5" t="s">
        <v>7</v>
      </c>
      <c r="K1" s="113" t="s">
        <v>8</v>
      </c>
      <c r="L1" s="124" t="s">
        <v>94</v>
      </c>
      <c r="M1" s="127" t="s">
        <v>96</v>
      </c>
      <c r="N1" s="113" t="s">
        <v>97</v>
      </c>
      <c r="O1" s="124" t="s">
        <v>98</v>
      </c>
    </row>
    <row r="2" spans="1:15" s="9" customFormat="1" x14ac:dyDescent="0.3">
      <c r="A2" s="166">
        <v>46143</v>
      </c>
      <c r="B2" s="61">
        <v>46143.361111111102</v>
      </c>
      <c r="C2" s="138">
        <f t="shared" ref="C2:C65" si="0">A2+MOD(B2,1)</f>
        <v>46143.361111111102</v>
      </c>
      <c r="D2" s="19" t="s">
        <v>13</v>
      </c>
      <c r="E2" s="8" t="s">
        <v>14</v>
      </c>
      <c r="F2" s="7" t="s">
        <v>11</v>
      </c>
      <c r="G2" s="13" t="s">
        <v>93</v>
      </c>
      <c r="H2" s="105">
        <v>14.1</v>
      </c>
      <c r="I2" s="44">
        <v>14.1</v>
      </c>
      <c r="J2" s="11" t="str">
        <f>IF(OR(H2="",G2=""),"",H2-G2)</f>
        <v/>
      </c>
      <c r="K2" s="12" t="str">
        <f>IF(OR(TRIM(G2&amp;"")="",TRIM(I2&amp;"")="",G2="-",I2="-"),"",I2-G2)</f>
        <v/>
      </c>
      <c r="L2" s="125">
        <f>IF(OR(TRIM(H2&amp;"")="",TRIM(I2&amp;"")="",H2="-",I2="-"),"",I2-H2)</f>
        <v>0</v>
      </c>
      <c r="M2" s="47" t="str">
        <f>IF(J2="","",IF(ABS(J2)&lt;=0.2,"Within Tolerance","Out of Tolerance"))</f>
        <v/>
      </c>
      <c r="N2" s="47" t="str">
        <f>IF(K2="","",IF(ABS(K2)&lt;=0.2,"Within Tolerance","Out of Tolerance"))</f>
        <v/>
      </c>
      <c r="O2" s="47" t="str">
        <f>IF(L2="","",IF(ABS(L2)&lt;=0.2,"Within Tolerance","Out of Tolerance"))</f>
        <v>Within Tolerance</v>
      </c>
    </row>
    <row r="3" spans="1:15" s="9" customFormat="1" x14ac:dyDescent="0.3">
      <c r="A3" s="167">
        <v>46143</v>
      </c>
      <c r="B3" s="61">
        <v>46143.520833333299</v>
      </c>
      <c r="C3" s="138">
        <f t="shared" si="0"/>
        <v>46143.520833333299</v>
      </c>
      <c r="D3" s="19" t="s">
        <v>13</v>
      </c>
      <c r="E3" s="8" t="s">
        <v>14</v>
      </c>
      <c r="F3" s="7" t="s">
        <v>11</v>
      </c>
      <c r="G3" s="13" t="s">
        <v>93</v>
      </c>
      <c r="H3" s="105">
        <v>13.9</v>
      </c>
      <c r="I3" s="44">
        <v>14.1</v>
      </c>
      <c r="J3" s="11" t="str">
        <f t="shared" ref="J3:J66" si="1">IF(OR(H3="",G3=""),"",H3-G3)</f>
        <v/>
      </c>
      <c r="K3" s="12" t="str">
        <f t="shared" ref="K3:K66" si="2">IF(OR(TRIM(G3&amp;"")="",TRIM(I3&amp;"")="",G3="-",I3="-"),"",I3-G3)</f>
        <v/>
      </c>
      <c r="L3" s="125">
        <f t="shared" ref="L3:L66" si="3">IF(OR(TRIM(H3&amp;"")="",TRIM(I3&amp;"")="",H3="-",I3="-"),"",I3-H3)</f>
        <v>0.19999999999999929</v>
      </c>
      <c r="M3" s="47" t="str">
        <f t="shared" ref="M3:M66" si="4">IF(J3="","",IF(ABS(J3)&lt;=0.2,"Within Tolerance","Out of Tolerance"))</f>
        <v/>
      </c>
      <c r="N3" s="47" t="str">
        <f t="shared" ref="N3:N66" si="5">IF(K3="","",IF(ABS(K3)&lt;=0.2,"Within Tolerance","Out of Tolerance"))</f>
        <v/>
      </c>
      <c r="O3" s="47" t="str">
        <f t="shared" ref="O3:O66" si="6">IF(L3="","",IF(ABS(L3)&lt;=0.2,"Within Tolerance","Out of Tolerance"))</f>
        <v>Within Tolerance</v>
      </c>
    </row>
    <row r="4" spans="1:15" s="9" customFormat="1" x14ac:dyDescent="0.3">
      <c r="A4" s="166">
        <v>46143</v>
      </c>
      <c r="B4" s="61">
        <v>46143.604166666701</v>
      </c>
      <c r="C4" s="138">
        <f t="shared" si="0"/>
        <v>46143.604166666701</v>
      </c>
      <c r="D4" s="19" t="s">
        <v>13</v>
      </c>
      <c r="E4" s="8" t="s">
        <v>14</v>
      </c>
      <c r="F4" s="7" t="s">
        <v>11</v>
      </c>
      <c r="G4" s="13" t="s">
        <v>93</v>
      </c>
      <c r="H4" s="105">
        <v>14</v>
      </c>
      <c r="I4" s="18" t="s">
        <v>93</v>
      </c>
      <c r="J4" s="11" t="str">
        <f t="shared" si="1"/>
        <v/>
      </c>
      <c r="K4" s="12" t="str">
        <f t="shared" si="2"/>
        <v/>
      </c>
      <c r="L4" s="125" t="str">
        <f t="shared" si="3"/>
        <v/>
      </c>
      <c r="M4" s="47" t="str">
        <f t="shared" si="4"/>
        <v/>
      </c>
      <c r="N4" s="47" t="str">
        <f t="shared" si="5"/>
        <v/>
      </c>
      <c r="O4" s="47" t="str">
        <f t="shared" si="6"/>
        <v/>
      </c>
    </row>
    <row r="5" spans="1:15" s="9" customFormat="1" x14ac:dyDescent="0.3">
      <c r="A5" s="167">
        <v>46143</v>
      </c>
      <c r="B5" s="61">
        <v>46143.666666666701</v>
      </c>
      <c r="C5" s="138">
        <f t="shared" si="0"/>
        <v>46143.666666666701</v>
      </c>
      <c r="D5" s="19" t="s">
        <v>13</v>
      </c>
      <c r="E5" s="8" t="s">
        <v>14</v>
      </c>
      <c r="F5" s="7" t="s">
        <v>11</v>
      </c>
      <c r="G5" s="13" t="s">
        <v>93</v>
      </c>
      <c r="H5" s="105">
        <v>14</v>
      </c>
      <c r="I5" s="44">
        <v>14</v>
      </c>
      <c r="J5" s="11" t="str">
        <f t="shared" si="1"/>
        <v/>
      </c>
      <c r="K5" s="12" t="str">
        <f t="shared" si="2"/>
        <v/>
      </c>
      <c r="L5" s="125">
        <f t="shared" si="3"/>
        <v>0</v>
      </c>
      <c r="M5" s="47" t="str">
        <f t="shared" si="4"/>
        <v/>
      </c>
      <c r="N5" s="47" t="str">
        <f t="shared" si="5"/>
        <v/>
      </c>
      <c r="O5" s="47" t="str">
        <f t="shared" si="6"/>
        <v>Within Tolerance</v>
      </c>
    </row>
    <row r="6" spans="1:15" s="9" customFormat="1" x14ac:dyDescent="0.3">
      <c r="A6" s="166">
        <v>46143</v>
      </c>
      <c r="B6" s="61">
        <v>46143.75</v>
      </c>
      <c r="C6" s="138">
        <f t="shared" si="0"/>
        <v>46143.75</v>
      </c>
      <c r="D6" s="19" t="s">
        <v>13</v>
      </c>
      <c r="E6" s="8" t="s">
        <v>14</v>
      </c>
      <c r="F6" s="7" t="s">
        <v>11</v>
      </c>
      <c r="G6" s="13" t="s">
        <v>93</v>
      </c>
      <c r="H6" s="105">
        <v>14.1</v>
      </c>
      <c r="I6" s="44">
        <v>14.2</v>
      </c>
      <c r="J6" s="11" t="str">
        <f t="shared" si="1"/>
        <v/>
      </c>
      <c r="K6" s="12" t="str">
        <f t="shared" si="2"/>
        <v/>
      </c>
      <c r="L6" s="125">
        <f t="shared" si="3"/>
        <v>9.9999999999999645E-2</v>
      </c>
      <c r="M6" s="47" t="str">
        <f t="shared" si="4"/>
        <v/>
      </c>
      <c r="N6" s="47" t="str">
        <f t="shared" si="5"/>
        <v/>
      </c>
      <c r="O6" s="47" t="str">
        <f t="shared" si="6"/>
        <v>Within Tolerance</v>
      </c>
    </row>
    <row r="7" spans="1:15" s="9" customFormat="1" x14ac:dyDescent="0.3">
      <c r="A7" s="167">
        <v>46143</v>
      </c>
      <c r="B7" s="61">
        <v>46143.833333333299</v>
      </c>
      <c r="C7" s="138">
        <f t="shared" si="0"/>
        <v>46143.833333333299</v>
      </c>
      <c r="D7" s="19" t="s">
        <v>13</v>
      </c>
      <c r="E7" s="8" t="s">
        <v>14</v>
      </c>
      <c r="F7" s="7" t="s">
        <v>11</v>
      </c>
      <c r="G7" s="13" t="s">
        <v>93</v>
      </c>
      <c r="H7" s="105">
        <v>14.1</v>
      </c>
      <c r="I7" s="44">
        <v>14.2</v>
      </c>
      <c r="J7" s="11" t="str">
        <f t="shared" si="1"/>
        <v/>
      </c>
      <c r="K7" s="12" t="str">
        <f t="shared" si="2"/>
        <v/>
      </c>
      <c r="L7" s="125">
        <f t="shared" si="3"/>
        <v>9.9999999999999645E-2</v>
      </c>
      <c r="M7" s="47" t="str">
        <f t="shared" si="4"/>
        <v/>
      </c>
      <c r="N7" s="47" t="str">
        <f t="shared" si="5"/>
        <v/>
      </c>
      <c r="O7" s="47" t="str">
        <f t="shared" si="6"/>
        <v>Within Tolerance</v>
      </c>
    </row>
    <row r="8" spans="1:15" s="9" customFormat="1" x14ac:dyDescent="0.3">
      <c r="A8" s="166">
        <v>46144</v>
      </c>
      <c r="B8" s="61">
        <v>46144</v>
      </c>
      <c r="C8" s="138">
        <f t="shared" si="0"/>
        <v>46144</v>
      </c>
      <c r="D8" s="19" t="s">
        <v>13</v>
      </c>
      <c r="E8" s="8" t="s">
        <v>14</v>
      </c>
      <c r="F8" s="7" t="s">
        <v>11</v>
      </c>
      <c r="G8" s="13" t="s">
        <v>93</v>
      </c>
      <c r="H8" s="105">
        <v>14.2</v>
      </c>
      <c r="I8" s="44">
        <v>14.2</v>
      </c>
      <c r="J8" s="11" t="str">
        <f t="shared" si="1"/>
        <v/>
      </c>
      <c r="K8" s="12" t="str">
        <f t="shared" si="2"/>
        <v/>
      </c>
      <c r="L8" s="125">
        <f t="shared" si="3"/>
        <v>0</v>
      </c>
      <c r="M8" s="47" t="str">
        <f t="shared" si="4"/>
        <v/>
      </c>
      <c r="N8" s="47" t="str">
        <f t="shared" si="5"/>
        <v/>
      </c>
      <c r="O8" s="47" t="str">
        <f t="shared" si="6"/>
        <v>Within Tolerance</v>
      </c>
    </row>
    <row r="9" spans="1:15" s="9" customFormat="1" x14ac:dyDescent="0.3">
      <c r="A9" s="167">
        <v>46144</v>
      </c>
      <c r="B9" s="61">
        <v>46144.083333333299</v>
      </c>
      <c r="C9" s="138">
        <f t="shared" si="0"/>
        <v>46144.083333333299</v>
      </c>
      <c r="D9" s="19" t="s">
        <v>13</v>
      </c>
      <c r="E9" s="8" t="s">
        <v>14</v>
      </c>
      <c r="F9" s="7" t="s">
        <v>11</v>
      </c>
      <c r="G9" s="13" t="s">
        <v>93</v>
      </c>
      <c r="H9" s="105">
        <v>14.2</v>
      </c>
      <c r="I9" s="44">
        <v>14.2</v>
      </c>
      <c r="J9" s="11" t="str">
        <f t="shared" si="1"/>
        <v/>
      </c>
      <c r="K9" s="12" t="str">
        <f t="shared" si="2"/>
        <v/>
      </c>
      <c r="L9" s="125">
        <f t="shared" si="3"/>
        <v>0</v>
      </c>
      <c r="M9" s="47" t="str">
        <f t="shared" si="4"/>
        <v/>
      </c>
      <c r="N9" s="47" t="str">
        <f t="shared" si="5"/>
        <v/>
      </c>
      <c r="O9" s="47" t="str">
        <f t="shared" si="6"/>
        <v>Within Tolerance</v>
      </c>
    </row>
    <row r="10" spans="1:15" s="9" customFormat="1" x14ac:dyDescent="0.3">
      <c r="A10" s="166">
        <v>46144</v>
      </c>
      <c r="B10" s="61">
        <v>46144.180555555598</v>
      </c>
      <c r="C10" s="138">
        <f t="shared" si="0"/>
        <v>46144.180555555598</v>
      </c>
      <c r="D10" s="19" t="s">
        <v>18</v>
      </c>
      <c r="E10" s="8" t="s">
        <v>14</v>
      </c>
      <c r="F10" s="7" t="s">
        <v>11</v>
      </c>
      <c r="G10" s="13" t="s">
        <v>93</v>
      </c>
      <c r="H10" s="105">
        <v>13.3</v>
      </c>
      <c r="I10" s="44">
        <v>13.3</v>
      </c>
      <c r="J10" s="11" t="str">
        <f t="shared" si="1"/>
        <v/>
      </c>
      <c r="K10" s="12" t="str">
        <f t="shared" si="2"/>
        <v/>
      </c>
      <c r="L10" s="125">
        <f t="shared" si="3"/>
        <v>0</v>
      </c>
      <c r="M10" s="47" t="str">
        <f t="shared" si="4"/>
        <v/>
      </c>
      <c r="N10" s="47" t="str">
        <f t="shared" si="5"/>
        <v/>
      </c>
      <c r="O10" s="47" t="str">
        <f t="shared" si="6"/>
        <v>Within Tolerance</v>
      </c>
    </row>
    <row r="11" spans="1:15" s="9" customFormat="1" x14ac:dyDescent="0.3">
      <c r="A11" s="167">
        <v>46144</v>
      </c>
      <c r="B11" s="61">
        <v>46144.25</v>
      </c>
      <c r="C11" s="138">
        <f t="shared" si="0"/>
        <v>46144.25</v>
      </c>
      <c r="D11" s="19" t="s">
        <v>18</v>
      </c>
      <c r="E11" s="8" t="s">
        <v>14</v>
      </c>
      <c r="F11" s="7" t="s">
        <v>11</v>
      </c>
      <c r="G11" s="13" t="s">
        <v>93</v>
      </c>
      <c r="H11" s="105">
        <v>13.9</v>
      </c>
      <c r="I11" s="44">
        <v>14</v>
      </c>
      <c r="J11" s="11" t="str">
        <f t="shared" si="1"/>
        <v/>
      </c>
      <c r="K11" s="12" t="str">
        <f t="shared" si="2"/>
        <v/>
      </c>
      <c r="L11" s="125">
        <f t="shared" si="3"/>
        <v>9.9999999999999645E-2</v>
      </c>
      <c r="M11" s="47" t="str">
        <f t="shared" si="4"/>
        <v/>
      </c>
      <c r="N11" s="47" t="str">
        <f t="shared" si="5"/>
        <v/>
      </c>
      <c r="O11" s="47" t="str">
        <f t="shared" si="6"/>
        <v>Within Tolerance</v>
      </c>
    </row>
    <row r="12" spans="1:15" s="9" customFormat="1" x14ac:dyDescent="0.3">
      <c r="A12" s="166">
        <v>46143</v>
      </c>
      <c r="B12" s="61">
        <v>46143.75</v>
      </c>
      <c r="C12" s="138">
        <f t="shared" si="0"/>
        <v>46143.75</v>
      </c>
      <c r="D12" s="19" t="s">
        <v>29</v>
      </c>
      <c r="E12" s="8" t="s">
        <v>10</v>
      </c>
      <c r="F12" s="7" t="s">
        <v>15</v>
      </c>
      <c r="G12" s="13" t="s">
        <v>93</v>
      </c>
      <c r="H12" s="105">
        <v>14.2</v>
      </c>
      <c r="I12" s="18" t="s">
        <v>93</v>
      </c>
      <c r="J12" s="11" t="str">
        <f t="shared" si="1"/>
        <v/>
      </c>
      <c r="K12" s="12" t="str">
        <f t="shared" si="2"/>
        <v/>
      </c>
      <c r="L12" s="125" t="str">
        <f t="shared" si="3"/>
        <v/>
      </c>
      <c r="M12" s="47" t="str">
        <f t="shared" si="4"/>
        <v/>
      </c>
      <c r="N12" s="47" t="str">
        <f t="shared" si="5"/>
        <v/>
      </c>
      <c r="O12" s="47" t="str">
        <f t="shared" si="6"/>
        <v/>
      </c>
    </row>
    <row r="13" spans="1:15" s="9" customFormat="1" x14ac:dyDescent="0.3">
      <c r="A13" s="167">
        <v>46143</v>
      </c>
      <c r="B13" s="61">
        <v>46143.767361111102</v>
      </c>
      <c r="C13" s="138">
        <f t="shared" si="0"/>
        <v>46143.767361111102</v>
      </c>
      <c r="D13" s="19" t="s">
        <v>29</v>
      </c>
      <c r="E13" s="8" t="s">
        <v>10</v>
      </c>
      <c r="F13" s="7" t="s">
        <v>15</v>
      </c>
      <c r="G13" s="13" t="s">
        <v>93</v>
      </c>
      <c r="H13" s="105">
        <v>14.2</v>
      </c>
      <c r="I13" s="18" t="s">
        <v>93</v>
      </c>
      <c r="J13" s="11" t="str">
        <f t="shared" si="1"/>
        <v/>
      </c>
      <c r="K13" s="12" t="str">
        <f t="shared" si="2"/>
        <v/>
      </c>
      <c r="L13" s="125" t="str">
        <f t="shared" si="3"/>
        <v/>
      </c>
      <c r="M13" s="47" t="str">
        <f t="shared" si="4"/>
        <v/>
      </c>
      <c r="N13" s="47" t="str">
        <f t="shared" si="5"/>
        <v/>
      </c>
      <c r="O13" s="47" t="str">
        <f t="shared" si="6"/>
        <v/>
      </c>
    </row>
    <row r="14" spans="1:15" s="9" customFormat="1" x14ac:dyDescent="0.3">
      <c r="A14" s="166">
        <v>46143</v>
      </c>
      <c r="B14" s="61">
        <v>46143.78125</v>
      </c>
      <c r="C14" s="138">
        <f t="shared" si="0"/>
        <v>46143.78125</v>
      </c>
      <c r="D14" s="19" t="s">
        <v>29</v>
      </c>
      <c r="E14" s="8" t="s">
        <v>10</v>
      </c>
      <c r="F14" s="7" t="s">
        <v>15</v>
      </c>
      <c r="G14" s="13" t="s">
        <v>93</v>
      </c>
      <c r="H14" s="105">
        <v>14.2</v>
      </c>
      <c r="I14" s="18">
        <v>14.1</v>
      </c>
      <c r="J14" s="11" t="str">
        <f t="shared" si="1"/>
        <v/>
      </c>
      <c r="K14" s="12" t="str">
        <f t="shared" si="2"/>
        <v/>
      </c>
      <c r="L14" s="125">
        <f t="shared" si="3"/>
        <v>-9.9999999999999645E-2</v>
      </c>
      <c r="M14" s="47" t="str">
        <f t="shared" si="4"/>
        <v/>
      </c>
      <c r="N14" s="47" t="str">
        <f t="shared" si="5"/>
        <v/>
      </c>
      <c r="O14" s="47" t="str">
        <f t="shared" si="6"/>
        <v>Within Tolerance</v>
      </c>
    </row>
    <row r="15" spans="1:15" s="9" customFormat="1" x14ac:dyDescent="0.3">
      <c r="A15" s="167">
        <v>46143</v>
      </c>
      <c r="B15" s="61">
        <v>46143.833333333299</v>
      </c>
      <c r="C15" s="138">
        <f t="shared" si="0"/>
        <v>46143.833333333299</v>
      </c>
      <c r="D15" s="19" t="s">
        <v>29</v>
      </c>
      <c r="E15" s="8" t="s">
        <v>10</v>
      </c>
      <c r="F15" s="7" t="s">
        <v>15</v>
      </c>
      <c r="G15" s="8">
        <v>13.88</v>
      </c>
      <c r="H15" s="105">
        <v>14.1</v>
      </c>
      <c r="I15" s="44">
        <v>14</v>
      </c>
      <c r="J15" s="11">
        <f t="shared" si="1"/>
        <v>0.21999999999999886</v>
      </c>
      <c r="K15" s="12">
        <f t="shared" si="2"/>
        <v>0.11999999999999922</v>
      </c>
      <c r="L15" s="125">
        <f t="shared" si="3"/>
        <v>-9.9999999999999645E-2</v>
      </c>
      <c r="M15" s="47" t="str">
        <f t="shared" si="4"/>
        <v>Out of Tolerance</v>
      </c>
      <c r="N15" s="47" t="str">
        <f t="shared" si="5"/>
        <v>Within Tolerance</v>
      </c>
      <c r="O15" s="47" t="str">
        <f t="shared" si="6"/>
        <v>Within Tolerance</v>
      </c>
    </row>
    <row r="16" spans="1:15" s="9" customFormat="1" x14ac:dyDescent="0.3">
      <c r="A16" s="166">
        <v>46143</v>
      </c>
      <c r="B16" s="61">
        <v>46143.916666666701</v>
      </c>
      <c r="C16" s="138">
        <f t="shared" si="0"/>
        <v>46143.916666666701</v>
      </c>
      <c r="D16" s="19" t="s">
        <v>29</v>
      </c>
      <c r="E16" s="8" t="s">
        <v>10</v>
      </c>
      <c r="F16" s="7" t="s">
        <v>15</v>
      </c>
      <c r="G16" s="13" t="s">
        <v>93</v>
      </c>
      <c r="H16" s="105">
        <v>14.2</v>
      </c>
      <c r="I16" s="44">
        <v>14.2</v>
      </c>
      <c r="J16" s="11" t="str">
        <f t="shared" si="1"/>
        <v/>
      </c>
      <c r="K16" s="12" t="str">
        <f t="shared" si="2"/>
        <v/>
      </c>
      <c r="L16" s="125">
        <f t="shared" si="3"/>
        <v>0</v>
      </c>
      <c r="M16" s="47" t="str">
        <f t="shared" si="4"/>
        <v/>
      </c>
      <c r="N16" s="47" t="str">
        <f t="shared" si="5"/>
        <v/>
      </c>
      <c r="O16" s="47" t="str">
        <f t="shared" si="6"/>
        <v>Within Tolerance</v>
      </c>
    </row>
    <row r="17" spans="1:15" s="9" customFormat="1" x14ac:dyDescent="0.3">
      <c r="A17" s="167">
        <v>46144</v>
      </c>
      <c r="B17" s="61">
        <v>46144</v>
      </c>
      <c r="C17" s="138">
        <f t="shared" si="0"/>
        <v>46144</v>
      </c>
      <c r="D17" s="19" t="s">
        <v>29</v>
      </c>
      <c r="E17" s="8" t="s">
        <v>10</v>
      </c>
      <c r="F17" s="7" t="s">
        <v>15</v>
      </c>
      <c r="G17" s="13" t="s">
        <v>93</v>
      </c>
      <c r="H17" s="105">
        <v>14.2</v>
      </c>
      <c r="I17" s="44">
        <v>14.2</v>
      </c>
      <c r="J17" s="11" t="str">
        <f t="shared" si="1"/>
        <v/>
      </c>
      <c r="K17" s="12" t="str">
        <f t="shared" si="2"/>
        <v/>
      </c>
      <c r="L17" s="125">
        <f t="shared" si="3"/>
        <v>0</v>
      </c>
      <c r="M17" s="47" t="str">
        <f t="shared" si="4"/>
        <v/>
      </c>
      <c r="N17" s="47" t="str">
        <f t="shared" si="5"/>
        <v/>
      </c>
      <c r="O17" s="47" t="str">
        <f t="shared" si="6"/>
        <v>Within Tolerance</v>
      </c>
    </row>
    <row r="18" spans="1:15" s="9" customFormat="1" x14ac:dyDescent="0.3">
      <c r="A18" s="166">
        <v>46144</v>
      </c>
      <c r="B18" s="61">
        <v>46144.083333333299</v>
      </c>
      <c r="C18" s="138">
        <f t="shared" si="0"/>
        <v>46144.083333333299</v>
      </c>
      <c r="D18" s="19" t="s">
        <v>29</v>
      </c>
      <c r="E18" s="8" t="s">
        <v>10</v>
      </c>
      <c r="F18" s="7" t="s">
        <v>15</v>
      </c>
      <c r="G18" s="13" t="s">
        <v>93</v>
      </c>
      <c r="H18" s="105">
        <v>14</v>
      </c>
      <c r="I18" s="44">
        <v>14.2</v>
      </c>
      <c r="J18" s="11" t="str">
        <f t="shared" si="1"/>
        <v/>
      </c>
      <c r="K18" s="12" t="str">
        <f t="shared" si="2"/>
        <v/>
      </c>
      <c r="L18" s="125">
        <f t="shared" si="3"/>
        <v>0.19999999999999929</v>
      </c>
      <c r="M18" s="47" t="str">
        <f t="shared" si="4"/>
        <v/>
      </c>
      <c r="N18" s="47" t="str">
        <f t="shared" si="5"/>
        <v/>
      </c>
      <c r="O18" s="47" t="str">
        <f t="shared" si="6"/>
        <v>Within Tolerance</v>
      </c>
    </row>
    <row r="19" spans="1:15" s="9" customFormat="1" x14ac:dyDescent="0.3">
      <c r="A19" s="167">
        <v>46144</v>
      </c>
      <c r="B19" s="61">
        <v>46144.166666666701</v>
      </c>
      <c r="C19" s="138">
        <f t="shared" si="0"/>
        <v>46144.166666666701</v>
      </c>
      <c r="D19" s="19" t="s">
        <v>29</v>
      </c>
      <c r="E19" s="8" t="s">
        <v>10</v>
      </c>
      <c r="F19" s="7" t="s">
        <v>15</v>
      </c>
      <c r="G19" s="13" t="s">
        <v>93</v>
      </c>
      <c r="H19" s="105">
        <v>14.1</v>
      </c>
      <c r="I19" s="44">
        <v>13.7</v>
      </c>
      <c r="J19" s="11" t="str">
        <f t="shared" si="1"/>
        <v/>
      </c>
      <c r="K19" s="12" t="str">
        <f t="shared" si="2"/>
        <v/>
      </c>
      <c r="L19" s="125">
        <f t="shared" si="3"/>
        <v>-0.40000000000000036</v>
      </c>
      <c r="M19" s="47" t="str">
        <f t="shared" si="4"/>
        <v/>
      </c>
      <c r="N19" s="47" t="str">
        <f t="shared" si="5"/>
        <v/>
      </c>
      <c r="O19" s="47" t="str">
        <f t="shared" si="6"/>
        <v>Out of Tolerance</v>
      </c>
    </row>
    <row r="20" spans="1:15" s="9" customFormat="1" x14ac:dyDescent="0.3">
      <c r="A20" s="166">
        <v>46144</v>
      </c>
      <c r="B20" s="61">
        <v>46144.222222222197</v>
      </c>
      <c r="C20" s="138">
        <f t="shared" si="0"/>
        <v>46144.222222222197</v>
      </c>
      <c r="D20" s="19" t="s">
        <v>52</v>
      </c>
      <c r="E20" s="8" t="s">
        <v>17</v>
      </c>
      <c r="F20" s="7" t="s">
        <v>15</v>
      </c>
      <c r="G20" s="13" t="s">
        <v>93</v>
      </c>
      <c r="H20" s="105">
        <v>13.9</v>
      </c>
      <c r="I20" s="44">
        <v>13.9</v>
      </c>
      <c r="J20" s="11" t="str">
        <f t="shared" si="1"/>
        <v/>
      </c>
      <c r="K20" s="12" t="str">
        <f t="shared" si="2"/>
        <v/>
      </c>
      <c r="L20" s="125">
        <f t="shared" si="3"/>
        <v>0</v>
      </c>
      <c r="M20" s="47" t="str">
        <f t="shared" si="4"/>
        <v/>
      </c>
      <c r="N20" s="47" t="str">
        <f t="shared" si="5"/>
        <v/>
      </c>
      <c r="O20" s="47" t="str">
        <f t="shared" si="6"/>
        <v>Within Tolerance</v>
      </c>
    </row>
    <row r="21" spans="1:15" s="9" customFormat="1" x14ac:dyDescent="0.3">
      <c r="A21" s="167">
        <v>46144</v>
      </c>
      <c r="B21" s="61">
        <v>46144.270833333299</v>
      </c>
      <c r="C21" s="138">
        <f t="shared" si="0"/>
        <v>46144.270833333299</v>
      </c>
      <c r="D21" s="19" t="s">
        <v>52</v>
      </c>
      <c r="E21" s="8" t="s">
        <v>17</v>
      </c>
      <c r="F21" s="7" t="s">
        <v>15</v>
      </c>
      <c r="G21" s="13" t="s">
        <v>93</v>
      </c>
      <c r="H21" s="105">
        <v>14.2</v>
      </c>
      <c r="I21" s="44">
        <v>14.2</v>
      </c>
      <c r="J21" s="11" t="str">
        <f t="shared" si="1"/>
        <v/>
      </c>
      <c r="K21" s="12" t="str">
        <f t="shared" si="2"/>
        <v/>
      </c>
      <c r="L21" s="125">
        <f t="shared" si="3"/>
        <v>0</v>
      </c>
      <c r="M21" s="47" t="str">
        <f t="shared" si="4"/>
        <v/>
      </c>
      <c r="N21" s="47" t="str">
        <f t="shared" si="5"/>
        <v/>
      </c>
      <c r="O21" s="47" t="str">
        <f t="shared" si="6"/>
        <v>Within Tolerance</v>
      </c>
    </row>
    <row r="22" spans="1:15" s="9" customFormat="1" x14ac:dyDescent="0.3">
      <c r="A22" s="166">
        <v>46143</v>
      </c>
      <c r="B22" s="61">
        <v>46143.399305555598</v>
      </c>
      <c r="C22" s="139">
        <f t="shared" si="0"/>
        <v>46143.399305555598</v>
      </c>
      <c r="D22" s="24" t="s">
        <v>21</v>
      </c>
      <c r="E22" s="8" t="s">
        <v>10</v>
      </c>
      <c r="F22" s="7" t="s">
        <v>19</v>
      </c>
      <c r="G22" s="13" t="s">
        <v>93</v>
      </c>
      <c r="H22" s="105">
        <v>13.8</v>
      </c>
      <c r="I22" s="44">
        <v>13.8</v>
      </c>
      <c r="J22" s="11" t="str">
        <f t="shared" si="1"/>
        <v/>
      </c>
      <c r="K22" s="12" t="str">
        <f t="shared" si="2"/>
        <v/>
      </c>
      <c r="L22" s="125">
        <f t="shared" si="3"/>
        <v>0</v>
      </c>
      <c r="M22" s="47" t="str">
        <f t="shared" si="4"/>
        <v/>
      </c>
      <c r="N22" s="47" t="str">
        <f t="shared" si="5"/>
        <v/>
      </c>
      <c r="O22" s="47" t="str">
        <f t="shared" si="6"/>
        <v>Within Tolerance</v>
      </c>
    </row>
    <row r="23" spans="1:15" s="9" customFormat="1" x14ac:dyDescent="0.3">
      <c r="A23" s="167">
        <v>46143</v>
      </c>
      <c r="B23" s="61">
        <v>46143.444444444402</v>
      </c>
      <c r="C23" s="139">
        <f t="shared" si="0"/>
        <v>46143.444444444402</v>
      </c>
      <c r="D23" s="23" t="s">
        <v>51</v>
      </c>
      <c r="E23" s="8" t="s">
        <v>10</v>
      </c>
      <c r="F23" s="7" t="s">
        <v>24</v>
      </c>
      <c r="G23" s="13" t="s">
        <v>93</v>
      </c>
      <c r="H23" s="105">
        <v>13.7</v>
      </c>
      <c r="I23" s="44">
        <v>13.7</v>
      </c>
      <c r="J23" s="11" t="str">
        <f t="shared" si="1"/>
        <v/>
      </c>
      <c r="K23" s="12" t="str">
        <f t="shared" si="2"/>
        <v/>
      </c>
      <c r="L23" s="125">
        <f t="shared" si="3"/>
        <v>0</v>
      </c>
      <c r="M23" s="47" t="str">
        <f t="shared" si="4"/>
        <v/>
      </c>
      <c r="N23" s="47" t="str">
        <f t="shared" si="5"/>
        <v/>
      </c>
      <c r="O23" s="47" t="str">
        <f t="shared" si="6"/>
        <v>Within Tolerance</v>
      </c>
    </row>
    <row r="24" spans="1:15" s="9" customFormat="1" x14ac:dyDescent="0.3">
      <c r="A24" s="166">
        <v>46143</v>
      </c>
      <c r="B24" s="61">
        <v>46143.486111111102</v>
      </c>
      <c r="C24" s="139">
        <f t="shared" si="0"/>
        <v>46143.486111111102</v>
      </c>
      <c r="D24" s="23" t="s">
        <v>50</v>
      </c>
      <c r="E24" s="8" t="s">
        <v>10</v>
      </c>
      <c r="F24" s="7" t="s">
        <v>24</v>
      </c>
      <c r="G24" s="13" t="s">
        <v>93</v>
      </c>
      <c r="H24" s="105">
        <v>13.6</v>
      </c>
      <c r="I24" s="44">
        <v>13.7</v>
      </c>
      <c r="J24" s="11" t="str">
        <f t="shared" si="1"/>
        <v/>
      </c>
      <c r="K24" s="12" t="str">
        <f t="shared" si="2"/>
        <v/>
      </c>
      <c r="L24" s="125">
        <f t="shared" si="3"/>
        <v>9.9999999999999645E-2</v>
      </c>
      <c r="M24" s="47" t="str">
        <f t="shared" si="4"/>
        <v/>
      </c>
      <c r="N24" s="47" t="str">
        <f t="shared" si="5"/>
        <v/>
      </c>
      <c r="O24" s="47" t="str">
        <f t="shared" si="6"/>
        <v>Within Tolerance</v>
      </c>
    </row>
    <row r="25" spans="1:15" s="9" customFormat="1" x14ac:dyDescent="0.3">
      <c r="A25" s="167">
        <v>46143</v>
      </c>
      <c r="B25" s="61">
        <v>46143.715277777803</v>
      </c>
      <c r="C25" s="139">
        <f t="shared" si="0"/>
        <v>46143.715277777803</v>
      </c>
      <c r="D25" s="23" t="s">
        <v>33</v>
      </c>
      <c r="E25" s="8" t="s">
        <v>17</v>
      </c>
      <c r="F25" s="7" t="s">
        <v>24</v>
      </c>
      <c r="G25" s="8">
        <v>13.06</v>
      </c>
      <c r="H25" s="105">
        <v>13.1</v>
      </c>
      <c r="I25" s="44">
        <v>13.1</v>
      </c>
      <c r="J25" s="11">
        <f t="shared" si="1"/>
        <v>3.9999999999999147E-2</v>
      </c>
      <c r="K25" s="12">
        <f t="shared" si="2"/>
        <v>3.9999999999999147E-2</v>
      </c>
      <c r="L25" s="125">
        <f t="shared" si="3"/>
        <v>0</v>
      </c>
      <c r="M25" s="47" t="str">
        <f t="shared" si="4"/>
        <v>Within Tolerance</v>
      </c>
      <c r="N25" s="47" t="str">
        <f t="shared" si="5"/>
        <v>Within Tolerance</v>
      </c>
      <c r="O25" s="47" t="str">
        <f t="shared" si="6"/>
        <v>Within Tolerance</v>
      </c>
    </row>
    <row r="26" spans="1:15" s="9" customFormat="1" x14ac:dyDescent="0.3">
      <c r="A26" s="166">
        <v>46143</v>
      </c>
      <c r="B26" s="61">
        <v>46143.833333333299</v>
      </c>
      <c r="C26" s="139">
        <f t="shared" si="0"/>
        <v>46143.833333333299</v>
      </c>
      <c r="D26" s="23" t="s">
        <v>51</v>
      </c>
      <c r="E26" s="8" t="s">
        <v>10</v>
      </c>
      <c r="F26" s="7" t="s">
        <v>24</v>
      </c>
      <c r="G26" s="13" t="s">
        <v>93</v>
      </c>
      <c r="H26" s="105">
        <v>13.9</v>
      </c>
      <c r="I26" s="44">
        <v>13.7</v>
      </c>
      <c r="J26" s="11" t="str">
        <f t="shared" si="1"/>
        <v/>
      </c>
      <c r="K26" s="12" t="str">
        <f t="shared" si="2"/>
        <v/>
      </c>
      <c r="L26" s="125">
        <f t="shared" si="3"/>
        <v>-0.20000000000000107</v>
      </c>
      <c r="M26" s="47" t="str">
        <f t="shared" si="4"/>
        <v/>
      </c>
      <c r="N26" s="47" t="str">
        <f t="shared" si="5"/>
        <v/>
      </c>
      <c r="O26" s="47" t="str">
        <f t="shared" si="6"/>
        <v>Out of Tolerance</v>
      </c>
    </row>
    <row r="27" spans="1:15" s="9" customFormat="1" x14ac:dyDescent="0.3">
      <c r="A27" s="167">
        <v>46144</v>
      </c>
      <c r="B27" s="61">
        <v>46144.333333333299</v>
      </c>
      <c r="C27" s="138">
        <f t="shared" si="0"/>
        <v>46144.333333333299</v>
      </c>
      <c r="D27" s="19" t="s">
        <v>18</v>
      </c>
      <c r="E27" s="8" t="s">
        <v>14</v>
      </c>
      <c r="F27" s="7" t="s">
        <v>11</v>
      </c>
      <c r="G27" s="8">
        <v>13.78</v>
      </c>
      <c r="H27" s="105">
        <v>13.8</v>
      </c>
      <c r="I27" s="44">
        <v>13.9</v>
      </c>
      <c r="J27" s="11">
        <f t="shared" si="1"/>
        <v>2.000000000000135E-2</v>
      </c>
      <c r="K27" s="12">
        <f t="shared" si="2"/>
        <v>0.12000000000000099</v>
      </c>
      <c r="L27" s="125">
        <f t="shared" si="3"/>
        <v>9.9999999999999645E-2</v>
      </c>
      <c r="M27" s="47" t="str">
        <f t="shared" si="4"/>
        <v>Within Tolerance</v>
      </c>
      <c r="N27" s="47" t="str">
        <f t="shared" si="5"/>
        <v>Within Tolerance</v>
      </c>
      <c r="O27" s="47" t="str">
        <f t="shared" si="6"/>
        <v>Within Tolerance</v>
      </c>
    </row>
    <row r="28" spans="1:15" s="9" customFormat="1" x14ac:dyDescent="0.3">
      <c r="A28" s="166">
        <v>46144</v>
      </c>
      <c r="B28" s="61">
        <v>46144.416666666701</v>
      </c>
      <c r="C28" s="138">
        <f t="shared" si="0"/>
        <v>46144.416666666701</v>
      </c>
      <c r="D28" s="19" t="s">
        <v>18</v>
      </c>
      <c r="E28" s="8" t="s">
        <v>14</v>
      </c>
      <c r="F28" s="7" t="s">
        <v>11</v>
      </c>
      <c r="G28" s="13" t="s">
        <v>93</v>
      </c>
      <c r="H28" s="105">
        <v>13.7</v>
      </c>
      <c r="I28" s="18" t="s">
        <v>93</v>
      </c>
      <c r="J28" s="11" t="str">
        <f t="shared" si="1"/>
        <v/>
      </c>
      <c r="K28" s="12" t="str">
        <f t="shared" si="2"/>
        <v/>
      </c>
      <c r="L28" s="125" t="str">
        <f t="shared" si="3"/>
        <v/>
      </c>
      <c r="M28" s="47" t="str">
        <f t="shared" si="4"/>
        <v/>
      </c>
      <c r="N28" s="47" t="str">
        <f t="shared" si="5"/>
        <v/>
      </c>
      <c r="O28" s="47" t="str">
        <f t="shared" si="6"/>
        <v/>
      </c>
    </row>
    <row r="29" spans="1:15" s="9" customFormat="1" x14ac:dyDescent="0.3">
      <c r="A29" s="167">
        <v>46144</v>
      </c>
      <c r="B29" s="61">
        <v>46144.5</v>
      </c>
      <c r="C29" s="138">
        <f t="shared" si="0"/>
        <v>46144.5</v>
      </c>
      <c r="D29" s="19" t="s">
        <v>18</v>
      </c>
      <c r="E29" s="8" t="s">
        <v>14</v>
      </c>
      <c r="F29" s="7" t="s">
        <v>11</v>
      </c>
      <c r="G29" s="13" t="s">
        <v>93</v>
      </c>
      <c r="H29" s="105">
        <v>13.7</v>
      </c>
      <c r="I29" s="44">
        <v>13.8</v>
      </c>
      <c r="J29" s="11" t="str">
        <f t="shared" si="1"/>
        <v/>
      </c>
      <c r="K29" s="12" t="str">
        <f t="shared" si="2"/>
        <v/>
      </c>
      <c r="L29" s="125">
        <f t="shared" si="3"/>
        <v>0.10000000000000142</v>
      </c>
      <c r="M29" s="47" t="str">
        <f t="shared" si="4"/>
        <v/>
      </c>
      <c r="N29" s="47" t="str">
        <f t="shared" si="5"/>
        <v/>
      </c>
      <c r="O29" s="47" t="str">
        <f t="shared" si="6"/>
        <v>Within Tolerance</v>
      </c>
    </row>
    <row r="30" spans="1:15" s="9" customFormat="1" x14ac:dyDescent="0.3">
      <c r="A30" s="166">
        <v>46144</v>
      </c>
      <c r="B30" s="61">
        <v>46144.583333333299</v>
      </c>
      <c r="C30" s="138">
        <f t="shared" si="0"/>
        <v>46144.583333333299</v>
      </c>
      <c r="D30" s="19" t="s">
        <v>18</v>
      </c>
      <c r="E30" s="8" t="s">
        <v>14</v>
      </c>
      <c r="F30" s="7" t="s">
        <v>11</v>
      </c>
      <c r="G30" s="13" t="s">
        <v>93</v>
      </c>
      <c r="H30" s="105">
        <v>13.6</v>
      </c>
      <c r="I30" s="44">
        <v>13.7</v>
      </c>
      <c r="J30" s="11" t="str">
        <f t="shared" si="1"/>
        <v/>
      </c>
      <c r="K30" s="12" t="str">
        <f t="shared" si="2"/>
        <v/>
      </c>
      <c r="L30" s="125">
        <f t="shared" si="3"/>
        <v>9.9999999999999645E-2</v>
      </c>
      <c r="M30" s="47" t="str">
        <f t="shared" si="4"/>
        <v/>
      </c>
      <c r="N30" s="47" t="str">
        <f t="shared" si="5"/>
        <v/>
      </c>
      <c r="O30" s="47" t="str">
        <f t="shared" si="6"/>
        <v>Within Tolerance</v>
      </c>
    </row>
    <row r="31" spans="1:15" s="9" customFormat="1" x14ac:dyDescent="0.3">
      <c r="A31" s="167">
        <v>46144</v>
      </c>
      <c r="B31" s="61">
        <v>46144.673611111102</v>
      </c>
      <c r="C31" s="138">
        <f t="shared" si="0"/>
        <v>46144.673611111102</v>
      </c>
      <c r="D31" s="19" t="s">
        <v>18</v>
      </c>
      <c r="E31" s="8" t="s">
        <v>14</v>
      </c>
      <c r="F31" s="7" t="s">
        <v>11</v>
      </c>
      <c r="G31" s="13" t="s">
        <v>93</v>
      </c>
      <c r="H31" s="105">
        <v>13.7</v>
      </c>
      <c r="I31" s="44">
        <v>13.7</v>
      </c>
      <c r="J31" s="11" t="str">
        <f t="shared" si="1"/>
        <v/>
      </c>
      <c r="K31" s="12" t="str">
        <f t="shared" si="2"/>
        <v/>
      </c>
      <c r="L31" s="125">
        <f t="shared" si="3"/>
        <v>0</v>
      </c>
      <c r="M31" s="47" t="str">
        <f t="shared" si="4"/>
        <v/>
      </c>
      <c r="N31" s="47" t="str">
        <f t="shared" si="5"/>
        <v/>
      </c>
      <c r="O31" s="47" t="str">
        <f t="shared" si="6"/>
        <v>Within Tolerance</v>
      </c>
    </row>
    <row r="32" spans="1:15" s="9" customFormat="1" x14ac:dyDescent="0.3">
      <c r="A32" s="166">
        <v>46144</v>
      </c>
      <c r="B32" s="61">
        <v>46144.75</v>
      </c>
      <c r="C32" s="138">
        <f t="shared" si="0"/>
        <v>46144.75</v>
      </c>
      <c r="D32" s="19" t="s">
        <v>18</v>
      </c>
      <c r="E32" s="8" t="s">
        <v>14</v>
      </c>
      <c r="F32" s="7" t="s">
        <v>11</v>
      </c>
      <c r="G32" s="13" t="s">
        <v>93</v>
      </c>
      <c r="H32" s="105">
        <v>13.8</v>
      </c>
      <c r="I32" s="44">
        <v>13.9</v>
      </c>
      <c r="J32" s="11" t="str">
        <f t="shared" si="1"/>
        <v/>
      </c>
      <c r="K32" s="12" t="str">
        <f t="shared" si="2"/>
        <v/>
      </c>
      <c r="L32" s="125">
        <f t="shared" si="3"/>
        <v>9.9999999999999645E-2</v>
      </c>
      <c r="M32" s="47" t="str">
        <f t="shared" si="4"/>
        <v/>
      </c>
      <c r="N32" s="47" t="str">
        <f t="shared" si="5"/>
        <v/>
      </c>
      <c r="O32" s="47" t="str">
        <f t="shared" si="6"/>
        <v>Within Tolerance</v>
      </c>
    </row>
    <row r="33" spans="1:15" s="9" customFormat="1" x14ac:dyDescent="0.3">
      <c r="A33" s="167">
        <v>46144</v>
      </c>
      <c r="B33" s="61">
        <v>46144.833333333299</v>
      </c>
      <c r="C33" s="138">
        <f t="shared" si="0"/>
        <v>46144.833333333299</v>
      </c>
      <c r="D33" s="19" t="s">
        <v>18</v>
      </c>
      <c r="E33" s="8" t="s">
        <v>14</v>
      </c>
      <c r="F33" s="7" t="s">
        <v>11</v>
      </c>
      <c r="G33" s="13" t="s">
        <v>93</v>
      </c>
      <c r="H33" s="105">
        <v>13.8</v>
      </c>
      <c r="I33" s="44">
        <v>13.8</v>
      </c>
      <c r="J33" s="11" t="str">
        <f t="shared" si="1"/>
        <v/>
      </c>
      <c r="K33" s="12" t="str">
        <f t="shared" si="2"/>
        <v/>
      </c>
      <c r="L33" s="125">
        <f t="shared" si="3"/>
        <v>0</v>
      </c>
      <c r="M33" s="47" t="str">
        <f t="shared" si="4"/>
        <v/>
      </c>
      <c r="N33" s="47" t="str">
        <f t="shared" si="5"/>
        <v/>
      </c>
      <c r="O33" s="47" t="str">
        <f t="shared" si="6"/>
        <v>Within Tolerance</v>
      </c>
    </row>
    <row r="34" spans="1:15" s="9" customFormat="1" x14ac:dyDescent="0.3">
      <c r="A34" s="166">
        <v>46144</v>
      </c>
      <c r="B34" s="61">
        <v>46144.909722222197</v>
      </c>
      <c r="C34" s="138">
        <f t="shared" si="0"/>
        <v>46144.909722222197</v>
      </c>
      <c r="D34" s="19" t="s">
        <v>41</v>
      </c>
      <c r="E34" s="8" t="s">
        <v>10</v>
      </c>
      <c r="F34" s="7" t="s">
        <v>11</v>
      </c>
      <c r="G34" s="13" t="s">
        <v>93</v>
      </c>
      <c r="H34" s="105">
        <v>14.1</v>
      </c>
      <c r="I34" s="18" t="s">
        <v>93</v>
      </c>
      <c r="J34" s="11" t="str">
        <f t="shared" si="1"/>
        <v/>
      </c>
      <c r="K34" s="12" t="str">
        <f t="shared" si="2"/>
        <v/>
      </c>
      <c r="L34" s="125" t="str">
        <f t="shared" si="3"/>
        <v/>
      </c>
      <c r="M34" s="47" t="str">
        <f t="shared" si="4"/>
        <v/>
      </c>
      <c r="N34" s="47" t="str">
        <f t="shared" si="5"/>
        <v/>
      </c>
      <c r="O34" s="47" t="str">
        <f t="shared" si="6"/>
        <v/>
      </c>
    </row>
    <row r="35" spans="1:15" s="9" customFormat="1" x14ac:dyDescent="0.3">
      <c r="A35" s="167">
        <v>46145</v>
      </c>
      <c r="B35" s="61">
        <v>46145</v>
      </c>
      <c r="C35" s="138">
        <f t="shared" si="0"/>
        <v>46145</v>
      </c>
      <c r="D35" s="19" t="s">
        <v>41</v>
      </c>
      <c r="E35" s="8" t="s">
        <v>10</v>
      </c>
      <c r="F35" s="7" t="s">
        <v>11</v>
      </c>
      <c r="G35" s="13" t="s">
        <v>93</v>
      </c>
      <c r="H35" s="105">
        <v>13.9</v>
      </c>
      <c r="I35" s="44">
        <v>14.2</v>
      </c>
      <c r="J35" s="11" t="str">
        <f t="shared" si="1"/>
        <v/>
      </c>
      <c r="K35" s="12" t="str">
        <f t="shared" si="2"/>
        <v/>
      </c>
      <c r="L35" s="125">
        <f t="shared" si="3"/>
        <v>0.29999999999999893</v>
      </c>
      <c r="M35" s="47" t="str">
        <f t="shared" si="4"/>
        <v/>
      </c>
      <c r="N35" s="47" t="str">
        <f t="shared" si="5"/>
        <v/>
      </c>
      <c r="O35" s="47" t="str">
        <f t="shared" si="6"/>
        <v>Out of Tolerance</v>
      </c>
    </row>
    <row r="36" spans="1:15" s="9" customFormat="1" x14ac:dyDescent="0.3">
      <c r="A36" s="166">
        <v>46145</v>
      </c>
      <c r="B36" s="61">
        <v>46145.083333333299</v>
      </c>
      <c r="C36" s="138">
        <f t="shared" si="0"/>
        <v>46145.083333333299</v>
      </c>
      <c r="D36" s="19" t="s">
        <v>41</v>
      </c>
      <c r="E36" s="8" t="s">
        <v>10</v>
      </c>
      <c r="F36" s="7" t="s">
        <v>11</v>
      </c>
      <c r="G36" s="13" t="s">
        <v>93</v>
      </c>
      <c r="H36" s="105">
        <v>13.9</v>
      </c>
      <c r="I36" s="18" t="s">
        <v>93</v>
      </c>
      <c r="J36" s="11" t="str">
        <f t="shared" si="1"/>
        <v/>
      </c>
      <c r="K36" s="12" t="str">
        <f t="shared" si="2"/>
        <v/>
      </c>
      <c r="L36" s="125" t="str">
        <f t="shared" si="3"/>
        <v/>
      </c>
      <c r="M36" s="47" t="str">
        <f t="shared" si="4"/>
        <v/>
      </c>
      <c r="N36" s="47" t="str">
        <f t="shared" si="5"/>
        <v/>
      </c>
      <c r="O36" s="47" t="str">
        <f t="shared" si="6"/>
        <v/>
      </c>
    </row>
    <row r="37" spans="1:15" s="9" customFormat="1" x14ac:dyDescent="0.3">
      <c r="A37" s="167">
        <v>46145</v>
      </c>
      <c r="B37" s="61">
        <v>46145.166666666701</v>
      </c>
      <c r="C37" s="138">
        <f t="shared" si="0"/>
        <v>46145.166666666701</v>
      </c>
      <c r="D37" s="19" t="s">
        <v>41</v>
      </c>
      <c r="E37" s="8" t="s">
        <v>10</v>
      </c>
      <c r="F37" s="7" t="s">
        <v>11</v>
      </c>
      <c r="G37" s="13" t="s">
        <v>93</v>
      </c>
      <c r="H37" s="105">
        <v>14.1</v>
      </c>
      <c r="I37" s="44">
        <v>14.2</v>
      </c>
      <c r="J37" s="11" t="str">
        <f t="shared" si="1"/>
        <v/>
      </c>
      <c r="K37" s="12" t="str">
        <f t="shared" si="2"/>
        <v/>
      </c>
      <c r="L37" s="125">
        <f t="shared" si="3"/>
        <v>9.9999999999999645E-2</v>
      </c>
      <c r="M37" s="47" t="str">
        <f t="shared" si="4"/>
        <v/>
      </c>
      <c r="N37" s="47" t="str">
        <f t="shared" si="5"/>
        <v/>
      </c>
      <c r="O37" s="47" t="str">
        <f t="shared" si="6"/>
        <v>Within Tolerance</v>
      </c>
    </row>
    <row r="38" spans="1:15" s="9" customFormat="1" x14ac:dyDescent="0.3">
      <c r="A38" s="166">
        <v>46145</v>
      </c>
      <c r="B38" s="61">
        <v>46145.25</v>
      </c>
      <c r="C38" s="138">
        <f t="shared" si="0"/>
        <v>46145.25</v>
      </c>
      <c r="D38" s="19" t="s">
        <v>41</v>
      </c>
      <c r="E38" s="8" t="s">
        <v>10</v>
      </c>
      <c r="F38" s="7" t="s">
        <v>11</v>
      </c>
      <c r="G38" s="13" t="s">
        <v>93</v>
      </c>
      <c r="H38" s="105">
        <v>14.1</v>
      </c>
      <c r="I38" s="44">
        <v>14.2</v>
      </c>
      <c r="J38" s="11" t="str">
        <f t="shared" si="1"/>
        <v/>
      </c>
      <c r="K38" s="12" t="str">
        <f t="shared" si="2"/>
        <v/>
      </c>
      <c r="L38" s="125">
        <f t="shared" si="3"/>
        <v>9.9999999999999645E-2</v>
      </c>
      <c r="M38" s="47" t="str">
        <f t="shared" si="4"/>
        <v/>
      </c>
      <c r="N38" s="47" t="str">
        <f t="shared" si="5"/>
        <v/>
      </c>
      <c r="O38" s="47" t="str">
        <f t="shared" si="6"/>
        <v>Within Tolerance</v>
      </c>
    </row>
    <row r="39" spans="1:15" s="9" customFormat="1" x14ac:dyDescent="0.3">
      <c r="A39" s="167">
        <v>46144</v>
      </c>
      <c r="B39" s="61">
        <v>46144.333333333299</v>
      </c>
      <c r="C39" s="138">
        <f t="shared" si="0"/>
        <v>46144.333333333299</v>
      </c>
      <c r="D39" s="19" t="s">
        <v>52</v>
      </c>
      <c r="E39" s="8" t="s">
        <v>17</v>
      </c>
      <c r="F39" s="7" t="s">
        <v>15</v>
      </c>
      <c r="G39" s="8">
        <v>14.06</v>
      </c>
      <c r="H39" s="105">
        <v>14.1</v>
      </c>
      <c r="I39" s="44">
        <v>14.1</v>
      </c>
      <c r="J39" s="11">
        <f t="shared" si="1"/>
        <v>3.9999999999999147E-2</v>
      </c>
      <c r="K39" s="12">
        <f t="shared" si="2"/>
        <v>3.9999999999999147E-2</v>
      </c>
      <c r="L39" s="125">
        <f t="shared" si="3"/>
        <v>0</v>
      </c>
      <c r="M39" s="47" t="str">
        <f t="shared" si="4"/>
        <v>Within Tolerance</v>
      </c>
      <c r="N39" s="47" t="str">
        <f t="shared" si="5"/>
        <v>Within Tolerance</v>
      </c>
      <c r="O39" s="47" t="str">
        <f t="shared" si="6"/>
        <v>Within Tolerance</v>
      </c>
    </row>
    <row r="40" spans="1:15" s="9" customFormat="1" x14ac:dyDescent="0.3">
      <c r="A40" s="166">
        <v>46144</v>
      </c>
      <c r="B40" s="61">
        <v>46144.388888888898</v>
      </c>
      <c r="C40" s="138">
        <f t="shared" si="0"/>
        <v>46144.388888888898</v>
      </c>
      <c r="D40" s="19" t="s">
        <v>41</v>
      </c>
      <c r="E40" s="8" t="s">
        <v>10</v>
      </c>
      <c r="F40" s="7" t="s">
        <v>15</v>
      </c>
      <c r="G40" s="13" t="s">
        <v>93</v>
      </c>
      <c r="H40" s="105">
        <v>13.9</v>
      </c>
      <c r="I40" s="44">
        <v>14</v>
      </c>
      <c r="J40" s="11" t="str">
        <f t="shared" si="1"/>
        <v/>
      </c>
      <c r="K40" s="12" t="str">
        <f t="shared" si="2"/>
        <v/>
      </c>
      <c r="L40" s="125">
        <f t="shared" si="3"/>
        <v>9.9999999999999645E-2</v>
      </c>
      <c r="M40" s="47" t="str">
        <f t="shared" si="4"/>
        <v/>
      </c>
      <c r="N40" s="47" t="str">
        <f t="shared" si="5"/>
        <v/>
      </c>
      <c r="O40" s="47" t="str">
        <f t="shared" si="6"/>
        <v>Within Tolerance</v>
      </c>
    </row>
    <row r="41" spans="1:15" s="9" customFormat="1" x14ac:dyDescent="0.3">
      <c r="A41" s="167">
        <v>46144</v>
      </c>
      <c r="B41" s="61">
        <v>46144.479166666701</v>
      </c>
      <c r="C41" s="138">
        <f t="shared" si="0"/>
        <v>46144.479166666701</v>
      </c>
      <c r="D41" s="19" t="s">
        <v>41</v>
      </c>
      <c r="E41" s="8" t="s">
        <v>10</v>
      </c>
      <c r="F41" s="7" t="s">
        <v>15</v>
      </c>
      <c r="G41" s="13" t="s">
        <v>93</v>
      </c>
      <c r="H41" s="105">
        <v>14.2</v>
      </c>
      <c r="I41" s="44">
        <v>14.3</v>
      </c>
      <c r="J41" s="11" t="str">
        <f t="shared" si="1"/>
        <v/>
      </c>
      <c r="K41" s="12" t="str">
        <f t="shared" si="2"/>
        <v/>
      </c>
      <c r="L41" s="125">
        <f t="shared" si="3"/>
        <v>0.10000000000000142</v>
      </c>
      <c r="M41" s="47" t="str">
        <f t="shared" si="4"/>
        <v/>
      </c>
      <c r="N41" s="47" t="str">
        <f t="shared" si="5"/>
        <v/>
      </c>
      <c r="O41" s="47" t="str">
        <f t="shared" si="6"/>
        <v>Within Tolerance</v>
      </c>
    </row>
    <row r="42" spans="1:15" s="9" customFormat="1" x14ac:dyDescent="0.3">
      <c r="A42" s="166">
        <v>46144</v>
      </c>
      <c r="B42" s="61">
        <v>46144.5625</v>
      </c>
      <c r="C42" s="138">
        <f t="shared" si="0"/>
        <v>46144.5625</v>
      </c>
      <c r="D42" s="19" t="s">
        <v>41</v>
      </c>
      <c r="E42" s="8" t="s">
        <v>10</v>
      </c>
      <c r="F42" s="7" t="s">
        <v>15</v>
      </c>
      <c r="G42" s="13" t="s">
        <v>93</v>
      </c>
      <c r="H42" s="105">
        <v>14.2</v>
      </c>
      <c r="I42" s="44">
        <v>14.1</v>
      </c>
      <c r="J42" s="11" t="str">
        <f t="shared" si="1"/>
        <v/>
      </c>
      <c r="K42" s="12" t="str">
        <f t="shared" si="2"/>
        <v/>
      </c>
      <c r="L42" s="125">
        <f t="shared" si="3"/>
        <v>-9.9999999999999645E-2</v>
      </c>
      <c r="M42" s="47" t="str">
        <f t="shared" si="4"/>
        <v/>
      </c>
      <c r="N42" s="47" t="str">
        <f t="shared" si="5"/>
        <v/>
      </c>
      <c r="O42" s="47" t="str">
        <f t="shared" si="6"/>
        <v>Within Tolerance</v>
      </c>
    </row>
    <row r="43" spans="1:15" s="9" customFormat="1" x14ac:dyDescent="0.3">
      <c r="A43" s="167">
        <v>46144</v>
      </c>
      <c r="B43" s="61">
        <v>46144.666666666701</v>
      </c>
      <c r="C43" s="138">
        <f t="shared" si="0"/>
        <v>46144.666666666701</v>
      </c>
      <c r="D43" s="19" t="s">
        <v>41</v>
      </c>
      <c r="E43" s="8" t="s">
        <v>10</v>
      </c>
      <c r="F43" s="7" t="s">
        <v>15</v>
      </c>
      <c r="G43" s="13" t="s">
        <v>93</v>
      </c>
      <c r="H43" s="105">
        <v>14.3</v>
      </c>
      <c r="I43" s="44">
        <v>14.2</v>
      </c>
      <c r="J43" s="11" t="str">
        <f t="shared" si="1"/>
        <v/>
      </c>
      <c r="K43" s="12" t="str">
        <f t="shared" si="2"/>
        <v/>
      </c>
      <c r="L43" s="125">
        <f t="shared" si="3"/>
        <v>-0.10000000000000142</v>
      </c>
      <c r="M43" s="47" t="str">
        <f t="shared" si="4"/>
        <v/>
      </c>
      <c r="N43" s="47" t="str">
        <f t="shared" si="5"/>
        <v/>
      </c>
      <c r="O43" s="47" t="str">
        <f t="shared" si="6"/>
        <v>Within Tolerance</v>
      </c>
    </row>
    <row r="44" spans="1:15" s="9" customFormat="1" x14ac:dyDescent="0.3">
      <c r="A44" s="166">
        <v>46144</v>
      </c>
      <c r="B44" s="61">
        <v>46144.75</v>
      </c>
      <c r="C44" s="138">
        <f t="shared" si="0"/>
        <v>46144.75</v>
      </c>
      <c r="D44" s="19" t="s">
        <v>41</v>
      </c>
      <c r="E44" s="8" t="s">
        <v>10</v>
      </c>
      <c r="F44" s="7" t="s">
        <v>15</v>
      </c>
      <c r="G44" s="13" t="s">
        <v>93</v>
      </c>
      <c r="H44" s="105">
        <v>14.2</v>
      </c>
      <c r="I44" s="44">
        <v>14.1</v>
      </c>
      <c r="J44" s="11" t="str">
        <f t="shared" si="1"/>
        <v/>
      </c>
      <c r="K44" s="12" t="str">
        <f t="shared" si="2"/>
        <v/>
      </c>
      <c r="L44" s="125">
        <f t="shared" si="3"/>
        <v>-9.9999999999999645E-2</v>
      </c>
      <c r="M44" s="47" t="str">
        <f t="shared" si="4"/>
        <v/>
      </c>
      <c r="N44" s="47" t="str">
        <f t="shared" si="5"/>
        <v/>
      </c>
      <c r="O44" s="47" t="str">
        <f t="shared" si="6"/>
        <v>Within Tolerance</v>
      </c>
    </row>
    <row r="45" spans="1:15" s="9" customFormat="1" x14ac:dyDescent="0.3">
      <c r="A45" s="167">
        <v>46144</v>
      </c>
      <c r="B45" s="61">
        <v>46144.829861111102</v>
      </c>
      <c r="C45" s="138">
        <f t="shared" si="0"/>
        <v>46144.829861111102</v>
      </c>
      <c r="D45" s="19" t="s">
        <v>29</v>
      </c>
      <c r="E45" s="8" t="s">
        <v>10</v>
      </c>
      <c r="F45" s="7" t="s">
        <v>15</v>
      </c>
      <c r="G45" s="13" t="s">
        <v>93</v>
      </c>
      <c r="H45" s="105">
        <v>14.3</v>
      </c>
      <c r="I45" s="44">
        <v>14.3</v>
      </c>
      <c r="J45" s="11" t="str">
        <f t="shared" si="1"/>
        <v/>
      </c>
      <c r="K45" s="12" t="str">
        <f t="shared" si="2"/>
        <v/>
      </c>
      <c r="L45" s="125">
        <f t="shared" si="3"/>
        <v>0</v>
      </c>
      <c r="M45" s="47" t="str">
        <f t="shared" si="4"/>
        <v/>
      </c>
      <c r="N45" s="47" t="str">
        <f t="shared" si="5"/>
        <v/>
      </c>
      <c r="O45" s="47" t="str">
        <f t="shared" si="6"/>
        <v>Within Tolerance</v>
      </c>
    </row>
    <row r="46" spans="1:15" s="9" customFormat="1" x14ac:dyDescent="0.3">
      <c r="A46" s="166">
        <v>46144</v>
      </c>
      <c r="B46" s="61">
        <v>46144.916666666701</v>
      </c>
      <c r="C46" s="138">
        <f t="shared" si="0"/>
        <v>46144.916666666701</v>
      </c>
      <c r="D46" s="19" t="s">
        <v>29</v>
      </c>
      <c r="E46" s="8" t="s">
        <v>10</v>
      </c>
      <c r="F46" s="7" t="s">
        <v>15</v>
      </c>
      <c r="G46" s="13" t="s">
        <v>93</v>
      </c>
      <c r="H46" s="105">
        <v>14.3</v>
      </c>
      <c r="I46" s="44">
        <v>14.1</v>
      </c>
      <c r="J46" s="11" t="str">
        <f t="shared" si="1"/>
        <v/>
      </c>
      <c r="K46" s="12" t="str">
        <f t="shared" si="2"/>
        <v/>
      </c>
      <c r="L46" s="125">
        <f t="shared" si="3"/>
        <v>-0.20000000000000107</v>
      </c>
      <c r="M46" s="47" t="str">
        <f t="shared" si="4"/>
        <v/>
      </c>
      <c r="N46" s="47" t="str">
        <f t="shared" si="5"/>
        <v/>
      </c>
      <c r="O46" s="47" t="str">
        <f t="shared" si="6"/>
        <v>Out of Tolerance</v>
      </c>
    </row>
    <row r="47" spans="1:15" s="9" customFormat="1" x14ac:dyDescent="0.3">
      <c r="A47" s="167">
        <v>46145</v>
      </c>
      <c r="B47" s="61">
        <v>46145</v>
      </c>
      <c r="C47" s="138">
        <f t="shared" si="0"/>
        <v>46145</v>
      </c>
      <c r="D47" s="19" t="s">
        <v>29</v>
      </c>
      <c r="E47" s="8" t="s">
        <v>10</v>
      </c>
      <c r="F47" s="7" t="s">
        <v>15</v>
      </c>
      <c r="G47" s="13" t="s">
        <v>93</v>
      </c>
      <c r="H47" s="105">
        <v>14.1</v>
      </c>
      <c r="I47" s="44">
        <v>14.2</v>
      </c>
      <c r="J47" s="11" t="str">
        <f t="shared" si="1"/>
        <v/>
      </c>
      <c r="K47" s="12" t="str">
        <f t="shared" si="2"/>
        <v/>
      </c>
      <c r="L47" s="125">
        <f t="shared" si="3"/>
        <v>9.9999999999999645E-2</v>
      </c>
      <c r="M47" s="47" t="str">
        <f t="shared" si="4"/>
        <v/>
      </c>
      <c r="N47" s="47" t="str">
        <f t="shared" si="5"/>
        <v/>
      </c>
      <c r="O47" s="47" t="str">
        <f t="shared" si="6"/>
        <v>Within Tolerance</v>
      </c>
    </row>
    <row r="48" spans="1:15" s="9" customFormat="1" x14ac:dyDescent="0.3">
      <c r="A48" s="166">
        <v>46145</v>
      </c>
      <c r="B48" s="61">
        <v>46145.083333333299</v>
      </c>
      <c r="C48" s="138">
        <f t="shared" si="0"/>
        <v>46145.083333333299</v>
      </c>
      <c r="D48" s="19" t="s">
        <v>29</v>
      </c>
      <c r="E48" s="8" t="s">
        <v>10</v>
      </c>
      <c r="F48" s="7" t="s">
        <v>15</v>
      </c>
      <c r="G48" s="13" t="s">
        <v>93</v>
      </c>
      <c r="H48" s="105">
        <v>14.2</v>
      </c>
      <c r="I48" s="44">
        <v>14.2</v>
      </c>
      <c r="J48" s="11" t="str">
        <f t="shared" si="1"/>
        <v/>
      </c>
      <c r="K48" s="12" t="str">
        <f t="shared" si="2"/>
        <v/>
      </c>
      <c r="L48" s="125">
        <f t="shared" si="3"/>
        <v>0</v>
      </c>
      <c r="M48" s="47" t="str">
        <f t="shared" si="4"/>
        <v/>
      </c>
      <c r="N48" s="47" t="str">
        <f t="shared" si="5"/>
        <v/>
      </c>
      <c r="O48" s="47" t="str">
        <f t="shared" si="6"/>
        <v>Within Tolerance</v>
      </c>
    </row>
    <row r="49" spans="1:15" s="9" customFormat="1" x14ac:dyDescent="0.3">
      <c r="A49" s="167">
        <v>46145</v>
      </c>
      <c r="B49" s="61">
        <v>46145.166666666701</v>
      </c>
      <c r="C49" s="138">
        <f t="shared" si="0"/>
        <v>46145.166666666701</v>
      </c>
      <c r="D49" s="19" t="s">
        <v>29</v>
      </c>
      <c r="E49" s="8" t="s">
        <v>10</v>
      </c>
      <c r="F49" s="7" t="s">
        <v>15</v>
      </c>
      <c r="G49" s="13" t="s">
        <v>93</v>
      </c>
      <c r="H49" s="105">
        <v>14</v>
      </c>
      <c r="I49" s="44">
        <v>14</v>
      </c>
      <c r="J49" s="11" t="str">
        <f t="shared" si="1"/>
        <v/>
      </c>
      <c r="K49" s="12" t="str">
        <f t="shared" si="2"/>
        <v/>
      </c>
      <c r="L49" s="125">
        <f t="shared" si="3"/>
        <v>0</v>
      </c>
      <c r="M49" s="47" t="str">
        <f t="shared" si="4"/>
        <v/>
      </c>
      <c r="N49" s="47" t="str">
        <f t="shared" si="5"/>
        <v/>
      </c>
      <c r="O49" s="47" t="str">
        <f t="shared" si="6"/>
        <v>Within Tolerance</v>
      </c>
    </row>
    <row r="50" spans="1:15" s="9" customFormat="1" x14ac:dyDescent="0.3">
      <c r="A50" s="166">
        <v>46145</v>
      </c>
      <c r="B50" s="61">
        <v>46145.25</v>
      </c>
      <c r="C50" s="138">
        <f t="shared" si="0"/>
        <v>46145.25</v>
      </c>
      <c r="D50" s="19" t="s">
        <v>29</v>
      </c>
      <c r="E50" s="8" t="s">
        <v>10</v>
      </c>
      <c r="F50" s="7" t="s">
        <v>15</v>
      </c>
      <c r="G50" s="13" t="s">
        <v>93</v>
      </c>
      <c r="H50" s="105">
        <v>14</v>
      </c>
      <c r="I50" s="44">
        <v>14.1</v>
      </c>
      <c r="J50" s="11" t="str">
        <f t="shared" si="1"/>
        <v/>
      </c>
      <c r="K50" s="12" t="str">
        <f t="shared" si="2"/>
        <v/>
      </c>
      <c r="L50" s="125">
        <f t="shared" si="3"/>
        <v>9.9999999999999645E-2</v>
      </c>
      <c r="M50" s="47" t="str">
        <f t="shared" si="4"/>
        <v/>
      </c>
      <c r="N50" s="47" t="str">
        <f t="shared" si="5"/>
        <v/>
      </c>
      <c r="O50" s="47" t="str">
        <f t="shared" si="6"/>
        <v>Within Tolerance</v>
      </c>
    </row>
    <row r="51" spans="1:15" s="9" customFormat="1" x14ac:dyDescent="0.3">
      <c r="A51" s="167">
        <v>46144</v>
      </c>
      <c r="B51" s="61">
        <v>46144.423611111102</v>
      </c>
      <c r="C51" s="138">
        <f t="shared" si="0"/>
        <v>46144.423611111102</v>
      </c>
      <c r="D51" s="19" t="s">
        <v>20</v>
      </c>
      <c r="E51" s="8" t="s">
        <v>14</v>
      </c>
      <c r="F51" s="7" t="s">
        <v>19</v>
      </c>
      <c r="G51" s="13" t="s">
        <v>93</v>
      </c>
      <c r="H51" s="105">
        <v>13.9</v>
      </c>
      <c r="I51" s="44">
        <v>13.8</v>
      </c>
      <c r="J51" s="11" t="str">
        <f t="shared" si="1"/>
        <v/>
      </c>
      <c r="K51" s="12" t="str">
        <f t="shared" si="2"/>
        <v/>
      </c>
      <c r="L51" s="125">
        <f t="shared" si="3"/>
        <v>-9.9999999999999645E-2</v>
      </c>
      <c r="M51" s="47" t="str">
        <f t="shared" si="4"/>
        <v/>
      </c>
      <c r="N51" s="47" t="str">
        <f t="shared" si="5"/>
        <v/>
      </c>
      <c r="O51" s="47" t="str">
        <f t="shared" si="6"/>
        <v>Within Tolerance</v>
      </c>
    </row>
    <row r="52" spans="1:15" s="9" customFormat="1" x14ac:dyDescent="0.3">
      <c r="A52" s="166">
        <v>46144</v>
      </c>
      <c r="B52" s="61">
        <v>46144.458333333299</v>
      </c>
      <c r="C52" s="138">
        <f t="shared" si="0"/>
        <v>46144.458333333299</v>
      </c>
      <c r="D52" s="19" t="s">
        <v>21</v>
      </c>
      <c r="E52" s="8" t="s">
        <v>10</v>
      </c>
      <c r="F52" s="7" t="s">
        <v>19</v>
      </c>
      <c r="G52" s="13" t="s">
        <v>93</v>
      </c>
      <c r="H52" s="105">
        <v>13.9</v>
      </c>
      <c r="I52" s="44">
        <v>13.9</v>
      </c>
      <c r="J52" s="11" t="str">
        <f t="shared" si="1"/>
        <v/>
      </c>
      <c r="K52" s="12" t="str">
        <f t="shared" si="2"/>
        <v/>
      </c>
      <c r="L52" s="125">
        <f t="shared" si="3"/>
        <v>0</v>
      </c>
      <c r="M52" s="47" t="str">
        <f t="shared" si="4"/>
        <v/>
      </c>
      <c r="N52" s="47" t="str">
        <f t="shared" si="5"/>
        <v/>
      </c>
      <c r="O52" s="47" t="str">
        <f t="shared" si="6"/>
        <v>Within Tolerance</v>
      </c>
    </row>
    <row r="53" spans="1:15" s="9" customFormat="1" x14ac:dyDescent="0.3">
      <c r="A53" s="167">
        <v>46144</v>
      </c>
      <c r="B53" s="61">
        <v>46144.760416666701</v>
      </c>
      <c r="C53" s="138">
        <f t="shared" si="0"/>
        <v>46144.760416666701</v>
      </c>
      <c r="D53" s="7" t="s">
        <v>31</v>
      </c>
      <c r="E53" s="8" t="s">
        <v>14</v>
      </c>
      <c r="F53" s="7" t="s">
        <v>19</v>
      </c>
      <c r="G53" s="13" t="s">
        <v>93</v>
      </c>
      <c r="H53" s="105">
        <v>13.8</v>
      </c>
      <c r="I53" s="44">
        <v>13.8</v>
      </c>
      <c r="J53" s="11" t="str">
        <f t="shared" si="1"/>
        <v/>
      </c>
      <c r="K53" s="12" t="str">
        <f t="shared" si="2"/>
        <v/>
      </c>
      <c r="L53" s="125">
        <f t="shared" si="3"/>
        <v>0</v>
      </c>
      <c r="M53" s="47" t="str">
        <f t="shared" si="4"/>
        <v/>
      </c>
      <c r="N53" s="47" t="str">
        <f t="shared" si="5"/>
        <v/>
      </c>
      <c r="O53" s="47" t="str">
        <f t="shared" si="6"/>
        <v>Within Tolerance</v>
      </c>
    </row>
    <row r="54" spans="1:15" s="9" customFormat="1" x14ac:dyDescent="0.3">
      <c r="A54" s="166">
        <v>46144</v>
      </c>
      <c r="B54" s="61">
        <v>46144.454861111102</v>
      </c>
      <c r="C54" s="138">
        <f t="shared" si="0"/>
        <v>46144.454861111102</v>
      </c>
      <c r="D54" s="19" t="s">
        <v>51</v>
      </c>
      <c r="E54" s="8" t="s">
        <v>10</v>
      </c>
      <c r="F54" s="7" t="s">
        <v>24</v>
      </c>
      <c r="G54" s="13" t="s">
        <v>93</v>
      </c>
      <c r="H54" s="105">
        <v>13.7</v>
      </c>
      <c r="I54" s="44">
        <v>13.8</v>
      </c>
      <c r="J54" s="11" t="str">
        <f t="shared" si="1"/>
        <v/>
      </c>
      <c r="K54" s="12" t="str">
        <f t="shared" si="2"/>
        <v/>
      </c>
      <c r="L54" s="125">
        <f t="shared" si="3"/>
        <v>0.10000000000000142</v>
      </c>
      <c r="M54" s="47" t="str">
        <f t="shared" si="4"/>
        <v/>
      </c>
      <c r="N54" s="47" t="str">
        <f t="shared" si="5"/>
        <v/>
      </c>
      <c r="O54" s="47" t="str">
        <f t="shared" si="6"/>
        <v>Within Tolerance</v>
      </c>
    </row>
    <row r="55" spans="1:15" s="9" customFormat="1" x14ac:dyDescent="0.3">
      <c r="A55" s="167">
        <v>46144</v>
      </c>
      <c r="B55" s="61">
        <v>46144.555555555598</v>
      </c>
      <c r="C55" s="138">
        <f t="shared" si="0"/>
        <v>46144.555555555598</v>
      </c>
      <c r="D55" s="19" t="s">
        <v>50</v>
      </c>
      <c r="E55" s="8" t="s">
        <v>10</v>
      </c>
      <c r="F55" s="7" t="s">
        <v>24</v>
      </c>
      <c r="G55" s="13" t="s">
        <v>93</v>
      </c>
      <c r="H55" s="105">
        <v>13.8</v>
      </c>
      <c r="I55" s="44">
        <v>13.8</v>
      </c>
      <c r="J55" s="11" t="str">
        <f t="shared" si="1"/>
        <v/>
      </c>
      <c r="K55" s="12" t="str">
        <f t="shared" si="2"/>
        <v/>
      </c>
      <c r="L55" s="125">
        <f t="shared" si="3"/>
        <v>0</v>
      </c>
      <c r="M55" s="47" t="str">
        <f t="shared" si="4"/>
        <v/>
      </c>
      <c r="N55" s="47" t="str">
        <f t="shared" si="5"/>
        <v/>
      </c>
      <c r="O55" s="47" t="str">
        <f t="shared" si="6"/>
        <v>Within Tolerance</v>
      </c>
    </row>
    <row r="56" spans="1:15" s="9" customFormat="1" x14ac:dyDescent="0.3">
      <c r="A56" s="166">
        <v>46144</v>
      </c>
      <c r="B56" s="61">
        <v>46144.666666666701</v>
      </c>
      <c r="C56" s="138">
        <f t="shared" si="0"/>
        <v>46144.666666666701</v>
      </c>
      <c r="D56" s="7" t="s">
        <v>27</v>
      </c>
      <c r="E56" s="8" t="s">
        <v>10</v>
      </c>
      <c r="F56" s="7" t="s">
        <v>24</v>
      </c>
      <c r="G56" s="13" t="s">
        <v>93</v>
      </c>
      <c r="H56" s="105">
        <v>14.2</v>
      </c>
      <c r="I56" s="44">
        <v>14.1</v>
      </c>
      <c r="J56" s="11" t="str">
        <f t="shared" si="1"/>
        <v/>
      </c>
      <c r="K56" s="12" t="str">
        <f t="shared" si="2"/>
        <v/>
      </c>
      <c r="L56" s="125">
        <f t="shared" si="3"/>
        <v>-9.9999999999999645E-2</v>
      </c>
      <c r="M56" s="47" t="str">
        <f t="shared" si="4"/>
        <v/>
      </c>
      <c r="N56" s="47" t="str">
        <f t="shared" si="5"/>
        <v/>
      </c>
      <c r="O56" s="47" t="str">
        <f t="shared" si="6"/>
        <v>Within Tolerance</v>
      </c>
    </row>
    <row r="57" spans="1:15" s="9" customFormat="1" x14ac:dyDescent="0.3">
      <c r="A57" s="167">
        <v>46145</v>
      </c>
      <c r="B57" s="61">
        <v>46145.333333333299</v>
      </c>
      <c r="C57" s="138">
        <f t="shared" si="0"/>
        <v>46145.333333333299</v>
      </c>
      <c r="D57" s="19" t="s">
        <v>41</v>
      </c>
      <c r="E57" s="8" t="s">
        <v>10</v>
      </c>
      <c r="F57" s="7" t="s">
        <v>11</v>
      </c>
      <c r="G57" s="8">
        <v>14.11</v>
      </c>
      <c r="H57" s="105">
        <v>14.1</v>
      </c>
      <c r="I57" s="44">
        <v>14.3</v>
      </c>
      <c r="J57" s="11">
        <f t="shared" si="1"/>
        <v>-9.9999999999997868E-3</v>
      </c>
      <c r="K57" s="12">
        <f t="shared" si="2"/>
        <v>0.19000000000000128</v>
      </c>
      <c r="L57" s="125">
        <f t="shared" si="3"/>
        <v>0.20000000000000107</v>
      </c>
      <c r="M57" s="47" t="str">
        <f t="shared" si="4"/>
        <v>Within Tolerance</v>
      </c>
      <c r="N57" s="47" t="str">
        <f t="shared" si="5"/>
        <v>Within Tolerance</v>
      </c>
      <c r="O57" s="47" t="str">
        <f t="shared" si="6"/>
        <v>Out of Tolerance</v>
      </c>
    </row>
    <row r="58" spans="1:15" s="9" customFormat="1" x14ac:dyDescent="0.3">
      <c r="A58" s="166">
        <v>46145</v>
      </c>
      <c r="B58" s="61">
        <v>46145.40625</v>
      </c>
      <c r="C58" s="138">
        <f t="shared" si="0"/>
        <v>46145.40625</v>
      </c>
      <c r="D58" s="19" t="s">
        <v>35</v>
      </c>
      <c r="E58" s="8" t="s">
        <v>14</v>
      </c>
      <c r="F58" s="7" t="s">
        <v>11</v>
      </c>
      <c r="G58" s="13" t="s">
        <v>93</v>
      </c>
      <c r="H58" s="105">
        <v>14.1</v>
      </c>
      <c r="I58" s="44">
        <v>14.1</v>
      </c>
      <c r="J58" s="11" t="str">
        <f t="shared" si="1"/>
        <v/>
      </c>
      <c r="K58" s="12" t="str">
        <f t="shared" si="2"/>
        <v/>
      </c>
      <c r="L58" s="125">
        <f t="shared" si="3"/>
        <v>0</v>
      </c>
      <c r="M58" s="47" t="str">
        <f t="shared" si="4"/>
        <v/>
      </c>
      <c r="N58" s="47" t="str">
        <f t="shared" si="5"/>
        <v/>
      </c>
      <c r="O58" s="47" t="str">
        <f t="shared" si="6"/>
        <v>Within Tolerance</v>
      </c>
    </row>
    <row r="59" spans="1:15" s="9" customFormat="1" x14ac:dyDescent="0.3">
      <c r="A59" s="167">
        <v>46145</v>
      </c>
      <c r="B59" s="61">
        <v>46145.479166666701</v>
      </c>
      <c r="C59" s="138">
        <f t="shared" si="0"/>
        <v>46145.479166666701</v>
      </c>
      <c r="D59" s="19" t="s">
        <v>35</v>
      </c>
      <c r="E59" s="8" t="s">
        <v>14</v>
      </c>
      <c r="F59" s="7" t="s">
        <v>11</v>
      </c>
      <c r="G59" s="13" t="s">
        <v>93</v>
      </c>
      <c r="H59" s="105">
        <v>14.1</v>
      </c>
      <c r="I59" s="44">
        <v>14.1</v>
      </c>
      <c r="J59" s="11" t="str">
        <f t="shared" si="1"/>
        <v/>
      </c>
      <c r="K59" s="12" t="str">
        <f t="shared" si="2"/>
        <v/>
      </c>
      <c r="L59" s="125">
        <f t="shared" si="3"/>
        <v>0</v>
      </c>
      <c r="M59" s="47" t="str">
        <f t="shared" si="4"/>
        <v/>
      </c>
      <c r="N59" s="47" t="str">
        <f t="shared" si="5"/>
        <v/>
      </c>
      <c r="O59" s="47" t="str">
        <f t="shared" si="6"/>
        <v>Within Tolerance</v>
      </c>
    </row>
    <row r="60" spans="1:15" s="9" customFormat="1" x14ac:dyDescent="0.3">
      <c r="A60" s="166">
        <v>46145</v>
      </c>
      <c r="B60" s="61">
        <v>46145.583333333299</v>
      </c>
      <c r="C60" s="138">
        <f t="shared" si="0"/>
        <v>46145.583333333299</v>
      </c>
      <c r="D60" s="19" t="s">
        <v>35</v>
      </c>
      <c r="E60" s="8" t="s">
        <v>14</v>
      </c>
      <c r="F60" s="7" t="s">
        <v>11</v>
      </c>
      <c r="G60" s="13" t="s">
        <v>93</v>
      </c>
      <c r="H60" s="105">
        <v>14.1</v>
      </c>
      <c r="I60" s="44">
        <v>14.1</v>
      </c>
      <c r="J60" s="11" t="str">
        <f t="shared" si="1"/>
        <v/>
      </c>
      <c r="K60" s="12" t="str">
        <f t="shared" si="2"/>
        <v/>
      </c>
      <c r="L60" s="125">
        <f t="shared" si="3"/>
        <v>0</v>
      </c>
      <c r="M60" s="47" t="str">
        <f t="shared" si="4"/>
        <v/>
      </c>
      <c r="N60" s="47" t="str">
        <f t="shared" si="5"/>
        <v/>
      </c>
      <c r="O60" s="47" t="str">
        <f t="shared" si="6"/>
        <v>Within Tolerance</v>
      </c>
    </row>
    <row r="61" spans="1:15" s="9" customFormat="1" x14ac:dyDescent="0.3">
      <c r="A61" s="167">
        <v>46145</v>
      </c>
      <c r="B61" s="61">
        <v>46145.666666666701</v>
      </c>
      <c r="C61" s="138">
        <f t="shared" si="0"/>
        <v>46145.666666666701</v>
      </c>
      <c r="D61" s="19" t="s">
        <v>35</v>
      </c>
      <c r="E61" s="8" t="s">
        <v>14</v>
      </c>
      <c r="F61" s="7" t="s">
        <v>11</v>
      </c>
      <c r="G61" s="13" t="s">
        <v>93</v>
      </c>
      <c r="H61" s="105">
        <v>14</v>
      </c>
      <c r="I61" s="44">
        <v>14.1</v>
      </c>
      <c r="J61" s="11" t="str">
        <f t="shared" si="1"/>
        <v/>
      </c>
      <c r="K61" s="12" t="str">
        <f t="shared" si="2"/>
        <v/>
      </c>
      <c r="L61" s="125">
        <f t="shared" si="3"/>
        <v>9.9999999999999645E-2</v>
      </c>
      <c r="M61" s="47" t="str">
        <f t="shared" si="4"/>
        <v/>
      </c>
      <c r="N61" s="47" t="str">
        <f t="shared" si="5"/>
        <v/>
      </c>
      <c r="O61" s="47" t="str">
        <f t="shared" si="6"/>
        <v>Within Tolerance</v>
      </c>
    </row>
    <row r="62" spans="1:15" s="9" customFormat="1" x14ac:dyDescent="0.3">
      <c r="A62" s="166">
        <v>46145</v>
      </c>
      <c r="B62" s="61">
        <v>46145.75</v>
      </c>
      <c r="C62" s="138">
        <f t="shared" si="0"/>
        <v>46145.75</v>
      </c>
      <c r="D62" s="19" t="s">
        <v>35</v>
      </c>
      <c r="E62" s="8" t="s">
        <v>14</v>
      </c>
      <c r="F62" s="7" t="s">
        <v>11</v>
      </c>
      <c r="G62" s="13" t="s">
        <v>93</v>
      </c>
      <c r="H62" s="105">
        <v>14.1</v>
      </c>
      <c r="I62" s="44">
        <v>14.1</v>
      </c>
      <c r="J62" s="11" t="str">
        <f t="shared" si="1"/>
        <v/>
      </c>
      <c r="K62" s="12" t="str">
        <f t="shared" si="2"/>
        <v/>
      </c>
      <c r="L62" s="125">
        <f t="shared" si="3"/>
        <v>0</v>
      </c>
      <c r="M62" s="47" t="str">
        <f t="shared" si="4"/>
        <v/>
      </c>
      <c r="N62" s="47" t="str">
        <f t="shared" si="5"/>
        <v/>
      </c>
      <c r="O62" s="47" t="str">
        <f t="shared" si="6"/>
        <v>Within Tolerance</v>
      </c>
    </row>
    <row r="63" spans="1:15" s="9" customFormat="1" x14ac:dyDescent="0.3">
      <c r="A63" s="167">
        <v>46145</v>
      </c>
      <c r="B63" s="61">
        <v>46145.333333333299</v>
      </c>
      <c r="C63" s="138">
        <f t="shared" si="0"/>
        <v>46145.333333333299</v>
      </c>
      <c r="D63" s="19" t="s">
        <v>29</v>
      </c>
      <c r="E63" s="8" t="s">
        <v>10</v>
      </c>
      <c r="F63" s="7" t="s">
        <v>15</v>
      </c>
      <c r="G63" s="8">
        <v>13.79</v>
      </c>
      <c r="H63" s="105">
        <v>14.1</v>
      </c>
      <c r="I63" s="44">
        <v>14.1</v>
      </c>
      <c r="J63" s="11">
        <f t="shared" si="1"/>
        <v>0.3100000000000005</v>
      </c>
      <c r="K63" s="12">
        <f t="shared" si="2"/>
        <v>0.3100000000000005</v>
      </c>
      <c r="L63" s="125">
        <f t="shared" si="3"/>
        <v>0</v>
      </c>
      <c r="M63" s="47" t="str">
        <f t="shared" si="4"/>
        <v>Out of Tolerance</v>
      </c>
      <c r="N63" s="47" t="str">
        <f t="shared" si="5"/>
        <v>Out of Tolerance</v>
      </c>
      <c r="O63" s="47" t="str">
        <f t="shared" si="6"/>
        <v>Within Tolerance</v>
      </c>
    </row>
    <row r="64" spans="1:15" s="9" customFormat="1" x14ac:dyDescent="0.3">
      <c r="A64" s="166">
        <v>46145</v>
      </c>
      <c r="B64" s="61">
        <v>46145.416666666701</v>
      </c>
      <c r="C64" s="138">
        <f t="shared" si="0"/>
        <v>46145.416666666701</v>
      </c>
      <c r="D64" s="19" t="s">
        <v>29</v>
      </c>
      <c r="E64" s="8" t="s">
        <v>10</v>
      </c>
      <c r="F64" s="7" t="s">
        <v>15</v>
      </c>
      <c r="G64" s="13" t="s">
        <v>93</v>
      </c>
      <c r="H64" s="105">
        <v>14.1</v>
      </c>
      <c r="I64" s="44">
        <v>14.1</v>
      </c>
      <c r="J64" s="11" t="str">
        <f t="shared" si="1"/>
        <v/>
      </c>
      <c r="K64" s="12" t="str">
        <f t="shared" si="2"/>
        <v/>
      </c>
      <c r="L64" s="125">
        <f t="shared" si="3"/>
        <v>0</v>
      </c>
      <c r="M64" s="47" t="str">
        <f t="shared" si="4"/>
        <v/>
      </c>
      <c r="N64" s="47" t="str">
        <f t="shared" si="5"/>
        <v/>
      </c>
      <c r="O64" s="47" t="str">
        <f t="shared" si="6"/>
        <v>Within Tolerance</v>
      </c>
    </row>
    <row r="65" spans="1:15" s="9" customFormat="1" x14ac:dyDescent="0.3">
      <c r="A65" s="167">
        <v>46145</v>
      </c>
      <c r="B65" s="61">
        <v>46145.5</v>
      </c>
      <c r="C65" s="138">
        <f t="shared" si="0"/>
        <v>46145.5</v>
      </c>
      <c r="D65" s="19" t="s">
        <v>29</v>
      </c>
      <c r="E65" s="8" t="s">
        <v>10</v>
      </c>
      <c r="F65" s="7" t="s">
        <v>15</v>
      </c>
      <c r="G65" s="13" t="s">
        <v>93</v>
      </c>
      <c r="H65" s="105">
        <v>14</v>
      </c>
      <c r="I65" s="44">
        <v>14</v>
      </c>
      <c r="J65" s="11" t="str">
        <f t="shared" si="1"/>
        <v/>
      </c>
      <c r="K65" s="12" t="str">
        <f t="shared" si="2"/>
        <v/>
      </c>
      <c r="L65" s="125">
        <f t="shared" si="3"/>
        <v>0</v>
      </c>
      <c r="M65" s="47" t="str">
        <f t="shared" si="4"/>
        <v/>
      </c>
      <c r="N65" s="47" t="str">
        <f t="shared" si="5"/>
        <v/>
      </c>
      <c r="O65" s="47" t="str">
        <f t="shared" si="6"/>
        <v>Within Tolerance</v>
      </c>
    </row>
    <row r="66" spans="1:15" s="9" customFormat="1" x14ac:dyDescent="0.3">
      <c r="A66" s="166">
        <v>46145</v>
      </c>
      <c r="B66" s="61">
        <v>46145.583333333299</v>
      </c>
      <c r="C66" s="138">
        <f t="shared" ref="C66:C129" si="7">A66+MOD(B66,1)</f>
        <v>46145.583333333299</v>
      </c>
      <c r="D66" s="19" t="s">
        <v>29</v>
      </c>
      <c r="E66" s="8" t="s">
        <v>10</v>
      </c>
      <c r="F66" s="7" t="s">
        <v>15</v>
      </c>
      <c r="G66" s="13" t="s">
        <v>93</v>
      </c>
      <c r="H66" s="105">
        <v>14</v>
      </c>
      <c r="I66" s="44">
        <v>14</v>
      </c>
      <c r="J66" s="11" t="str">
        <f t="shared" si="1"/>
        <v/>
      </c>
      <c r="K66" s="12" t="str">
        <f t="shared" si="2"/>
        <v/>
      </c>
      <c r="L66" s="125">
        <f t="shared" si="3"/>
        <v>0</v>
      </c>
      <c r="M66" s="47" t="str">
        <f t="shared" si="4"/>
        <v/>
      </c>
      <c r="N66" s="47" t="str">
        <f t="shared" si="5"/>
        <v/>
      </c>
      <c r="O66" s="47" t="str">
        <f t="shared" si="6"/>
        <v>Within Tolerance</v>
      </c>
    </row>
    <row r="67" spans="1:15" s="9" customFormat="1" x14ac:dyDescent="0.3">
      <c r="A67" s="167">
        <v>46145</v>
      </c>
      <c r="B67" s="61">
        <v>46145.420138888898</v>
      </c>
      <c r="C67" s="138">
        <f t="shared" si="7"/>
        <v>46145.420138888898</v>
      </c>
      <c r="D67" s="19" t="s">
        <v>37</v>
      </c>
      <c r="E67" s="8" t="s">
        <v>14</v>
      </c>
      <c r="F67" s="7" t="s">
        <v>19</v>
      </c>
      <c r="G67" s="13" t="s">
        <v>93</v>
      </c>
      <c r="H67" s="105">
        <v>14.2</v>
      </c>
      <c r="I67" s="44">
        <v>13.6</v>
      </c>
      <c r="J67" s="11" t="str">
        <f t="shared" ref="J67:J130" si="8">IF(OR(H67="",G67=""),"",H67-G67)</f>
        <v/>
      </c>
      <c r="K67" s="12" t="str">
        <f t="shared" ref="K67:K130" si="9">IF(OR(TRIM(G67&amp;"")="",TRIM(I67&amp;"")="",G67="-",I67="-"),"",I67-G67)</f>
        <v/>
      </c>
      <c r="L67" s="125">
        <f t="shared" ref="L67:L130" si="10">IF(OR(TRIM(H67&amp;"")="",TRIM(I67&amp;"")="",H67="-",I67="-"),"",I67-H67)</f>
        <v>-0.59999999999999964</v>
      </c>
      <c r="M67" s="47" t="str">
        <f t="shared" ref="M67:M130" si="11">IF(J67="","",IF(ABS(J67)&lt;=0.2,"Within Tolerance","Out of Tolerance"))</f>
        <v/>
      </c>
      <c r="N67" s="47" t="str">
        <f t="shared" ref="N67:N130" si="12">IF(K67="","",IF(ABS(K67)&lt;=0.2,"Within Tolerance","Out of Tolerance"))</f>
        <v/>
      </c>
      <c r="O67" s="47" t="str">
        <f t="shared" ref="O67:O130" si="13">IF(L67="","",IF(ABS(L67)&lt;=0.2,"Within Tolerance","Out of Tolerance"))</f>
        <v>Out of Tolerance</v>
      </c>
    </row>
    <row r="68" spans="1:15" s="9" customFormat="1" x14ac:dyDescent="0.3">
      <c r="A68" s="166">
        <v>46145</v>
      </c>
      <c r="B68" s="61">
        <v>46145.494444444397</v>
      </c>
      <c r="C68" s="138">
        <f t="shared" si="7"/>
        <v>46145.494444444397</v>
      </c>
      <c r="D68" s="19" t="s">
        <v>20</v>
      </c>
      <c r="E68" s="8" t="s">
        <v>14</v>
      </c>
      <c r="F68" s="7" t="s">
        <v>19</v>
      </c>
      <c r="G68" s="13" t="s">
        <v>93</v>
      </c>
      <c r="H68" s="105">
        <v>13.7</v>
      </c>
      <c r="I68" s="44">
        <v>13.9</v>
      </c>
      <c r="J68" s="11" t="str">
        <f t="shared" si="8"/>
        <v/>
      </c>
      <c r="K68" s="12" t="str">
        <f t="shared" si="9"/>
        <v/>
      </c>
      <c r="L68" s="125">
        <f t="shared" si="10"/>
        <v>0.20000000000000107</v>
      </c>
      <c r="M68" s="47" t="str">
        <f t="shared" si="11"/>
        <v/>
      </c>
      <c r="N68" s="47" t="str">
        <f t="shared" si="12"/>
        <v/>
      </c>
      <c r="O68" s="47" t="str">
        <f t="shared" si="13"/>
        <v>Out of Tolerance</v>
      </c>
    </row>
    <row r="69" spans="1:15" s="9" customFormat="1" x14ac:dyDescent="0.3">
      <c r="A69" s="167">
        <v>46145</v>
      </c>
      <c r="B69" s="61">
        <v>46145.600694444402</v>
      </c>
      <c r="C69" s="138">
        <f t="shared" si="7"/>
        <v>46145.600694444402</v>
      </c>
      <c r="D69" s="19" t="s">
        <v>18</v>
      </c>
      <c r="E69" s="8" t="s">
        <v>14</v>
      </c>
      <c r="F69" s="7" t="s">
        <v>19</v>
      </c>
      <c r="G69" s="13" t="s">
        <v>93</v>
      </c>
      <c r="H69" s="105">
        <v>13.8</v>
      </c>
      <c r="I69" s="44">
        <v>13.7</v>
      </c>
      <c r="J69" s="11" t="str">
        <f t="shared" si="8"/>
        <v/>
      </c>
      <c r="K69" s="12" t="str">
        <f t="shared" si="9"/>
        <v/>
      </c>
      <c r="L69" s="125">
        <f t="shared" si="10"/>
        <v>-0.10000000000000142</v>
      </c>
      <c r="M69" s="47" t="str">
        <f t="shared" si="11"/>
        <v/>
      </c>
      <c r="N69" s="47" t="str">
        <f t="shared" si="12"/>
        <v/>
      </c>
      <c r="O69" s="47" t="str">
        <f t="shared" si="13"/>
        <v>Within Tolerance</v>
      </c>
    </row>
    <row r="70" spans="1:15" s="9" customFormat="1" x14ac:dyDescent="0.3">
      <c r="A70" s="166">
        <v>46145</v>
      </c>
      <c r="B70" s="61">
        <v>46145.402777777803</v>
      </c>
      <c r="C70" s="138">
        <f t="shared" si="7"/>
        <v>46145.402777777803</v>
      </c>
      <c r="D70" s="19" t="s">
        <v>50</v>
      </c>
      <c r="E70" s="8" t="s">
        <v>10</v>
      </c>
      <c r="F70" s="7" t="s">
        <v>24</v>
      </c>
      <c r="G70" s="13" t="s">
        <v>93</v>
      </c>
      <c r="H70" s="105">
        <v>13.9</v>
      </c>
      <c r="I70" s="44">
        <v>13.8</v>
      </c>
      <c r="J70" s="11" t="str">
        <f t="shared" si="8"/>
        <v/>
      </c>
      <c r="K70" s="12" t="str">
        <f t="shared" si="9"/>
        <v/>
      </c>
      <c r="L70" s="125">
        <f t="shared" si="10"/>
        <v>-9.9999999999999645E-2</v>
      </c>
      <c r="M70" s="47" t="str">
        <f t="shared" si="11"/>
        <v/>
      </c>
      <c r="N70" s="47" t="str">
        <f t="shared" si="12"/>
        <v/>
      </c>
      <c r="O70" s="47" t="str">
        <f t="shared" si="13"/>
        <v>Within Tolerance</v>
      </c>
    </row>
    <row r="71" spans="1:15" s="9" customFormat="1" x14ac:dyDescent="0.3">
      <c r="A71" s="167">
        <v>46145</v>
      </c>
      <c r="B71" s="61">
        <v>46145.479166666701</v>
      </c>
      <c r="C71" s="138">
        <f t="shared" si="7"/>
        <v>46145.479166666701</v>
      </c>
      <c r="D71" s="19" t="s">
        <v>51</v>
      </c>
      <c r="E71" s="8" t="s">
        <v>10</v>
      </c>
      <c r="F71" s="7" t="s">
        <v>24</v>
      </c>
      <c r="G71" s="13" t="s">
        <v>93</v>
      </c>
      <c r="H71" s="105">
        <v>13.9</v>
      </c>
      <c r="I71" s="44">
        <v>13.9</v>
      </c>
      <c r="J71" s="11" t="str">
        <f t="shared" si="8"/>
        <v/>
      </c>
      <c r="K71" s="12" t="str">
        <f t="shared" si="9"/>
        <v/>
      </c>
      <c r="L71" s="125">
        <f t="shared" si="10"/>
        <v>0</v>
      </c>
      <c r="M71" s="47" t="str">
        <f t="shared" si="11"/>
        <v/>
      </c>
      <c r="N71" s="47" t="str">
        <f t="shared" si="12"/>
        <v/>
      </c>
      <c r="O71" s="47" t="str">
        <f t="shared" si="13"/>
        <v>Within Tolerance</v>
      </c>
    </row>
    <row r="72" spans="1:15" s="9" customFormat="1" x14ac:dyDescent="0.3">
      <c r="A72" s="166">
        <v>46146</v>
      </c>
      <c r="B72" s="61">
        <v>46146.763888888898</v>
      </c>
      <c r="C72" s="138">
        <f t="shared" si="7"/>
        <v>46146.763888888898</v>
      </c>
      <c r="D72" s="19" t="s">
        <v>41</v>
      </c>
      <c r="E72" s="8" t="s">
        <v>10</v>
      </c>
      <c r="F72" s="7" t="s">
        <v>11</v>
      </c>
      <c r="G72" s="13" t="s">
        <v>93</v>
      </c>
      <c r="H72" s="105">
        <v>14.3</v>
      </c>
      <c r="I72" s="44">
        <v>14.4</v>
      </c>
      <c r="J72" s="11" t="str">
        <f t="shared" si="8"/>
        <v/>
      </c>
      <c r="K72" s="12" t="str">
        <f t="shared" si="9"/>
        <v/>
      </c>
      <c r="L72" s="125">
        <f t="shared" si="10"/>
        <v>9.9999999999999645E-2</v>
      </c>
      <c r="M72" s="47" t="str">
        <f t="shared" si="11"/>
        <v/>
      </c>
      <c r="N72" s="47" t="str">
        <f t="shared" si="12"/>
        <v/>
      </c>
      <c r="O72" s="47" t="str">
        <f t="shared" si="13"/>
        <v>Within Tolerance</v>
      </c>
    </row>
    <row r="73" spans="1:15" s="9" customFormat="1" x14ac:dyDescent="0.3">
      <c r="A73" s="167">
        <v>46146</v>
      </c>
      <c r="B73" s="61">
        <v>46146.777777777803</v>
      </c>
      <c r="C73" s="138">
        <f t="shared" si="7"/>
        <v>46146.777777777803</v>
      </c>
      <c r="D73" s="19" t="s">
        <v>41</v>
      </c>
      <c r="E73" s="8" t="s">
        <v>10</v>
      </c>
      <c r="F73" s="7" t="s">
        <v>11</v>
      </c>
      <c r="G73" s="13" t="s">
        <v>93</v>
      </c>
      <c r="H73" s="105">
        <v>14.2</v>
      </c>
      <c r="I73" s="44">
        <v>14.3</v>
      </c>
      <c r="J73" s="11" t="str">
        <f t="shared" si="8"/>
        <v/>
      </c>
      <c r="K73" s="12" t="str">
        <f t="shared" si="9"/>
        <v/>
      </c>
      <c r="L73" s="125">
        <f t="shared" si="10"/>
        <v>0.10000000000000142</v>
      </c>
      <c r="M73" s="47" t="str">
        <f t="shared" si="11"/>
        <v/>
      </c>
      <c r="N73" s="47" t="str">
        <f t="shared" si="12"/>
        <v/>
      </c>
      <c r="O73" s="47" t="str">
        <f t="shared" si="13"/>
        <v>Within Tolerance</v>
      </c>
    </row>
    <row r="74" spans="1:15" s="9" customFormat="1" x14ac:dyDescent="0.3">
      <c r="A74" s="166">
        <v>46146</v>
      </c>
      <c r="B74" s="61">
        <v>46146.833333333299</v>
      </c>
      <c r="C74" s="138">
        <f t="shared" si="7"/>
        <v>46146.833333333299</v>
      </c>
      <c r="D74" s="19" t="s">
        <v>41</v>
      </c>
      <c r="E74" s="8" t="s">
        <v>10</v>
      </c>
      <c r="F74" s="7" t="s">
        <v>11</v>
      </c>
      <c r="G74" s="8">
        <v>14.18</v>
      </c>
      <c r="H74" s="105">
        <v>14.3</v>
      </c>
      <c r="I74" s="44">
        <v>14.3</v>
      </c>
      <c r="J74" s="11">
        <f t="shared" si="8"/>
        <v>0.12000000000000099</v>
      </c>
      <c r="K74" s="12">
        <f t="shared" si="9"/>
        <v>0.12000000000000099</v>
      </c>
      <c r="L74" s="125">
        <f t="shared" si="10"/>
        <v>0</v>
      </c>
      <c r="M74" s="47" t="str">
        <f t="shared" si="11"/>
        <v>Within Tolerance</v>
      </c>
      <c r="N74" s="47" t="str">
        <f t="shared" si="12"/>
        <v>Within Tolerance</v>
      </c>
      <c r="O74" s="47" t="str">
        <f t="shared" si="13"/>
        <v>Within Tolerance</v>
      </c>
    </row>
    <row r="75" spans="1:15" s="9" customFormat="1" x14ac:dyDescent="0.3">
      <c r="A75" s="167">
        <v>46146</v>
      </c>
      <c r="B75" s="61">
        <v>46146.965277777803</v>
      </c>
      <c r="C75" s="138">
        <f t="shared" si="7"/>
        <v>46146.965277777803</v>
      </c>
      <c r="D75" s="19" t="s">
        <v>41</v>
      </c>
      <c r="E75" s="8" t="s">
        <v>10</v>
      </c>
      <c r="F75" s="7" t="s">
        <v>11</v>
      </c>
      <c r="G75" s="13" t="s">
        <v>93</v>
      </c>
      <c r="H75" s="105">
        <v>14.4</v>
      </c>
      <c r="I75" s="18" t="s">
        <v>93</v>
      </c>
      <c r="J75" s="11" t="str">
        <f t="shared" si="8"/>
        <v/>
      </c>
      <c r="K75" s="12" t="str">
        <f t="shared" si="9"/>
        <v/>
      </c>
      <c r="L75" s="125" t="str">
        <f t="shared" si="10"/>
        <v/>
      </c>
      <c r="M75" s="47" t="str">
        <f t="shared" si="11"/>
        <v/>
      </c>
      <c r="N75" s="47" t="str">
        <f t="shared" si="12"/>
        <v/>
      </c>
      <c r="O75" s="47" t="str">
        <f t="shared" si="13"/>
        <v/>
      </c>
    </row>
    <row r="76" spans="1:15" s="9" customFormat="1" x14ac:dyDescent="0.3">
      <c r="A76" s="166">
        <v>46147</v>
      </c>
      <c r="B76" s="61">
        <v>46147</v>
      </c>
      <c r="C76" s="138">
        <f t="shared" si="7"/>
        <v>46147</v>
      </c>
      <c r="D76" s="19" t="s">
        <v>41</v>
      </c>
      <c r="E76" s="8" t="s">
        <v>10</v>
      </c>
      <c r="F76" s="7" t="s">
        <v>11</v>
      </c>
      <c r="G76" s="13" t="s">
        <v>93</v>
      </c>
      <c r="H76" s="105">
        <v>14.2</v>
      </c>
      <c r="I76" s="44">
        <v>14.4</v>
      </c>
      <c r="J76" s="11" t="str">
        <f t="shared" si="8"/>
        <v/>
      </c>
      <c r="K76" s="12" t="str">
        <f t="shared" si="9"/>
        <v/>
      </c>
      <c r="L76" s="125">
        <f t="shared" si="10"/>
        <v>0.20000000000000107</v>
      </c>
      <c r="M76" s="47" t="str">
        <f t="shared" si="11"/>
        <v/>
      </c>
      <c r="N76" s="47" t="str">
        <f t="shared" si="12"/>
        <v/>
      </c>
      <c r="O76" s="47" t="str">
        <f t="shared" si="13"/>
        <v>Out of Tolerance</v>
      </c>
    </row>
    <row r="77" spans="1:15" s="9" customFormat="1" x14ac:dyDescent="0.3">
      <c r="A77" s="167">
        <v>46147</v>
      </c>
      <c r="B77" s="61">
        <v>46147.083333333299</v>
      </c>
      <c r="C77" s="138">
        <f t="shared" si="7"/>
        <v>46147.083333333299</v>
      </c>
      <c r="D77" s="19" t="s">
        <v>41</v>
      </c>
      <c r="E77" s="8" t="s">
        <v>10</v>
      </c>
      <c r="F77" s="7" t="s">
        <v>11</v>
      </c>
      <c r="G77" s="13" t="s">
        <v>93</v>
      </c>
      <c r="H77" s="105">
        <v>14.2</v>
      </c>
      <c r="I77" s="44">
        <v>14.3</v>
      </c>
      <c r="J77" s="11" t="str">
        <f t="shared" si="8"/>
        <v/>
      </c>
      <c r="K77" s="12" t="str">
        <f t="shared" si="9"/>
        <v/>
      </c>
      <c r="L77" s="125">
        <f t="shared" si="10"/>
        <v>0.10000000000000142</v>
      </c>
      <c r="M77" s="47" t="str">
        <f t="shared" si="11"/>
        <v/>
      </c>
      <c r="N77" s="47" t="str">
        <f t="shared" si="12"/>
        <v/>
      </c>
      <c r="O77" s="47" t="str">
        <f t="shared" si="13"/>
        <v>Within Tolerance</v>
      </c>
    </row>
    <row r="78" spans="1:15" s="9" customFormat="1" x14ac:dyDescent="0.3">
      <c r="A78" s="166">
        <v>46147</v>
      </c>
      <c r="B78" s="61">
        <v>46147.166666666701</v>
      </c>
      <c r="C78" s="138">
        <f t="shared" si="7"/>
        <v>46147.166666666701</v>
      </c>
      <c r="D78" s="19" t="s">
        <v>41</v>
      </c>
      <c r="E78" s="8" t="s">
        <v>10</v>
      </c>
      <c r="F78" s="7" t="s">
        <v>11</v>
      </c>
      <c r="G78" s="13" t="s">
        <v>93</v>
      </c>
      <c r="H78" s="105">
        <v>14.2</v>
      </c>
      <c r="I78" s="44">
        <v>14.2</v>
      </c>
      <c r="J78" s="11" t="str">
        <f t="shared" si="8"/>
        <v/>
      </c>
      <c r="K78" s="12" t="str">
        <f t="shared" si="9"/>
        <v/>
      </c>
      <c r="L78" s="125">
        <f t="shared" si="10"/>
        <v>0</v>
      </c>
      <c r="M78" s="47" t="str">
        <f t="shared" si="11"/>
        <v/>
      </c>
      <c r="N78" s="47" t="str">
        <f t="shared" si="12"/>
        <v/>
      </c>
      <c r="O78" s="47" t="str">
        <f t="shared" si="13"/>
        <v>Within Tolerance</v>
      </c>
    </row>
    <row r="79" spans="1:15" s="9" customFormat="1" x14ac:dyDescent="0.3">
      <c r="A79" s="167">
        <v>46147</v>
      </c>
      <c r="B79" s="61">
        <v>46147.25</v>
      </c>
      <c r="C79" s="138">
        <f t="shared" si="7"/>
        <v>46147.25</v>
      </c>
      <c r="D79" s="19" t="s">
        <v>41</v>
      </c>
      <c r="E79" s="8" t="s">
        <v>10</v>
      </c>
      <c r="F79" s="7" t="s">
        <v>11</v>
      </c>
      <c r="G79" s="13" t="s">
        <v>93</v>
      </c>
      <c r="H79" s="105">
        <v>14.2</v>
      </c>
      <c r="I79" s="44">
        <v>14.3</v>
      </c>
      <c r="J79" s="11" t="str">
        <f t="shared" si="8"/>
        <v/>
      </c>
      <c r="K79" s="12" t="str">
        <f t="shared" si="9"/>
        <v/>
      </c>
      <c r="L79" s="125">
        <f t="shared" si="10"/>
        <v>0.10000000000000142</v>
      </c>
      <c r="M79" s="47" t="str">
        <f t="shared" si="11"/>
        <v/>
      </c>
      <c r="N79" s="47" t="str">
        <f t="shared" si="12"/>
        <v/>
      </c>
      <c r="O79" s="47" t="str">
        <f t="shared" si="13"/>
        <v>Within Tolerance</v>
      </c>
    </row>
    <row r="80" spans="1:15" s="9" customFormat="1" x14ac:dyDescent="0.3">
      <c r="A80" s="166">
        <v>46146</v>
      </c>
      <c r="B80" s="61">
        <v>46146.357638888898</v>
      </c>
      <c r="C80" s="138">
        <f t="shared" si="7"/>
        <v>46146.357638888898</v>
      </c>
      <c r="D80" s="19" t="s">
        <v>29</v>
      </c>
      <c r="E80" s="8" t="s">
        <v>10</v>
      </c>
      <c r="F80" s="7" t="s">
        <v>15</v>
      </c>
      <c r="G80" s="13" t="s">
        <v>93</v>
      </c>
      <c r="H80" s="105">
        <v>14.1</v>
      </c>
      <c r="I80" s="18" t="s">
        <v>93</v>
      </c>
      <c r="J80" s="11" t="str">
        <f t="shared" si="8"/>
        <v/>
      </c>
      <c r="K80" s="12" t="str">
        <f t="shared" si="9"/>
        <v/>
      </c>
      <c r="L80" s="125" t="str">
        <f t="shared" si="10"/>
        <v/>
      </c>
      <c r="M80" s="47" t="str">
        <f t="shared" si="11"/>
        <v/>
      </c>
      <c r="N80" s="47" t="str">
        <f t="shared" si="12"/>
        <v/>
      </c>
      <c r="O80" s="47" t="str">
        <f t="shared" si="13"/>
        <v/>
      </c>
    </row>
    <row r="81" spans="1:15" s="9" customFormat="1" x14ac:dyDescent="0.3">
      <c r="A81" s="167">
        <v>46146</v>
      </c>
      <c r="B81" s="61">
        <v>46146.386805555601</v>
      </c>
      <c r="C81" s="138">
        <f t="shared" si="7"/>
        <v>46146.386805555601</v>
      </c>
      <c r="D81" s="19" t="s">
        <v>29</v>
      </c>
      <c r="E81" s="8" t="s">
        <v>10</v>
      </c>
      <c r="F81" s="7" t="s">
        <v>15</v>
      </c>
      <c r="G81" s="13" t="s">
        <v>93</v>
      </c>
      <c r="H81" s="105">
        <v>14.2</v>
      </c>
      <c r="I81" s="44">
        <v>14.1</v>
      </c>
      <c r="J81" s="11" t="str">
        <f t="shared" si="8"/>
        <v/>
      </c>
      <c r="K81" s="12" t="str">
        <f t="shared" si="9"/>
        <v/>
      </c>
      <c r="L81" s="125">
        <f t="shared" si="10"/>
        <v>-9.9999999999999645E-2</v>
      </c>
      <c r="M81" s="47" t="str">
        <f t="shared" si="11"/>
        <v/>
      </c>
      <c r="N81" s="47" t="str">
        <f t="shared" si="12"/>
        <v/>
      </c>
      <c r="O81" s="47" t="str">
        <f t="shared" si="13"/>
        <v>Within Tolerance</v>
      </c>
    </row>
    <row r="82" spans="1:15" s="9" customFormat="1" x14ac:dyDescent="0.3">
      <c r="A82" s="166">
        <v>46146</v>
      </c>
      <c r="B82" s="61">
        <v>46146.4375</v>
      </c>
      <c r="C82" s="138">
        <f t="shared" si="7"/>
        <v>46146.4375</v>
      </c>
      <c r="D82" s="19" t="s">
        <v>29</v>
      </c>
      <c r="E82" s="8" t="s">
        <v>10</v>
      </c>
      <c r="F82" s="7" t="s">
        <v>15</v>
      </c>
      <c r="G82" s="8">
        <v>14.12</v>
      </c>
      <c r="H82" s="105">
        <v>14.1</v>
      </c>
      <c r="I82" s="44">
        <v>14.1</v>
      </c>
      <c r="J82" s="11">
        <f t="shared" si="8"/>
        <v>-1.9999999999999574E-2</v>
      </c>
      <c r="K82" s="12">
        <f t="shared" si="9"/>
        <v>-1.9999999999999574E-2</v>
      </c>
      <c r="L82" s="125">
        <f t="shared" si="10"/>
        <v>0</v>
      </c>
      <c r="M82" s="47" t="str">
        <f t="shared" si="11"/>
        <v>Within Tolerance</v>
      </c>
      <c r="N82" s="47" t="str">
        <f t="shared" si="12"/>
        <v>Within Tolerance</v>
      </c>
      <c r="O82" s="47" t="str">
        <f t="shared" si="13"/>
        <v>Within Tolerance</v>
      </c>
    </row>
    <row r="83" spans="1:15" s="9" customFormat="1" x14ac:dyDescent="0.3">
      <c r="A83" s="167">
        <v>46146</v>
      </c>
      <c r="B83" s="61">
        <v>46146.520833333299</v>
      </c>
      <c r="C83" s="138">
        <f t="shared" si="7"/>
        <v>46146.520833333299</v>
      </c>
      <c r="D83" s="19" t="s">
        <v>29</v>
      </c>
      <c r="E83" s="8" t="s">
        <v>10</v>
      </c>
      <c r="F83" s="7" t="s">
        <v>15</v>
      </c>
      <c r="G83" s="13" t="s">
        <v>93</v>
      </c>
      <c r="H83" s="105">
        <v>14.2</v>
      </c>
      <c r="I83" s="44">
        <v>14.2</v>
      </c>
      <c r="J83" s="11" t="str">
        <f t="shared" si="8"/>
        <v/>
      </c>
      <c r="K83" s="12" t="str">
        <f t="shared" si="9"/>
        <v/>
      </c>
      <c r="L83" s="125">
        <f t="shared" si="10"/>
        <v>0</v>
      </c>
      <c r="M83" s="47" t="str">
        <f t="shared" si="11"/>
        <v/>
      </c>
      <c r="N83" s="47" t="str">
        <f t="shared" si="12"/>
        <v/>
      </c>
      <c r="O83" s="47" t="str">
        <f t="shared" si="13"/>
        <v>Within Tolerance</v>
      </c>
    </row>
    <row r="84" spans="1:15" s="9" customFormat="1" x14ac:dyDescent="0.3">
      <c r="A84" s="166">
        <v>46146</v>
      </c>
      <c r="B84" s="61">
        <v>46146.604166666701</v>
      </c>
      <c r="C84" s="138">
        <f t="shared" si="7"/>
        <v>46146.604166666701</v>
      </c>
      <c r="D84" s="19" t="s">
        <v>29</v>
      </c>
      <c r="E84" s="8" t="s">
        <v>10</v>
      </c>
      <c r="F84" s="7" t="s">
        <v>15</v>
      </c>
      <c r="G84" s="13" t="s">
        <v>93</v>
      </c>
      <c r="H84" s="105">
        <v>14.2</v>
      </c>
      <c r="I84" s="44">
        <v>14.1</v>
      </c>
      <c r="J84" s="11" t="str">
        <f t="shared" si="8"/>
        <v/>
      </c>
      <c r="K84" s="12" t="str">
        <f t="shared" si="9"/>
        <v/>
      </c>
      <c r="L84" s="125">
        <f t="shared" si="10"/>
        <v>-9.9999999999999645E-2</v>
      </c>
      <c r="M84" s="47" t="str">
        <f t="shared" si="11"/>
        <v/>
      </c>
      <c r="N84" s="47" t="str">
        <f t="shared" si="12"/>
        <v/>
      </c>
      <c r="O84" s="47" t="str">
        <f t="shared" si="13"/>
        <v>Within Tolerance</v>
      </c>
    </row>
    <row r="85" spans="1:15" s="9" customFormat="1" x14ac:dyDescent="0.3">
      <c r="A85" s="167">
        <v>46146</v>
      </c>
      <c r="B85" s="61">
        <v>46146.666666666701</v>
      </c>
      <c r="C85" s="138">
        <f t="shared" si="7"/>
        <v>46146.666666666701</v>
      </c>
      <c r="D85" s="19" t="s">
        <v>29</v>
      </c>
      <c r="E85" s="8" t="s">
        <v>10</v>
      </c>
      <c r="F85" s="7" t="s">
        <v>15</v>
      </c>
      <c r="G85" s="13" t="s">
        <v>93</v>
      </c>
      <c r="H85" s="105">
        <v>14.2</v>
      </c>
      <c r="I85" s="44">
        <v>14.2</v>
      </c>
      <c r="J85" s="11" t="str">
        <f t="shared" si="8"/>
        <v/>
      </c>
      <c r="K85" s="12" t="str">
        <f t="shared" si="9"/>
        <v/>
      </c>
      <c r="L85" s="125">
        <f t="shared" si="10"/>
        <v>0</v>
      </c>
      <c r="M85" s="47" t="str">
        <f t="shared" si="11"/>
        <v/>
      </c>
      <c r="N85" s="47" t="str">
        <f t="shared" si="12"/>
        <v/>
      </c>
      <c r="O85" s="47" t="str">
        <f t="shared" si="13"/>
        <v>Within Tolerance</v>
      </c>
    </row>
    <row r="86" spans="1:15" s="9" customFormat="1" x14ac:dyDescent="0.3">
      <c r="A86" s="166">
        <v>46146</v>
      </c>
      <c r="B86" s="61">
        <v>46146.75</v>
      </c>
      <c r="C86" s="138">
        <f t="shared" si="7"/>
        <v>46146.75</v>
      </c>
      <c r="D86" s="19" t="s">
        <v>29</v>
      </c>
      <c r="E86" s="8" t="s">
        <v>10</v>
      </c>
      <c r="F86" s="7" t="s">
        <v>15</v>
      </c>
      <c r="G86" s="13" t="s">
        <v>93</v>
      </c>
      <c r="H86" s="105">
        <v>14.2</v>
      </c>
      <c r="I86" s="44">
        <v>14.2</v>
      </c>
      <c r="J86" s="11" t="str">
        <f t="shared" si="8"/>
        <v/>
      </c>
      <c r="K86" s="12" t="str">
        <f t="shared" si="9"/>
        <v/>
      </c>
      <c r="L86" s="125">
        <f t="shared" si="10"/>
        <v>0</v>
      </c>
      <c r="M86" s="47" t="str">
        <f t="shared" si="11"/>
        <v/>
      </c>
      <c r="N86" s="47" t="str">
        <f t="shared" si="12"/>
        <v/>
      </c>
      <c r="O86" s="47" t="str">
        <f t="shared" si="13"/>
        <v>Within Tolerance</v>
      </c>
    </row>
    <row r="87" spans="1:15" s="9" customFormat="1" x14ac:dyDescent="0.3">
      <c r="A87" s="167">
        <v>46146</v>
      </c>
      <c r="B87" s="61">
        <v>46146.833333333299</v>
      </c>
      <c r="C87" s="138">
        <f t="shared" si="7"/>
        <v>46146.833333333299</v>
      </c>
      <c r="D87" s="19" t="s">
        <v>29</v>
      </c>
      <c r="E87" s="8" t="s">
        <v>10</v>
      </c>
      <c r="F87" s="7" t="s">
        <v>15</v>
      </c>
      <c r="G87" s="13" t="s">
        <v>93</v>
      </c>
      <c r="H87" s="105">
        <v>14.3</v>
      </c>
      <c r="I87" s="44">
        <v>14.2</v>
      </c>
      <c r="J87" s="11" t="str">
        <f t="shared" si="8"/>
        <v/>
      </c>
      <c r="K87" s="12" t="str">
        <f t="shared" si="9"/>
        <v/>
      </c>
      <c r="L87" s="125">
        <f t="shared" si="10"/>
        <v>-0.10000000000000142</v>
      </c>
      <c r="M87" s="47" t="str">
        <f t="shared" si="11"/>
        <v/>
      </c>
      <c r="N87" s="47" t="str">
        <f t="shared" si="12"/>
        <v/>
      </c>
      <c r="O87" s="47" t="str">
        <f t="shared" si="13"/>
        <v>Within Tolerance</v>
      </c>
    </row>
    <row r="88" spans="1:15" s="9" customFormat="1" x14ac:dyDescent="0.3">
      <c r="A88" s="166">
        <v>46146</v>
      </c>
      <c r="B88" s="61">
        <v>46146.899305555598</v>
      </c>
      <c r="C88" s="138">
        <f t="shared" si="7"/>
        <v>46146.899305555598</v>
      </c>
      <c r="D88" s="19" t="s">
        <v>16</v>
      </c>
      <c r="E88" s="8" t="s">
        <v>17</v>
      </c>
      <c r="F88" s="7" t="s">
        <v>15</v>
      </c>
      <c r="G88" s="13" t="s">
        <v>93</v>
      </c>
      <c r="H88" s="105">
        <v>13.9</v>
      </c>
      <c r="I88" s="18" t="s">
        <v>93</v>
      </c>
      <c r="J88" s="11" t="str">
        <f t="shared" si="8"/>
        <v/>
      </c>
      <c r="K88" s="12" t="str">
        <f t="shared" si="9"/>
        <v/>
      </c>
      <c r="L88" s="125" t="str">
        <f t="shared" si="10"/>
        <v/>
      </c>
      <c r="M88" s="47" t="str">
        <f t="shared" si="11"/>
        <v/>
      </c>
      <c r="N88" s="47" t="str">
        <f t="shared" si="12"/>
        <v/>
      </c>
      <c r="O88" s="47" t="str">
        <f t="shared" si="13"/>
        <v/>
      </c>
    </row>
    <row r="89" spans="1:15" s="9" customFormat="1" x14ac:dyDescent="0.3">
      <c r="A89" s="167">
        <v>46147</v>
      </c>
      <c r="B89" s="61">
        <v>46147</v>
      </c>
      <c r="C89" s="138">
        <f t="shared" si="7"/>
        <v>46147</v>
      </c>
      <c r="D89" s="19" t="s">
        <v>16</v>
      </c>
      <c r="E89" s="8" t="s">
        <v>17</v>
      </c>
      <c r="F89" s="7" t="s">
        <v>15</v>
      </c>
      <c r="G89" s="13">
        <v>14.35</v>
      </c>
      <c r="H89" s="105">
        <v>14</v>
      </c>
      <c r="I89" s="44">
        <v>14.4</v>
      </c>
      <c r="J89" s="11">
        <f t="shared" si="8"/>
        <v>-0.34999999999999964</v>
      </c>
      <c r="K89" s="12">
        <f t="shared" si="9"/>
        <v>5.0000000000000711E-2</v>
      </c>
      <c r="L89" s="125">
        <f t="shared" si="10"/>
        <v>0.40000000000000036</v>
      </c>
      <c r="M89" s="47" t="str">
        <f t="shared" si="11"/>
        <v>Out of Tolerance</v>
      </c>
      <c r="N89" s="47" t="str">
        <f t="shared" si="12"/>
        <v>Within Tolerance</v>
      </c>
      <c r="O89" s="47" t="str">
        <f t="shared" si="13"/>
        <v>Out of Tolerance</v>
      </c>
    </row>
    <row r="90" spans="1:15" s="9" customFormat="1" x14ac:dyDescent="0.3">
      <c r="A90" s="166">
        <v>46147</v>
      </c>
      <c r="B90" s="61">
        <v>46147.145833333299</v>
      </c>
      <c r="C90" s="138">
        <f t="shared" si="7"/>
        <v>46147.145833333299</v>
      </c>
      <c r="D90" s="19" t="s">
        <v>16</v>
      </c>
      <c r="E90" s="8" t="s">
        <v>17</v>
      </c>
      <c r="F90" s="7" t="s">
        <v>15</v>
      </c>
      <c r="G90" s="13" t="s">
        <v>93</v>
      </c>
      <c r="H90" s="105">
        <v>14</v>
      </c>
      <c r="I90" s="44">
        <v>14.2</v>
      </c>
      <c r="J90" s="11" t="str">
        <f t="shared" si="8"/>
        <v/>
      </c>
      <c r="K90" s="12" t="str">
        <f t="shared" si="9"/>
        <v/>
      </c>
      <c r="L90" s="125">
        <f t="shared" si="10"/>
        <v>0.19999999999999929</v>
      </c>
      <c r="M90" s="47" t="str">
        <f t="shared" si="11"/>
        <v/>
      </c>
      <c r="N90" s="47" t="str">
        <f t="shared" si="12"/>
        <v/>
      </c>
      <c r="O90" s="47" t="str">
        <f t="shared" si="13"/>
        <v>Within Tolerance</v>
      </c>
    </row>
    <row r="91" spans="1:15" s="9" customFormat="1" x14ac:dyDescent="0.3">
      <c r="A91" s="167">
        <v>46147</v>
      </c>
      <c r="B91" s="61">
        <v>46147.25</v>
      </c>
      <c r="C91" s="138">
        <f t="shared" si="7"/>
        <v>46147.25</v>
      </c>
      <c r="D91" s="19" t="s">
        <v>16</v>
      </c>
      <c r="E91" s="8" t="s">
        <v>17</v>
      </c>
      <c r="F91" s="7" t="s">
        <v>15</v>
      </c>
      <c r="G91" s="13" t="s">
        <v>93</v>
      </c>
      <c r="H91" s="105">
        <v>14</v>
      </c>
      <c r="I91" s="44">
        <v>14.3</v>
      </c>
      <c r="J91" s="11" t="str">
        <f t="shared" si="8"/>
        <v/>
      </c>
      <c r="K91" s="12" t="str">
        <f t="shared" si="9"/>
        <v/>
      </c>
      <c r="L91" s="125">
        <f t="shared" si="10"/>
        <v>0.30000000000000071</v>
      </c>
      <c r="M91" s="47" t="str">
        <f t="shared" si="11"/>
        <v/>
      </c>
      <c r="N91" s="47" t="str">
        <f t="shared" si="12"/>
        <v/>
      </c>
      <c r="O91" s="47" t="str">
        <f t="shared" si="13"/>
        <v>Out of Tolerance</v>
      </c>
    </row>
    <row r="92" spans="1:15" s="9" customFormat="1" x14ac:dyDescent="0.3">
      <c r="A92" s="166">
        <v>46146</v>
      </c>
      <c r="B92" s="61">
        <v>46146.434027777803</v>
      </c>
      <c r="C92" s="138">
        <f t="shared" si="7"/>
        <v>46146.434027777803</v>
      </c>
      <c r="D92" s="19" t="s">
        <v>34</v>
      </c>
      <c r="E92" s="8" t="s">
        <v>14</v>
      </c>
      <c r="F92" s="7" t="s">
        <v>19</v>
      </c>
      <c r="G92" s="13" t="s">
        <v>93</v>
      </c>
      <c r="H92" s="105">
        <v>13.8</v>
      </c>
      <c r="I92" s="44">
        <v>13.9</v>
      </c>
      <c r="J92" s="11" t="str">
        <f t="shared" si="8"/>
        <v/>
      </c>
      <c r="K92" s="12" t="str">
        <f t="shared" si="9"/>
        <v/>
      </c>
      <c r="L92" s="125">
        <f t="shared" si="10"/>
        <v>9.9999999999999645E-2</v>
      </c>
      <c r="M92" s="47" t="str">
        <f t="shared" si="11"/>
        <v/>
      </c>
      <c r="N92" s="47" t="str">
        <f t="shared" si="12"/>
        <v/>
      </c>
      <c r="O92" s="47" t="str">
        <f t="shared" si="13"/>
        <v>Within Tolerance</v>
      </c>
    </row>
    <row r="93" spans="1:15" s="9" customFormat="1" x14ac:dyDescent="0.3">
      <c r="A93" s="167">
        <v>46146</v>
      </c>
      <c r="B93" s="61">
        <v>46146.541666666701</v>
      </c>
      <c r="C93" s="138">
        <f t="shared" si="7"/>
        <v>46146.541666666701</v>
      </c>
      <c r="D93" s="19" t="s">
        <v>21</v>
      </c>
      <c r="E93" s="8" t="s">
        <v>10</v>
      </c>
      <c r="F93" s="7" t="s">
        <v>19</v>
      </c>
      <c r="G93" s="13" t="s">
        <v>93</v>
      </c>
      <c r="H93" s="105">
        <v>13.8</v>
      </c>
      <c r="I93" s="44">
        <v>13.7</v>
      </c>
      <c r="J93" s="11" t="str">
        <f t="shared" si="8"/>
        <v/>
      </c>
      <c r="K93" s="12" t="str">
        <f t="shared" si="9"/>
        <v/>
      </c>
      <c r="L93" s="125">
        <f t="shared" si="10"/>
        <v>-0.10000000000000142</v>
      </c>
      <c r="M93" s="47" t="str">
        <f t="shared" si="11"/>
        <v/>
      </c>
      <c r="N93" s="47" t="str">
        <f t="shared" si="12"/>
        <v/>
      </c>
      <c r="O93" s="47" t="str">
        <f t="shared" si="13"/>
        <v>Within Tolerance</v>
      </c>
    </row>
    <row r="94" spans="1:15" s="9" customFormat="1" x14ac:dyDescent="0.3">
      <c r="A94" s="166">
        <v>46146</v>
      </c>
      <c r="B94" s="61">
        <v>46146.659722222197</v>
      </c>
      <c r="C94" s="138">
        <f t="shared" si="7"/>
        <v>46146.659722222197</v>
      </c>
      <c r="D94" s="7" t="s">
        <v>31</v>
      </c>
      <c r="E94" s="8" t="s">
        <v>14</v>
      </c>
      <c r="F94" s="7" t="s">
        <v>19</v>
      </c>
      <c r="G94" s="13" t="s">
        <v>93</v>
      </c>
      <c r="H94" s="105">
        <v>13.8</v>
      </c>
      <c r="I94" s="44">
        <v>13.9</v>
      </c>
      <c r="J94" s="11" t="str">
        <f t="shared" si="8"/>
        <v/>
      </c>
      <c r="K94" s="12" t="str">
        <f t="shared" si="9"/>
        <v/>
      </c>
      <c r="L94" s="125">
        <f t="shared" si="10"/>
        <v>9.9999999999999645E-2</v>
      </c>
      <c r="M94" s="47" t="str">
        <f t="shared" si="11"/>
        <v/>
      </c>
      <c r="N94" s="47" t="str">
        <f t="shared" si="12"/>
        <v/>
      </c>
      <c r="O94" s="47" t="str">
        <f t="shared" si="13"/>
        <v>Within Tolerance</v>
      </c>
    </row>
    <row r="95" spans="1:15" s="9" customFormat="1" x14ac:dyDescent="0.3">
      <c r="A95" s="167">
        <v>46146</v>
      </c>
      <c r="B95" s="61">
        <v>46146.802083333299</v>
      </c>
      <c r="C95" s="138">
        <f t="shared" si="7"/>
        <v>46146.802083333299</v>
      </c>
      <c r="D95" s="19" t="s">
        <v>36</v>
      </c>
      <c r="E95" s="8" t="s">
        <v>10</v>
      </c>
      <c r="F95" s="7" t="s">
        <v>19</v>
      </c>
      <c r="G95" s="13" t="s">
        <v>93</v>
      </c>
      <c r="H95" s="105">
        <v>13.7</v>
      </c>
      <c r="I95" s="44">
        <v>13.6</v>
      </c>
      <c r="J95" s="11" t="str">
        <f t="shared" si="8"/>
        <v/>
      </c>
      <c r="K95" s="12" t="str">
        <f t="shared" si="9"/>
        <v/>
      </c>
      <c r="L95" s="125">
        <f t="shared" si="10"/>
        <v>-9.9999999999999645E-2</v>
      </c>
      <c r="M95" s="47" t="str">
        <f t="shared" si="11"/>
        <v/>
      </c>
      <c r="N95" s="47" t="str">
        <f t="shared" si="12"/>
        <v/>
      </c>
      <c r="O95" s="47" t="str">
        <f t="shared" si="13"/>
        <v>Within Tolerance</v>
      </c>
    </row>
    <row r="96" spans="1:15" s="9" customFormat="1" x14ac:dyDescent="0.3">
      <c r="A96" s="166">
        <v>46146</v>
      </c>
      <c r="B96" s="61">
        <v>46146.461805555598</v>
      </c>
      <c r="C96" s="138">
        <f t="shared" si="7"/>
        <v>46146.461805555598</v>
      </c>
      <c r="D96" s="19" t="s">
        <v>45</v>
      </c>
      <c r="E96" s="8" t="s">
        <v>17</v>
      </c>
      <c r="F96" s="7" t="s">
        <v>24</v>
      </c>
      <c r="G96" s="8">
        <v>12.94</v>
      </c>
      <c r="H96" s="105">
        <v>13.1</v>
      </c>
      <c r="I96" s="44">
        <v>13</v>
      </c>
      <c r="J96" s="11">
        <f t="shared" si="8"/>
        <v>0.16000000000000014</v>
      </c>
      <c r="K96" s="12">
        <f t="shared" si="9"/>
        <v>6.0000000000000497E-2</v>
      </c>
      <c r="L96" s="125">
        <f t="shared" si="10"/>
        <v>-9.9999999999999645E-2</v>
      </c>
      <c r="M96" s="47" t="str">
        <f t="shared" si="11"/>
        <v>Within Tolerance</v>
      </c>
      <c r="N96" s="47" t="str">
        <f t="shared" si="12"/>
        <v>Within Tolerance</v>
      </c>
      <c r="O96" s="47" t="str">
        <f t="shared" si="13"/>
        <v>Within Tolerance</v>
      </c>
    </row>
    <row r="97" spans="1:15" s="9" customFormat="1" x14ac:dyDescent="0.3">
      <c r="A97" s="167">
        <v>46146</v>
      </c>
      <c r="B97" s="61">
        <v>46146.506944444402</v>
      </c>
      <c r="C97" s="138">
        <f t="shared" si="7"/>
        <v>46146.506944444402</v>
      </c>
      <c r="D97" s="19" t="s">
        <v>50</v>
      </c>
      <c r="E97" s="8" t="s">
        <v>10</v>
      </c>
      <c r="F97" s="7" t="s">
        <v>24</v>
      </c>
      <c r="G97" s="13" t="s">
        <v>93</v>
      </c>
      <c r="H97" s="105">
        <v>14</v>
      </c>
      <c r="I97" s="44">
        <v>13.8</v>
      </c>
      <c r="J97" s="11" t="str">
        <f t="shared" si="8"/>
        <v/>
      </c>
      <c r="K97" s="12" t="str">
        <f t="shared" si="9"/>
        <v/>
      </c>
      <c r="L97" s="125">
        <f t="shared" si="10"/>
        <v>-0.19999999999999929</v>
      </c>
      <c r="M97" s="47" t="str">
        <f t="shared" si="11"/>
        <v/>
      </c>
      <c r="N97" s="47" t="str">
        <f t="shared" si="12"/>
        <v/>
      </c>
      <c r="O97" s="47" t="str">
        <f t="shared" si="13"/>
        <v>Within Tolerance</v>
      </c>
    </row>
    <row r="98" spans="1:15" s="9" customFormat="1" x14ac:dyDescent="0.3">
      <c r="A98" s="166">
        <v>46146</v>
      </c>
      <c r="B98" s="61">
        <v>46146.576388888898</v>
      </c>
      <c r="C98" s="138">
        <f t="shared" si="7"/>
        <v>46146.576388888898</v>
      </c>
      <c r="D98" s="19" t="s">
        <v>23</v>
      </c>
      <c r="E98" s="8" t="s">
        <v>10</v>
      </c>
      <c r="F98" s="7" t="s">
        <v>24</v>
      </c>
      <c r="G98" s="13" t="s">
        <v>93</v>
      </c>
      <c r="H98" s="105">
        <v>14</v>
      </c>
      <c r="I98" s="44">
        <v>13.9</v>
      </c>
      <c r="J98" s="11" t="str">
        <f t="shared" si="8"/>
        <v/>
      </c>
      <c r="K98" s="12" t="str">
        <f t="shared" si="9"/>
        <v/>
      </c>
      <c r="L98" s="125">
        <f t="shared" si="10"/>
        <v>-9.9999999999999645E-2</v>
      </c>
      <c r="M98" s="47" t="str">
        <f t="shared" si="11"/>
        <v/>
      </c>
      <c r="N98" s="47" t="str">
        <f t="shared" si="12"/>
        <v/>
      </c>
      <c r="O98" s="47" t="str">
        <f t="shared" si="13"/>
        <v>Within Tolerance</v>
      </c>
    </row>
    <row r="99" spans="1:15" s="9" customFormat="1" x14ac:dyDescent="0.3">
      <c r="A99" s="167">
        <v>46146</v>
      </c>
      <c r="B99" s="61">
        <v>46146.659722222197</v>
      </c>
      <c r="C99" s="138">
        <f t="shared" si="7"/>
        <v>46146.659722222197</v>
      </c>
      <c r="D99" s="19" t="s">
        <v>51</v>
      </c>
      <c r="E99" s="8" t="s">
        <v>10</v>
      </c>
      <c r="F99" s="7" t="s">
        <v>24</v>
      </c>
      <c r="G99" s="13" t="s">
        <v>93</v>
      </c>
      <c r="H99" s="105">
        <v>14</v>
      </c>
      <c r="I99" s="44">
        <v>13.9</v>
      </c>
      <c r="J99" s="11" t="str">
        <f t="shared" si="8"/>
        <v/>
      </c>
      <c r="K99" s="12" t="str">
        <f t="shared" si="9"/>
        <v/>
      </c>
      <c r="L99" s="125">
        <f t="shared" si="10"/>
        <v>-9.9999999999999645E-2</v>
      </c>
      <c r="M99" s="47" t="str">
        <f t="shared" si="11"/>
        <v/>
      </c>
      <c r="N99" s="47" t="str">
        <f t="shared" si="12"/>
        <v/>
      </c>
      <c r="O99" s="47" t="str">
        <f t="shared" si="13"/>
        <v>Within Tolerance</v>
      </c>
    </row>
    <row r="100" spans="1:15" s="9" customFormat="1" x14ac:dyDescent="0.3">
      <c r="A100" s="166">
        <v>46147</v>
      </c>
      <c r="B100" s="61">
        <v>46147.347222222197</v>
      </c>
      <c r="C100" s="138">
        <f t="shared" si="7"/>
        <v>46147.347222222197</v>
      </c>
      <c r="D100" s="19" t="s">
        <v>52</v>
      </c>
      <c r="E100" s="8" t="s">
        <v>17</v>
      </c>
      <c r="F100" s="7" t="s">
        <v>15</v>
      </c>
      <c r="G100" s="8">
        <v>14.04</v>
      </c>
      <c r="H100" s="106">
        <v>14.3</v>
      </c>
      <c r="I100" s="111">
        <v>14.2</v>
      </c>
      <c r="J100" s="11">
        <f t="shared" si="8"/>
        <v>0.26000000000000156</v>
      </c>
      <c r="K100" s="12">
        <f t="shared" si="9"/>
        <v>0.16000000000000014</v>
      </c>
      <c r="L100" s="125">
        <f t="shared" si="10"/>
        <v>-0.10000000000000142</v>
      </c>
      <c r="M100" s="47" t="str">
        <f t="shared" si="11"/>
        <v>Out of Tolerance</v>
      </c>
      <c r="N100" s="47" t="str">
        <f t="shared" si="12"/>
        <v>Within Tolerance</v>
      </c>
      <c r="O100" s="47" t="str">
        <f t="shared" si="13"/>
        <v>Within Tolerance</v>
      </c>
    </row>
    <row r="101" spans="1:15" s="9" customFormat="1" x14ac:dyDescent="0.3">
      <c r="A101" s="167">
        <v>46147</v>
      </c>
      <c r="B101" s="61">
        <v>46147.395833333299</v>
      </c>
      <c r="C101" s="138">
        <f t="shared" si="7"/>
        <v>46147.395833333299</v>
      </c>
      <c r="D101" s="19" t="s">
        <v>52</v>
      </c>
      <c r="E101" s="8" t="s">
        <v>17</v>
      </c>
      <c r="F101" s="7" t="s">
        <v>15</v>
      </c>
      <c r="G101" s="10">
        <v>14.1</v>
      </c>
      <c r="H101" s="106">
        <v>14.2</v>
      </c>
      <c r="I101" s="111">
        <v>13.9</v>
      </c>
      <c r="J101" s="11">
        <f t="shared" si="8"/>
        <v>9.9999999999999645E-2</v>
      </c>
      <c r="K101" s="12">
        <f t="shared" si="9"/>
        <v>-0.19999999999999929</v>
      </c>
      <c r="L101" s="125">
        <f t="shared" si="10"/>
        <v>-0.29999999999999893</v>
      </c>
      <c r="M101" s="47" t="str">
        <f t="shared" si="11"/>
        <v>Within Tolerance</v>
      </c>
      <c r="N101" s="47" t="str">
        <f t="shared" si="12"/>
        <v>Within Tolerance</v>
      </c>
      <c r="O101" s="47" t="str">
        <f t="shared" si="13"/>
        <v>Out of Tolerance</v>
      </c>
    </row>
    <row r="102" spans="1:15" s="9" customFormat="1" x14ac:dyDescent="0.3">
      <c r="A102" s="166">
        <v>46147</v>
      </c>
      <c r="B102" s="61">
        <v>46147.447916666701</v>
      </c>
      <c r="C102" s="138">
        <f t="shared" si="7"/>
        <v>46147.447916666701</v>
      </c>
      <c r="D102" s="19" t="s">
        <v>52</v>
      </c>
      <c r="E102" s="8" t="s">
        <v>17</v>
      </c>
      <c r="F102" s="7" t="s">
        <v>15</v>
      </c>
      <c r="G102" s="13" t="s">
        <v>93</v>
      </c>
      <c r="H102" s="106">
        <v>14.1</v>
      </c>
      <c r="I102" s="111">
        <v>14</v>
      </c>
      <c r="J102" s="11" t="str">
        <f t="shared" si="8"/>
        <v/>
      </c>
      <c r="K102" s="12" t="str">
        <f t="shared" si="9"/>
        <v/>
      </c>
      <c r="L102" s="125">
        <f t="shared" si="10"/>
        <v>-9.9999999999999645E-2</v>
      </c>
      <c r="M102" s="47" t="str">
        <f t="shared" si="11"/>
        <v/>
      </c>
      <c r="N102" s="47" t="str">
        <f t="shared" si="12"/>
        <v/>
      </c>
      <c r="O102" s="47" t="str">
        <f t="shared" si="13"/>
        <v>Within Tolerance</v>
      </c>
    </row>
    <row r="103" spans="1:15" s="9" customFormat="1" x14ac:dyDescent="0.3">
      <c r="A103" s="167">
        <v>46147</v>
      </c>
      <c r="B103" s="61">
        <v>46147.46875</v>
      </c>
      <c r="C103" s="138">
        <f t="shared" si="7"/>
        <v>46147.46875</v>
      </c>
      <c r="D103" s="19" t="s">
        <v>40</v>
      </c>
      <c r="E103" s="8" t="s">
        <v>17</v>
      </c>
      <c r="F103" s="7" t="s">
        <v>15</v>
      </c>
      <c r="G103" s="13" t="s">
        <v>93</v>
      </c>
      <c r="H103" s="106">
        <v>14.4</v>
      </c>
      <c r="I103" s="111">
        <v>14.4</v>
      </c>
      <c r="J103" s="11" t="str">
        <f t="shared" si="8"/>
        <v/>
      </c>
      <c r="K103" s="12" t="str">
        <f t="shared" si="9"/>
        <v/>
      </c>
      <c r="L103" s="125">
        <f t="shared" si="10"/>
        <v>0</v>
      </c>
      <c r="M103" s="47" t="str">
        <f t="shared" si="11"/>
        <v/>
      </c>
      <c r="N103" s="47" t="str">
        <f t="shared" si="12"/>
        <v/>
      </c>
      <c r="O103" s="47" t="str">
        <f t="shared" si="13"/>
        <v>Within Tolerance</v>
      </c>
    </row>
    <row r="104" spans="1:15" s="9" customFormat="1" x14ac:dyDescent="0.3">
      <c r="A104" s="166">
        <v>46147</v>
      </c>
      <c r="B104" s="61">
        <v>46147.520833333299</v>
      </c>
      <c r="C104" s="138">
        <f t="shared" si="7"/>
        <v>46147.520833333299</v>
      </c>
      <c r="D104" s="19" t="s">
        <v>40</v>
      </c>
      <c r="E104" s="8" t="s">
        <v>17</v>
      </c>
      <c r="F104" s="7" t="s">
        <v>15</v>
      </c>
      <c r="G104" s="13" t="s">
        <v>93</v>
      </c>
      <c r="H104" s="106">
        <v>14.4</v>
      </c>
      <c r="I104" s="111"/>
      <c r="J104" s="11" t="str">
        <f t="shared" si="8"/>
        <v/>
      </c>
      <c r="K104" s="12" t="str">
        <f t="shared" si="9"/>
        <v/>
      </c>
      <c r="L104" s="125" t="str">
        <f t="shared" si="10"/>
        <v/>
      </c>
      <c r="M104" s="47" t="str">
        <f t="shared" si="11"/>
        <v/>
      </c>
      <c r="N104" s="47" t="str">
        <f t="shared" si="12"/>
        <v/>
      </c>
      <c r="O104" s="47" t="str">
        <f t="shared" si="13"/>
        <v/>
      </c>
    </row>
    <row r="105" spans="1:15" s="9" customFormat="1" x14ac:dyDescent="0.3">
      <c r="A105" s="167">
        <v>46147</v>
      </c>
      <c r="B105" s="61">
        <v>46147.583333333299</v>
      </c>
      <c r="C105" s="138">
        <f t="shared" si="7"/>
        <v>46147.583333333299</v>
      </c>
      <c r="D105" s="19" t="s">
        <v>40</v>
      </c>
      <c r="E105" s="8" t="s">
        <v>17</v>
      </c>
      <c r="F105" s="7" t="s">
        <v>15</v>
      </c>
      <c r="G105" s="13" t="s">
        <v>93</v>
      </c>
      <c r="H105" s="106">
        <v>14.2</v>
      </c>
      <c r="I105" s="111">
        <v>14.3</v>
      </c>
      <c r="J105" s="11" t="str">
        <f t="shared" si="8"/>
        <v/>
      </c>
      <c r="K105" s="12" t="str">
        <f t="shared" si="9"/>
        <v/>
      </c>
      <c r="L105" s="125">
        <f t="shared" si="10"/>
        <v>0.10000000000000142</v>
      </c>
      <c r="M105" s="47" t="str">
        <f t="shared" si="11"/>
        <v/>
      </c>
      <c r="N105" s="47" t="str">
        <f t="shared" si="12"/>
        <v/>
      </c>
      <c r="O105" s="47" t="str">
        <f t="shared" si="13"/>
        <v>Within Tolerance</v>
      </c>
    </row>
    <row r="106" spans="1:15" s="9" customFormat="1" x14ac:dyDescent="0.3">
      <c r="A106" s="166">
        <v>46147</v>
      </c>
      <c r="B106" s="61">
        <v>46147.666666666701</v>
      </c>
      <c r="C106" s="138">
        <f t="shared" si="7"/>
        <v>46147.666666666701</v>
      </c>
      <c r="D106" s="19" t="s">
        <v>40</v>
      </c>
      <c r="E106" s="8" t="s">
        <v>17</v>
      </c>
      <c r="F106" s="7" t="s">
        <v>15</v>
      </c>
      <c r="G106" s="13" t="s">
        <v>93</v>
      </c>
      <c r="H106" s="106">
        <v>13.8</v>
      </c>
      <c r="I106" s="111">
        <v>13.7</v>
      </c>
      <c r="J106" s="11" t="str">
        <f t="shared" si="8"/>
        <v/>
      </c>
      <c r="K106" s="12" t="str">
        <f t="shared" si="9"/>
        <v/>
      </c>
      <c r="L106" s="125">
        <f t="shared" si="10"/>
        <v>-0.10000000000000142</v>
      </c>
      <c r="M106" s="47" t="str">
        <f t="shared" si="11"/>
        <v/>
      </c>
      <c r="N106" s="47" t="str">
        <f t="shared" si="12"/>
        <v/>
      </c>
      <c r="O106" s="47" t="str">
        <f t="shared" si="13"/>
        <v>Within Tolerance</v>
      </c>
    </row>
    <row r="107" spans="1:15" s="9" customFormat="1" x14ac:dyDescent="0.3">
      <c r="A107" s="167">
        <v>46147</v>
      </c>
      <c r="B107" s="61">
        <v>46147.75</v>
      </c>
      <c r="C107" s="138">
        <f t="shared" si="7"/>
        <v>46147.75</v>
      </c>
      <c r="D107" s="19" t="s">
        <v>40</v>
      </c>
      <c r="E107" s="8" t="s">
        <v>17</v>
      </c>
      <c r="F107" s="7" t="s">
        <v>15</v>
      </c>
      <c r="G107" s="13" t="s">
        <v>93</v>
      </c>
      <c r="H107" s="106">
        <v>13.9</v>
      </c>
      <c r="I107" s="111">
        <v>14.3</v>
      </c>
      <c r="J107" s="11" t="str">
        <f t="shared" si="8"/>
        <v/>
      </c>
      <c r="K107" s="12" t="str">
        <f t="shared" si="9"/>
        <v/>
      </c>
      <c r="L107" s="125">
        <f t="shared" si="10"/>
        <v>0.40000000000000036</v>
      </c>
      <c r="M107" s="47" t="str">
        <f t="shared" si="11"/>
        <v/>
      </c>
      <c r="N107" s="47" t="str">
        <f t="shared" si="12"/>
        <v/>
      </c>
      <c r="O107" s="47" t="str">
        <f t="shared" si="13"/>
        <v>Out of Tolerance</v>
      </c>
    </row>
    <row r="108" spans="1:15" s="9" customFormat="1" x14ac:dyDescent="0.3">
      <c r="A108" s="166">
        <v>46147</v>
      </c>
      <c r="B108" s="61">
        <v>46147.833333333299</v>
      </c>
      <c r="C108" s="138">
        <f t="shared" si="7"/>
        <v>46147.833333333299</v>
      </c>
      <c r="D108" s="19" t="s">
        <v>40</v>
      </c>
      <c r="E108" s="8" t="s">
        <v>17</v>
      </c>
      <c r="F108" s="7" t="s">
        <v>15</v>
      </c>
      <c r="G108" s="13" t="s">
        <v>93</v>
      </c>
      <c r="H108" s="106">
        <v>14.4</v>
      </c>
      <c r="I108" s="111">
        <v>14.3</v>
      </c>
      <c r="J108" s="11" t="str">
        <f t="shared" si="8"/>
        <v/>
      </c>
      <c r="K108" s="12" t="str">
        <f t="shared" si="9"/>
        <v/>
      </c>
      <c r="L108" s="125">
        <f t="shared" si="10"/>
        <v>-9.9999999999999645E-2</v>
      </c>
      <c r="M108" s="47" t="str">
        <f t="shared" si="11"/>
        <v/>
      </c>
      <c r="N108" s="47" t="str">
        <f t="shared" si="12"/>
        <v/>
      </c>
      <c r="O108" s="47" t="str">
        <f t="shared" si="13"/>
        <v>Within Tolerance</v>
      </c>
    </row>
    <row r="109" spans="1:15" s="9" customFormat="1" x14ac:dyDescent="0.3">
      <c r="A109" s="167">
        <v>46147</v>
      </c>
      <c r="B109" s="61">
        <v>46147.916666666701</v>
      </c>
      <c r="C109" s="138">
        <f t="shared" si="7"/>
        <v>46147.916666666701</v>
      </c>
      <c r="D109" s="19" t="s">
        <v>40</v>
      </c>
      <c r="E109" s="8" t="s">
        <v>17</v>
      </c>
      <c r="F109" s="7" t="s">
        <v>15</v>
      </c>
      <c r="G109" s="13" t="s">
        <v>93</v>
      </c>
      <c r="H109" s="106">
        <v>14.4</v>
      </c>
      <c r="I109" s="111">
        <v>14.7</v>
      </c>
      <c r="J109" s="11" t="str">
        <f t="shared" si="8"/>
        <v/>
      </c>
      <c r="K109" s="12" t="str">
        <f t="shared" si="9"/>
        <v/>
      </c>
      <c r="L109" s="125">
        <f t="shared" si="10"/>
        <v>0.29999999999999893</v>
      </c>
      <c r="M109" s="47" t="str">
        <f t="shared" si="11"/>
        <v/>
      </c>
      <c r="N109" s="47" t="str">
        <f t="shared" si="12"/>
        <v/>
      </c>
      <c r="O109" s="47" t="str">
        <f t="shared" si="13"/>
        <v>Out of Tolerance</v>
      </c>
    </row>
    <row r="110" spans="1:15" s="9" customFormat="1" x14ac:dyDescent="0.3">
      <c r="A110" s="166">
        <v>46148</v>
      </c>
      <c r="B110" s="61">
        <v>46148</v>
      </c>
      <c r="C110" s="138">
        <f t="shared" si="7"/>
        <v>46148</v>
      </c>
      <c r="D110" s="19" t="s">
        <v>40</v>
      </c>
      <c r="E110" s="8" t="s">
        <v>17</v>
      </c>
      <c r="F110" s="7" t="s">
        <v>15</v>
      </c>
      <c r="G110" s="13" t="s">
        <v>93</v>
      </c>
      <c r="H110" s="106">
        <v>14.3</v>
      </c>
      <c r="I110" s="111">
        <v>14.2</v>
      </c>
      <c r="J110" s="11" t="str">
        <f t="shared" si="8"/>
        <v/>
      </c>
      <c r="K110" s="12" t="str">
        <f t="shared" si="9"/>
        <v/>
      </c>
      <c r="L110" s="125">
        <f t="shared" si="10"/>
        <v>-0.10000000000000142</v>
      </c>
      <c r="M110" s="47" t="str">
        <f t="shared" si="11"/>
        <v/>
      </c>
      <c r="N110" s="47" t="str">
        <f t="shared" si="12"/>
        <v/>
      </c>
      <c r="O110" s="47" t="str">
        <f t="shared" si="13"/>
        <v>Within Tolerance</v>
      </c>
    </row>
    <row r="111" spans="1:15" s="9" customFormat="1" x14ac:dyDescent="0.3">
      <c r="A111" s="167">
        <v>46148</v>
      </c>
      <c r="B111" s="61">
        <v>46148.152777777803</v>
      </c>
      <c r="C111" s="138">
        <f t="shared" si="7"/>
        <v>46148.152777777803</v>
      </c>
      <c r="D111" s="19" t="s">
        <v>29</v>
      </c>
      <c r="E111" s="8" t="s">
        <v>10</v>
      </c>
      <c r="F111" s="7" t="s">
        <v>15</v>
      </c>
      <c r="G111" s="13" t="s">
        <v>93</v>
      </c>
      <c r="H111" s="106">
        <v>14.1</v>
      </c>
      <c r="I111" s="111">
        <v>14.3</v>
      </c>
      <c r="J111" s="11" t="str">
        <f t="shared" si="8"/>
        <v/>
      </c>
      <c r="K111" s="12" t="str">
        <f t="shared" si="9"/>
        <v/>
      </c>
      <c r="L111" s="125">
        <f t="shared" si="10"/>
        <v>0.20000000000000107</v>
      </c>
      <c r="M111" s="47" t="str">
        <f t="shared" si="11"/>
        <v/>
      </c>
      <c r="N111" s="47" t="str">
        <f t="shared" si="12"/>
        <v/>
      </c>
      <c r="O111" s="47" t="str">
        <f t="shared" si="13"/>
        <v>Out of Tolerance</v>
      </c>
    </row>
    <row r="112" spans="1:15" s="9" customFormat="1" x14ac:dyDescent="0.3">
      <c r="A112" s="166">
        <v>46148</v>
      </c>
      <c r="B112" s="61">
        <v>46148.208333333299</v>
      </c>
      <c r="C112" s="138">
        <f t="shared" si="7"/>
        <v>46148.208333333299</v>
      </c>
      <c r="D112" s="19" t="s">
        <v>29</v>
      </c>
      <c r="E112" s="8" t="s">
        <v>10</v>
      </c>
      <c r="F112" s="7" t="s">
        <v>15</v>
      </c>
      <c r="G112" s="13" t="s">
        <v>93</v>
      </c>
      <c r="H112" s="106">
        <v>14.1</v>
      </c>
      <c r="I112" s="111">
        <v>14.2</v>
      </c>
      <c r="J112" s="11" t="str">
        <f t="shared" si="8"/>
        <v/>
      </c>
      <c r="K112" s="12" t="str">
        <f t="shared" si="9"/>
        <v/>
      </c>
      <c r="L112" s="125">
        <f t="shared" si="10"/>
        <v>9.9999999999999645E-2</v>
      </c>
      <c r="M112" s="47" t="str">
        <f t="shared" si="11"/>
        <v/>
      </c>
      <c r="N112" s="47" t="str">
        <f t="shared" si="12"/>
        <v/>
      </c>
      <c r="O112" s="47" t="str">
        <f t="shared" si="13"/>
        <v>Within Tolerance</v>
      </c>
    </row>
    <row r="113" spans="1:15" s="9" customFormat="1" x14ac:dyDescent="0.3">
      <c r="A113" s="167">
        <v>46148</v>
      </c>
      <c r="B113" s="61">
        <v>46148.291666666701</v>
      </c>
      <c r="C113" s="138">
        <f t="shared" si="7"/>
        <v>46148.291666666701</v>
      </c>
      <c r="D113" s="19" t="s">
        <v>29</v>
      </c>
      <c r="E113" s="8" t="s">
        <v>10</v>
      </c>
      <c r="F113" s="7" t="s">
        <v>15</v>
      </c>
      <c r="G113" s="13" t="s">
        <v>93</v>
      </c>
      <c r="H113" s="106">
        <v>14.1</v>
      </c>
      <c r="I113" s="111">
        <v>14.2</v>
      </c>
      <c r="J113" s="11" t="str">
        <f t="shared" si="8"/>
        <v/>
      </c>
      <c r="K113" s="12" t="str">
        <f t="shared" si="9"/>
        <v/>
      </c>
      <c r="L113" s="125">
        <f t="shared" si="10"/>
        <v>9.9999999999999645E-2</v>
      </c>
      <c r="M113" s="47" t="str">
        <f t="shared" si="11"/>
        <v/>
      </c>
      <c r="N113" s="47" t="str">
        <f t="shared" si="12"/>
        <v/>
      </c>
      <c r="O113" s="47" t="str">
        <f t="shared" si="13"/>
        <v>Within Tolerance</v>
      </c>
    </row>
    <row r="114" spans="1:15" s="9" customFormat="1" x14ac:dyDescent="0.3">
      <c r="A114" s="166">
        <v>46147</v>
      </c>
      <c r="B114" s="61">
        <v>46147.614583333299</v>
      </c>
      <c r="C114" s="138">
        <f t="shared" si="7"/>
        <v>46147.614583333299</v>
      </c>
      <c r="D114" s="7" t="s">
        <v>27</v>
      </c>
      <c r="E114" s="8" t="s">
        <v>10</v>
      </c>
      <c r="F114" s="8" t="s">
        <v>19</v>
      </c>
      <c r="G114" s="13" t="s">
        <v>93</v>
      </c>
      <c r="H114" s="106">
        <v>14.2</v>
      </c>
      <c r="I114" s="111">
        <v>14.3</v>
      </c>
      <c r="J114" s="11" t="str">
        <f t="shared" si="8"/>
        <v/>
      </c>
      <c r="K114" s="12" t="str">
        <f t="shared" si="9"/>
        <v/>
      </c>
      <c r="L114" s="125">
        <f t="shared" si="10"/>
        <v>0.10000000000000142</v>
      </c>
      <c r="M114" s="47" t="str">
        <f t="shared" si="11"/>
        <v/>
      </c>
      <c r="N114" s="47" t="str">
        <f t="shared" si="12"/>
        <v/>
      </c>
      <c r="O114" s="47" t="str">
        <f t="shared" si="13"/>
        <v>Within Tolerance</v>
      </c>
    </row>
    <row r="115" spans="1:15" s="9" customFormat="1" x14ac:dyDescent="0.3">
      <c r="A115" s="167">
        <v>46147</v>
      </c>
      <c r="B115" s="61">
        <v>46147.704861111102</v>
      </c>
      <c r="C115" s="138">
        <f t="shared" si="7"/>
        <v>46147.704861111102</v>
      </c>
      <c r="D115" s="19" t="s">
        <v>20</v>
      </c>
      <c r="E115" s="8" t="s">
        <v>14</v>
      </c>
      <c r="F115" s="8" t="s">
        <v>19</v>
      </c>
      <c r="G115" s="13" t="s">
        <v>93</v>
      </c>
      <c r="H115" s="106">
        <v>13.8</v>
      </c>
      <c r="I115" s="111">
        <v>13.9</v>
      </c>
      <c r="J115" s="11" t="str">
        <f t="shared" si="8"/>
        <v/>
      </c>
      <c r="K115" s="12" t="str">
        <f t="shared" si="9"/>
        <v/>
      </c>
      <c r="L115" s="125">
        <f t="shared" si="10"/>
        <v>9.9999999999999645E-2</v>
      </c>
      <c r="M115" s="47" t="str">
        <f t="shared" si="11"/>
        <v/>
      </c>
      <c r="N115" s="47" t="str">
        <f t="shared" si="12"/>
        <v/>
      </c>
      <c r="O115" s="47" t="str">
        <f t="shared" si="13"/>
        <v>Within Tolerance</v>
      </c>
    </row>
    <row r="116" spans="1:15" s="9" customFormat="1" x14ac:dyDescent="0.3">
      <c r="A116" s="166">
        <v>46147</v>
      </c>
      <c r="B116" s="61">
        <v>46147.567361111098</v>
      </c>
      <c r="C116" s="138">
        <f t="shared" si="7"/>
        <v>46147.567361111098</v>
      </c>
      <c r="D116" s="19" t="s">
        <v>23</v>
      </c>
      <c r="E116" s="8" t="s">
        <v>10</v>
      </c>
      <c r="F116" s="8" t="s">
        <v>24</v>
      </c>
      <c r="G116" s="13" t="s">
        <v>93</v>
      </c>
      <c r="H116" s="106">
        <v>13.9</v>
      </c>
      <c r="I116" s="111">
        <v>13.7</v>
      </c>
      <c r="J116" s="11" t="str">
        <f t="shared" si="8"/>
        <v/>
      </c>
      <c r="K116" s="12" t="str">
        <f t="shared" si="9"/>
        <v/>
      </c>
      <c r="L116" s="125">
        <f t="shared" si="10"/>
        <v>-0.20000000000000107</v>
      </c>
      <c r="M116" s="47" t="str">
        <f t="shared" si="11"/>
        <v/>
      </c>
      <c r="N116" s="47" t="str">
        <f t="shared" si="12"/>
        <v/>
      </c>
      <c r="O116" s="47" t="str">
        <f t="shared" si="13"/>
        <v>Out of Tolerance</v>
      </c>
    </row>
    <row r="117" spans="1:15" s="9" customFormat="1" x14ac:dyDescent="0.3">
      <c r="A117" s="167">
        <v>46147</v>
      </c>
      <c r="B117" s="61">
        <v>46147.680555555598</v>
      </c>
      <c r="C117" s="138">
        <f t="shared" si="7"/>
        <v>46147.680555555598</v>
      </c>
      <c r="D117" s="19" t="s">
        <v>33</v>
      </c>
      <c r="E117" s="8" t="s">
        <v>17</v>
      </c>
      <c r="F117" s="8" t="s">
        <v>24</v>
      </c>
      <c r="G117" s="10">
        <v>12.9</v>
      </c>
      <c r="H117" s="106">
        <v>12.9</v>
      </c>
      <c r="I117" s="111">
        <v>13.1</v>
      </c>
      <c r="J117" s="11">
        <f t="shared" si="8"/>
        <v>0</v>
      </c>
      <c r="K117" s="12">
        <f t="shared" si="9"/>
        <v>0.19999999999999929</v>
      </c>
      <c r="L117" s="125">
        <f t="shared" si="10"/>
        <v>0.19999999999999929</v>
      </c>
      <c r="M117" s="47" t="str">
        <f t="shared" si="11"/>
        <v>Within Tolerance</v>
      </c>
      <c r="N117" s="47" t="str">
        <f t="shared" si="12"/>
        <v>Within Tolerance</v>
      </c>
      <c r="O117" s="47" t="str">
        <f t="shared" si="13"/>
        <v>Within Tolerance</v>
      </c>
    </row>
    <row r="118" spans="1:15" s="9" customFormat="1" x14ac:dyDescent="0.3">
      <c r="A118" s="166">
        <v>46147</v>
      </c>
      <c r="B118" s="61">
        <v>46147.944444444402</v>
      </c>
      <c r="C118" s="138">
        <f t="shared" si="7"/>
        <v>46147.944444444402</v>
      </c>
      <c r="D118" s="19" t="s">
        <v>23</v>
      </c>
      <c r="E118" s="8" t="s">
        <v>10</v>
      </c>
      <c r="F118" s="8" t="s">
        <v>24</v>
      </c>
      <c r="G118" s="13" t="s">
        <v>93</v>
      </c>
      <c r="H118" s="106">
        <v>13.8</v>
      </c>
      <c r="I118" s="111">
        <v>13.6</v>
      </c>
      <c r="J118" s="11" t="str">
        <f t="shared" si="8"/>
        <v/>
      </c>
      <c r="K118" s="12" t="str">
        <f t="shared" si="9"/>
        <v/>
      </c>
      <c r="L118" s="125">
        <f t="shared" si="10"/>
        <v>-0.20000000000000107</v>
      </c>
      <c r="M118" s="47" t="str">
        <f t="shared" si="11"/>
        <v/>
      </c>
      <c r="N118" s="47" t="str">
        <f t="shared" si="12"/>
        <v/>
      </c>
      <c r="O118" s="47" t="str">
        <f t="shared" si="13"/>
        <v>Out of Tolerance</v>
      </c>
    </row>
    <row r="119" spans="1:15" s="9" customFormat="1" x14ac:dyDescent="0.3">
      <c r="A119" s="167">
        <v>46147</v>
      </c>
      <c r="B119" s="62">
        <v>11</v>
      </c>
      <c r="C119" s="140">
        <f>A119+MOD(B119,1)</f>
        <v>46147</v>
      </c>
      <c r="D119" s="19" t="s">
        <v>50</v>
      </c>
      <c r="E119" s="8" t="s">
        <v>10</v>
      </c>
      <c r="F119" s="8" t="s">
        <v>32</v>
      </c>
      <c r="G119" s="10">
        <v>13.51</v>
      </c>
      <c r="H119" s="106">
        <v>14</v>
      </c>
      <c r="I119" s="111">
        <v>13.8</v>
      </c>
      <c r="J119" s="11">
        <f t="shared" si="8"/>
        <v>0.49000000000000021</v>
      </c>
      <c r="K119" s="12">
        <f t="shared" si="9"/>
        <v>0.29000000000000092</v>
      </c>
      <c r="L119" s="125">
        <f t="shared" si="10"/>
        <v>-0.19999999999999929</v>
      </c>
      <c r="M119" s="47" t="str">
        <f t="shared" si="11"/>
        <v>Out of Tolerance</v>
      </c>
      <c r="N119" s="47" t="str">
        <f t="shared" si="12"/>
        <v>Out of Tolerance</v>
      </c>
      <c r="O119" s="47" t="str">
        <f t="shared" si="13"/>
        <v>Within Tolerance</v>
      </c>
    </row>
    <row r="120" spans="1:15" s="9" customFormat="1" x14ac:dyDescent="0.3">
      <c r="A120" s="166">
        <v>46148</v>
      </c>
      <c r="B120" s="61">
        <v>46148.375</v>
      </c>
      <c r="C120" s="138">
        <f t="shared" si="7"/>
        <v>46148.375</v>
      </c>
      <c r="D120" s="19" t="s">
        <v>41</v>
      </c>
      <c r="E120" s="8" t="s">
        <v>10</v>
      </c>
      <c r="F120" s="7" t="s">
        <v>11</v>
      </c>
      <c r="G120" s="13" t="s">
        <v>93</v>
      </c>
      <c r="H120" s="105">
        <v>14.2</v>
      </c>
      <c r="I120" s="18" t="s">
        <v>93</v>
      </c>
      <c r="J120" s="11" t="str">
        <f t="shared" si="8"/>
        <v/>
      </c>
      <c r="K120" s="12" t="str">
        <f t="shared" si="9"/>
        <v/>
      </c>
      <c r="L120" s="125" t="str">
        <f t="shared" si="10"/>
        <v/>
      </c>
      <c r="M120" s="47" t="str">
        <f t="shared" si="11"/>
        <v/>
      </c>
      <c r="N120" s="47" t="str">
        <f t="shared" si="12"/>
        <v/>
      </c>
      <c r="O120" s="47" t="str">
        <f t="shared" si="13"/>
        <v/>
      </c>
    </row>
    <row r="121" spans="1:15" s="9" customFormat="1" x14ac:dyDescent="0.3">
      <c r="A121" s="167">
        <v>46148</v>
      </c>
      <c r="B121" s="61">
        <v>46148.395833333299</v>
      </c>
      <c r="C121" s="138">
        <f t="shared" si="7"/>
        <v>46148.395833333299</v>
      </c>
      <c r="D121" s="19" t="s">
        <v>41</v>
      </c>
      <c r="E121" s="8" t="s">
        <v>10</v>
      </c>
      <c r="F121" s="7" t="s">
        <v>11</v>
      </c>
      <c r="G121" s="13" t="s">
        <v>93</v>
      </c>
      <c r="H121" s="105">
        <v>14.2</v>
      </c>
      <c r="I121" s="18" t="s">
        <v>93</v>
      </c>
      <c r="J121" s="11" t="str">
        <f t="shared" si="8"/>
        <v/>
      </c>
      <c r="K121" s="12" t="str">
        <f t="shared" si="9"/>
        <v/>
      </c>
      <c r="L121" s="125" t="str">
        <f t="shared" si="10"/>
        <v/>
      </c>
      <c r="M121" s="47" t="str">
        <f t="shared" si="11"/>
        <v/>
      </c>
      <c r="N121" s="47" t="str">
        <f t="shared" si="12"/>
        <v/>
      </c>
      <c r="O121" s="47" t="str">
        <f t="shared" si="13"/>
        <v/>
      </c>
    </row>
    <row r="122" spans="1:15" s="9" customFormat="1" x14ac:dyDescent="0.3">
      <c r="A122" s="166">
        <v>46148</v>
      </c>
      <c r="B122" s="61">
        <v>46148.756944444402</v>
      </c>
      <c r="C122" s="138">
        <f t="shared" si="7"/>
        <v>46148.756944444402</v>
      </c>
      <c r="D122" s="19" t="s">
        <v>41</v>
      </c>
      <c r="E122" s="8" t="s">
        <v>10</v>
      </c>
      <c r="F122" s="7" t="s">
        <v>11</v>
      </c>
      <c r="G122" s="13" t="s">
        <v>93</v>
      </c>
      <c r="H122" s="105">
        <v>14.5</v>
      </c>
      <c r="I122" s="18" t="s">
        <v>93</v>
      </c>
      <c r="J122" s="11" t="str">
        <f t="shared" si="8"/>
        <v/>
      </c>
      <c r="K122" s="12" t="str">
        <f t="shared" si="9"/>
        <v/>
      </c>
      <c r="L122" s="125" t="str">
        <f t="shared" si="10"/>
        <v/>
      </c>
      <c r="M122" s="47" t="str">
        <f t="shared" si="11"/>
        <v/>
      </c>
      <c r="N122" s="47" t="str">
        <f t="shared" si="12"/>
        <v/>
      </c>
      <c r="O122" s="47" t="str">
        <f t="shared" si="13"/>
        <v/>
      </c>
    </row>
    <row r="123" spans="1:15" s="9" customFormat="1" x14ac:dyDescent="0.3">
      <c r="A123" s="167">
        <v>46148</v>
      </c>
      <c r="B123" s="61">
        <v>46148.767361111102</v>
      </c>
      <c r="C123" s="138">
        <f t="shared" si="7"/>
        <v>46148.767361111102</v>
      </c>
      <c r="D123" s="19" t="s">
        <v>41</v>
      </c>
      <c r="E123" s="8" t="s">
        <v>10</v>
      </c>
      <c r="F123" s="7" t="s">
        <v>11</v>
      </c>
      <c r="G123" s="13" t="s">
        <v>93</v>
      </c>
      <c r="H123" s="105">
        <v>14.6</v>
      </c>
      <c r="I123" s="18" t="s">
        <v>93</v>
      </c>
      <c r="J123" s="11" t="str">
        <f t="shared" si="8"/>
        <v/>
      </c>
      <c r="K123" s="12" t="str">
        <f t="shared" si="9"/>
        <v/>
      </c>
      <c r="L123" s="125" t="str">
        <f t="shared" si="10"/>
        <v/>
      </c>
      <c r="M123" s="47" t="str">
        <f t="shared" si="11"/>
        <v/>
      </c>
      <c r="N123" s="47" t="str">
        <f t="shared" si="12"/>
        <v/>
      </c>
      <c r="O123" s="47" t="str">
        <f t="shared" si="13"/>
        <v/>
      </c>
    </row>
    <row r="124" spans="1:15" s="9" customFormat="1" x14ac:dyDescent="0.3">
      <c r="A124" s="166">
        <v>46148</v>
      </c>
      <c r="B124" s="61">
        <v>46148.84375</v>
      </c>
      <c r="C124" s="138">
        <f t="shared" si="7"/>
        <v>46148.84375</v>
      </c>
      <c r="D124" s="19" t="s">
        <v>41</v>
      </c>
      <c r="E124" s="8" t="s">
        <v>10</v>
      </c>
      <c r="F124" s="7" t="s">
        <v>11</v>
      </c>
      <c r="G124" s="13">
        <v>14.15</v>
      </c>
      <c r="H124" s="105">
        <v>14.3</v>
      </c>
      <c r="I124" s="18" t="s">
        <v>93</v>
      </c>
      <c r="J124" s="11">
        <f t="shared" si="8"/>
        <v>0.15000000000000036</v>
      </c>
      <c r="K124" s="12" t="str">
        <f t="shared" si="9"/>
        <v/>
      </c>
      <c r="L124" s="125" t="str">
        <f t="shared" si="10"/>
        <v/>
      </c>
      <c r="M124" s="47" t="str">
        <f t="shared" si="11"/>
        <v>Within Tolerance</v>
      </c>
      <c r="N124" s="47" t="str">
        <f t="shared" si="12"/>
        <v/>
      </c>
      <c r="O124" s="47" t="str">
        <f t="shared" si="13"/>
        <v/>
      </c>
    </row>
    <row r="125" spans="1:15" s="9" customFormat="1" x14ac:dyDescent="0.3">
      <c r="A125" s="167">
        <v>46148</v>
      </c>
      <c r="B125" s="61">
        <v>46148.864583333299</v>
      </c>
      <c r="C125" s="138">
        <f t="shared" si="7"/>
        <v>46148.864583333299</v>
      </c>
      <c r="D125" s="19" t="s">
        <v>41</v>
      </c>
      <c r="E125" s="8" t="s">
        <v>10</v>
      </c>
      <c r="F125" s="7" t="s">
        <v>11</v>
      </c>
      <c r="G125" s="13" t="s">
        <v>93</v>
      </c>
      <c r="H125" s="105">
        <v>14.2</v>
      </c>
      <c r="I125" s="44">
        <v>14.2</v>
      </c>
      <c r="J125" s="11" t="str">
        <f t="shared" si="8"/>
        <v/>
      </c>
      <c r="K125" s="12" t="str">
        <f t="shared" si="9"/>
        <v/>
      </c>
      <c r="L125" s="125">
        <f t="shared" si="10"/>
        <v>0</v>
      </c>
      <c r="M125" s="47" t="str">
        <f t="shared" si="11"/>
        <v/>
      </c>
      <c r="N125" s="47" t="str">
        <f t="shared" si="12"/>
        <v/>
      </c>
      <c r="O125" s="47" t="str">
        <f t="shared" si="13"/>
        <v>Within Tolerance</v>
      </c>
    </row>
    <row r="126" spans="1:15" s="9" customFormat="1" x14ac:dyDescent="0.3">
      <c r="A126" s="166">
        <v>46149</v>
      </c>
      <c r="B126" s="61">
        <v>46149.034722222197</v>
      </c>
      <c r="C126" s="138">
        <f t="shared" si="7"/>
        <v>46149.034722222197</v>
      </c>
      <c r="D126" s="19" t="s">
        <v>41</v>
      </c>
      <c r="E126" s="8" t="s">
        <v>10</v>
      </c>
      <c r="F126" s="7" t="s">
        <v>11</v>
      </c>
      <c r="G126" s="13" t="s">
        <v>93</v>
      </c>
      <c r="H126" s="105">
        <v>14.2</v>
      </c>
      <c r="I126" s="18" t="s">
        <v>93</v>
      </c>
      <c r="J126" s="11" t="str">
        <f t="shared" si="8"/>
        <v/>
      </c>
      <c r="K126" s="12" t="str">
        <f t="shared" si="9"/>
        <v/>
      </c>
      <c r="L126" s="125" t="str">
        <f t="shared" si="10"/>
        <v/>
      </c>
      <c r="M126" s="47" t="str">
        <f t="shared" si="11"/>
        <v/>
      </c>
      <c r="N126" s="47" t="str">
        <f t="shared" si="12"/>
        <v/>
      </c>
      <c r="O126" s="47" t="str">
        <f t="shared" si="13"/>
        <v/>
      </c>
    </row>
    <row r="127" spans="1:15" s="9" customFormat="1" x14ac:dyDescent="0.3">
      <c r="A127" s="167">
        <v>46149</v>
      </c>
      <c r="B127" s="61">
        <v>46149.048611111102</v>
      </c>
      <c r="C127" s="138">
        <f t="shared" si="7"/>
        <v>46149.048611111102</v>
      </c>
      <c r="D127" s="19" t="s">
        <v>41</v>
      </c>
      <c r="E127" s="8" t="s">
        <v>10</v>
      </c>
      <c r="F127" s="7" t="s">
        <v>11</v>
      </c>
      <c r="G127" s="13" t="s">
        <v>93</v>
      </c>
      <c r="H127" s="105">
        <v>14.1</v>
      </c>
      <c r="I127" s="44">
        <v>14.4</v>
      </c>
      <c r="J127" s="11" t="str">
        <f t="shared" si="8"/>
        <v/>
      </c>
      <c r="K127" s="12" t="str">
        <f t="shared" si="9"/>
        <v/>
      </c>
      <c r="L127" s="125">
        <f t="shared" si="10"/>
        <v>0.30000000000000071</v>
      </c>
      <c r="M127" s="47" t="str">
        <f t="shared" si="11"/>
        <v/>
      </c>
      <c r="N127" s="47" t="str">
        <f t="shared" si="12"/>
        <v/>
      </c>
      <c r="O127" s="47" t="str">
        <f t="shared" si="13"/>
        <v>Out of Tolerance</v>
      </c>
    </row>
    <row r="128" spans="1:15" s="9" customFormat="1" x14ac:dyDescent="0.3">
      <c r="A128" s="166">
        <v>46149</v>
      </c>
      <c r="B128" s="61">
        <v>46149.145833333299</v>
      </c>
      <c r="C128" s="138">
        <f t="shared" si="7"/>
        <v>46149.145833333299</v>
      </c>
      <c r="D128" s="19" t="s">
        <v>41</v>
      </c>
      <c r="E128" s="8" t="s">
        <v>10</v>
      </c>
      <c r="F128" s="7" t="s">
        <v>11</v>
      </c>
      <c r="G128" s="13" t="s">
        <v>93</v>
      </c>
      <c r="H128" s="105">
        <v>14.1</v>
      </c>
      <c r="I128" s="44">
        <v>14.3</v>
      </c>
      <c r="J128" s="11" t="str">
        <f t="shared" si="8"/>
        <v/>
      </c>
      <c r="K128" s="12" t="str">
        <f t="shared" si="9"/>
        <v/>
      </c>
      <c r="L128" s="125">
        <f t="shared" si="10"/>
        <v>0.20000000000000107</v>
      </c>
      <c r="M128" s="47" t="str">
        <f t="shared" si="11"/>
        <v/>
      </c>
      <c r="N128" s="47" t="str">
        <f t="shared" si="12"/>
        <v/>
      </c>
      <c r="O128" s="47" t="str">
        <f t="shared" si="13"/>
        <v>Out of Tolerance</v>
      </c>
    </row>
    <row r="129" spans="1:15" s="9" customFormat="1" x14ac:dyDescent="0.3">
      <c r="A129" s="167">
        <v>46149</v>
      </c>
      <c r="B129" s="61">
        <v>46149.229166666701</v>
      </c>
      <c r="C129" s="138">
        <f t="shared" si="7"/>
        <v>46149.229166666701</v>
      </c>
      <c r="D129" s="19" t="s">
        <v>41</v>
      </c>
      <c r="E129" s="8" t="s">
        <v>10</v>
      </c>
      <c r="F129" s="7" t="s">
        <v>11</v>
      </c>
      <c r="G129" s="13" t="s">
        <v>93</v>
      </c>
      <c r="H129" s="105">
        <v>13.9</v>
      </c>
      <c r="I129" s="44">
        <v>14.1</v>
      </c>
      <c r="J129" s="11" t="str">
        <f t="shared" si="8"/>
        <v/>
      </c>
      <c r="K129" s="12" t="str">
        <f t="shared" si="9"/>
        <v/>
      </c>
      <c r="L129" s="125">
        <f t="shared" si="10"/>
        <v>0.19999999999999929</v>
      </c>
      <c r="M129" s="47" t="str">
        <f t="shared" si="11"/>
        <v/>
      </c>
      <c r="N129" s="47" t="str">
        <f t="shared" si="12"/>
        <v/>
      </c>
      <c r="O129" s="47" t="str">
        <f t="shared" si="13"/>
        <v>Within Tolerance</v>
      </c>
    </row>
    <row r="130" spans="1:15" s="9" customFormat="1" x14ac:dyDescent="0.3">
      <c r="A130" s="166">
        <v>46148</v>
      </c>
      <c r="B130" s="61">
        <v>46148.333333333299</v>
      </c>
      <c r="C130" s="138">
        <f t="shared" ref="C130:C193" si="14">A130+MOD(B130,1)</f>
        <v>46148.333333333299</v>
      </c>
      <c r="D130" s="19" t="s">
        <v>29</v>
      </c>
      <c r="E130" s="8" t="s">
        <v>10</v>
      </c>
      <c r="F130" s="7" t="s">
        <v>15</v>
      </c>
      <c r="G130" s="13">
        <v>14.1</v>
      </c>
      <c r="H130" s="105">
        <v>14.2</v>
      </c>
      <c r="I130" s="44">
        <v>14.2</v>
      </c>
      <c r="J130" s="11">
        <f t="shared" si="8"/>
        <v>9.9999999999999645E-2</v>
      </c>
      <c r="K130" s="12">
        <f t="shared" si="9"/>
        <v>9.9999999999999645E-2</v>
      </c>
      <c r="L130" s="125">
        <f t="shared" si="10"/>
        <v>0</v>
      </c>
      <c r="M130" s="47" t="str">
        <f t="shared" si="11"/>
        <v>Within Tolerance</v>
      </c>
      <c r="N130" s="47" t="str">
        <f t="shared" si="12"/>
        <v>Within Tolerance</v>
      </c>
      <c r="O130" s="47" t="str">
        <f t="shared" si="13"/>
        <v>Within Tolerance</v>
      </c>
    </row>
    <row r="131" spans="1:15" s="9" customFormat="1" x14ac:dyDescent="0.3">
      <c r="A131" s="167">
        <v>46148</v>
      </c>
      <c r="B131" s="61">
        <v>46148.416666666701</v>
      </c>
      <c r="C131" s="138">
        <f t="shared" si="14"/>
        <v>46148.416666666701</v>
      </c>
      <c r="D131" s="19" t="s">
        <v>29</v>
      </c>
      <c r="E131" s="8" t="s">
        <v>10</v>
      </c>
      <c r="F131" s="7" t="s">
        <v>15</v>
      </c>
      <c r="G131" s="13" t="s">
        <v>93</v>
      </c>
      <c r="H131" s="105">
        <v>14.1</v>
      </c>
      <c r="I131" s="44">
        <v>14.1</v>
      </c>
      <c r="J131" s="11" t="str">
        <f t="shared" ref="J131:J194" si="15">IF(OR(H131="",G131=""),"",H131-G131)</f>
        <v/>
      </c>
      <c r="K131" s="12" t="str">
        <f t="shared" ref="K131:K194" si="16">IF(OR(TRIM(G131&amp;"")="",TRIM(I131&amp;"")="",G131="-",I131="-"),"",I131-G131)</f>
        <v/>
      </c>
      <c r="L131" s="125">
        <f t="shared" ref="L131:L194" si="17">IF(OR(TRIM(H131&amp;"")="",TRIM(I131&amp;"")="",H131="-",I131="-"),"",I131-H131)</f>
        <v>0</v>
      </c>
      <c r="M131" s="47" t="str">
        <f t="shared" ref="M131:M194" si="18">IF(J131="","",IF(ABS(J131)&lt;=0.2,"Within Tolerance","Out of Tolerance"))</f>
        <v/>
      </c>
      <c r="N131" s="47" t="str">
        <f t="shared" ref="N131:N194" si="19">IF(K131="","",IF(ABS(K131)&lt;=0.2,"Within Tolerance","Out of Tolerance"))</f>
        <v/>
      </c>
      <c r="O131" s="47" t="str">
        <f t="shared" ref="O131:O194" si="20">IF(L131="","",IF(ABS(L131)&lt;=0.2,"Within Tolerance","Out of Tolerance"))</f>
        <v>Within Tolerance</v>
      </c>
    </row>
    <row r="132" spans="1:15" s="9" customFormat="1" x14ac:dyDescent="0.3">
      <c r="A132" s="166">
        <v>46148</v>
      </c>
      <c r="B132" s="61">
        <v>46148.5</v>
      </c>
      <c r="C132" s="138">
        <f t="shared" si="14"/>
        <v>46148.5</v>
      </c>
      <c r="D132" s="19" t="s">
        <v>29</v>
      </c>
      <c r="E132" s="8" t="s">
        <v>10</v>
      </c>
      <c r="F132" s="7" t="s">
        <v>15</v>
      </c>
      <c r="G132" s="13" t="s">
        <v>93</v>
      </c>
      <c r="H132" s="105">
        <v>14.2</v>
      </c>
      <c r="I132" s="44">
        <v>14.2</v>
      </c>
      <c r="J132" s="11" t="str">
        <f t="shared" si="15"/>
        <v/>
      </c>
      <c r="K132" s="12" t="str">
        <f t="shared" si="16"/>
        <v/>
      </c>
      <c r="L132" s="125">
        <f t="shared" si="17"/>
        <v>0</v>
      </c>
      <c r="M132" s="47" t="str">
        <f t="shared" si="18"/>
        <v/>
      </c>
      <c r="N132" s="47" t="str">
        <f t="shared" si="19"/>
        <v/>
      </c>
      <c r="O132" s="47" t="str">
        <f t="shared" si="20"/>
        <v>Within Tolerance</v>
      </c>
    </row>
    <row r="133" spans="1:15" s="9" customFormat="1" x14ac:dyDescent="0.3">
      <c r="A133" s="167">
        <v>46148</v>
      </c>
      <c r="B133" s="61">
        <v>46148.583333333299</v>
      </c>
      <c r="C133" s="138">
        <f t="shared" si="14"/>
        <v>46148.583333333299</v>
      </c>
      <c r="D133" s="19" t="s">
        <v>29</v>
      </c>
      <c r="E133" s="8" t="s">
        <v>10</v>
      </c>
      <c r="F133" s="7" t="s">
        <v>15</v>
      </c>
      <c r="G133" s="13" t="s">
        <v>93</v>
      </c>
      <c r="H133" s="105">
        <v>14.1</v>
      </c>
      <c r="I133" s="44">
        <v>14.1</v>
      </c>
      <c r="J133" s="11" t="str">
        <f t="shared" si="15"/>
        <v/>
      </c>
      <c r="K133" s="12" t="str">
        <f t="shared" si="16"/>
        <v/>
      </c>
      <c r="L133" s="125">
        <f t="shared" si="17"/>
        <v>0</v>
      </c>
      <c r="M133" s="47" t="str">
        <f t="shared" si="18"/>
        <v/>
      </c>
      <c r="N133" s="47" t="str">
        <f t="shared" si="19"/>
        <v/>
      </c>
      <c r="O133" s="47" t="str">
        <f t="shared" si="20"/>
        <v>Within Tolerance</v>
      </c>
    </row>
    <row r="134" spans="1:15" s="9" customFormat="1" x14ac:dyDescent="0.3">
      <c r="A134" s="166">
        <v>46148</v>
      </c>
      <c r="B134" s="61">
        <v>46148.666666666701</v>
      </c>
      <c r="C134" s="138">
        <f t="shared" si="14"/>
        <v>46148.666666666701</v>
      </c>
      <c r="D134" s="19" t="s">
        <v>29</v>
      </c>
      <c r="E134" s="8" t="s">
        <v>10</v>
      </c>
      <c r="F134" s="7" t="s">
        <v>15</v>
      </c>
      <c r="G134" s="13" t="s">
        <v>93</v>
      </c>
      <c r="H134" s="105">
        <v>14.3</v>
      </c>
      <c r="I134" s="44">
        <v>14.2</v>
      </c>
      <c r="J134" s="11" t="str">
        <f t="shared" si="15"/>
        <v/>
      </c>
      <c r="K134" s="12" t="str">
        <f t="shared" si="16"/>
        <v/>
      </c>
      <c r="L134" s="125">
        <f t="shared" si="17"/>
        <v>-0.10000000000000142</v>
      </c>
      <c r="M134" s="47" t="str">
        <f t="shared" si="18"/>
        <v/>
      </c>
      <c r="N134" s="47" t="str">
        <f t="shared" si="19"/>
        <v/>
      </c>
      <c r="O134" s="47" t="str">
        <f t="shared" si="20"/>
        <v>Within Tolerance</v>
      </c>
    </row>
    <row r="135" spans="1:15" s="9" customFormat="1" x14ac:dyDescent="0.3">
      <c r="A135" s="167">
        <v>46148</v>
      </c>
      <c r="B135" s="61">
        <v>46148.729166666701</v>
      </c>
      <c r="C135" s="138">
        <f t="shared" si="14"/>
        <v>46148.729166666701</v>
      </c>
      <c r="D135" s="19" t="s">
        <v>29</v>
      </c>
      <c r="E135" s="8" t="s">
        <v>10</v>
      </c>
      <c r="F135" s="7" t="s">
        <v>15</v>
      </c>
      <c r="G135" s="13" t="s">
        <v>93</v>
      </c>
      <c r="H135" s="105">
        <v>14.2</v>
      </c>
      <c r="I135" s="18" t="s">
        <v>93</v>
      </c>
      <c r="J135" s="11" t="str">
        <f t="shared" si="15"/>
        <v/>
      </c>
      <c r="K135" s="12" t="str">
        <f t="shared" si="16"/>
        <v/>
      </c>
      <c r="L135" s="125" t="str">
        <f t="shared" si="17"/>
        <v/>
      </c>
      <c r="M135" s="47" t="str">
        <f t="shared" si="18"/>
        <v/>
      </c>
      <c r="N135" s="47" t="str">
        <f t="shared" si="19"/>
        <v/>
      </c>
      <c r="O135" s="47" t="str">
        <f t="shared" si="20"/>
        <v/>
      </c>
    </row>
    <row r="136" spans="1:15" s="9" customFormat="1" x14ac:dyDescent="0.3">
      <c r="A136" s="166">
        <v>46148</v>
      </c>
      <c r="B136" s="61">
        <v>46148.770833333299</v>
      </c>
      <c r="C136" s="138">
        <f t="shared" si="14"/>
        <v>46148.770833333299</v>
      </c>
      <c r="D136" s="19" t="s">
        <v>41</v>
      </c>
      <c r="E136" s="8" t="s">
        <v>10</v>
      </c>
      <c r="F136" s="7" t="s">
        <v>15</v>
      </c>
      <c r="G136" s="13" t="s">
        <v>93</v>
      </c>
      <c r="H136" s="105">
        <v>13.9</v>
      </c>
      <c r="I136" s="18" t="s">
        <v>93</v>
      </c>
      <c r="J136" s="11" t="str">
        <f t="shared" si="15"/>
        <v/>
      </c>
      <c r="K136" s="12" t="str">
        <f t="shared" si="16"/>
        <v/>
      </c>
      <c r="L136" s="125" t="str">
        <f t="shared" si="17"/>
        <v/>
      </c>
      <c r="M136" s="47" t="str">
        <f t="shared" si="18"/>
        <v/>
      </c>
      <c r="N136" s="47" t="str">
        <f t="shared" si="19"/>
        <v/>
      </c>
      <c r="O136" s="47" t="str">
        <f t="shared" si="20"/>
        <v/>
      </c>
    </row>
    <row r="137" spans="1:15" s="9" customFormat="1" x14ac:dyDescent="0.3">
      <c r="A137" s="167">
        <v>46148</v>
      </c>
      <c r="B137" s="61">
        <v>46148.833333333299</v>
      </c>
      <c r="C137" s="138">
        <f t="shared" si="14"/>
        <v>46148.833333333299</v>
      </c>
      <c r="D137" s="19" t="s">
        <v>41</v>
      </c>
      <c r="E137" s="8" t="s">
        <v>10</v>
      </c>
      <c r="F137" s="7" t="s">
        <v>15</v>
      </c>
      <c r="G137" s="13" t="s">
        <v>93</v>
      </c>
      <c r="H137" s="105">
        <v>14.2</v>
      </c>
      <c r="I137" s="44">
        <v>14.1</v>
      </c>
      <c r="J137" s="11" t="str">
        <f t="shared" si="15"/>
        <v/>
      </c>
      <c r="K137" s="12" t="str">
        <f t="shared" si="16"/>
        <v/>
      </c>
      <c r="L137" s="125">
        <f t="shared" si="17"/>
        <v>-9.9999999999999645E-2</v>
      </c>
      <c r="M137" s="47" t="str">
        <f t="shared" si="18"/>
        <v/>
      </c>
      <c r="N137" s="47" t="str">
        <f t="shared" si="19"/>
        <v/>
      </c>
      <c r="O137" s="47" t="str">
        <f t="shared" si="20"/>
        <v>Within Tolerance</v>
      </c>
    </row>
    <row r="138" spans="1:15" s="9" customFormat="1" x14ac:dyDescent="0.3">
      <c r="A138" s="166">
        <v>46148</v>
      </c>
      <c r="B138" s="61">
        <v>46148.895833333299</v>
      </c>
      <c r="C138" s="138">
        <f t="shared" si="14"/>
        <v>46148.895833333299</v>
      </c>
      <c r="D138" s="19" t="s">
        <v>41</v>
      </c>
      <c r="E138" s="8" t="s">
        <v>10</v>
      </c>
      <c r="F138" s="7" t="s">
        <v>15</v>
      </c>
      <c r="G138" s="13" t="s">
        <v>93</v>
      </c>
      <c r="H138" s="105">
        <v>14.2</v>
      </c>
      <c r="I138" s="44">
        <v>14.2</v>
      </c>
      <c r="J138" s="11" t="str">
        <f t="shared" si="15"/>
        <v/>
      </c>
      <c r="K138" s="12" t="str">
        <f t="shared" si="16"/>
        <v/>
      </c>
      <c r="L138" s="125">
        <f t="shared" si="17"/>
        <v>0</v>
      </c>
      <c r="M138" s="47" t="str">
        <f t="shared" si="18"/>
        <v/>
      </c>
      <c r="N138" s="47" t="str">
        <f t="shared" si="19"/>
        <v/>
      </c>
      <c r="O138" s="47" t="str">
        <f t="shared" si="20"/>
        <v>Within Tolerance</v>
      </c>
    </row>
    <row r="139" spans="1:15" s="9" customFormat="1" x14ac:dyDescent="0.3">
      <c r="A139" s="167">
        <v>46180</v>
      </c>
      <c r="B139" s="61">
        <v>46149</v>
      </c>
      <c r="C139" s="138">
        <f t="shared" si="14"/>
        <v>46180</v>
      </c>
      <c r="D139" s="19" t="s">
        <v>41</v>
      </c>
      <c r="E139" s="8" t="s">
        <v>10</v>
      </c>
      <c r="F139" s="7" t="s">
        <v>15</v>
      </c>
      <c r="G139" s="13" t="s">
        <v>93</v>
      </c>
      <c r="H139" s="105">
        <v>14.1</v>
      </c>
      <c r="I139" s="44">
        <v>14.1</v>
      </c>
      <c r="J139" s="11" t="str">
        <f t="shared" si="15"/>
        <v/>
      </c>
      <c r="K139" s="12" t="str">
        <f t="shared" si="16"/>
        <v/>
      </c>
      <c r="L139" s="125">
        <f t="shared" si="17"/>
        <v>0</v>
      </c>
      <c r="M139" s="47" t="str">
        <f t="shared" si="18"/>
        <v/>
      </c>
      <c r="N139" s="47" t="str">
        <f t="shared" si="19"/>
        <v/>
      </c>
      <c r="O139" s="47" t="str">
        <f t="shared" si="20"/>
        <v>Within Tolerance</v>
      </c>
    </row>
    <row r="140" spans="1:15" s="9" customFormat="1" x14ac:dyDescent="0.3">
      <c r="A140" s="166">
        <v>46180</v>
      </c>
      <c r="B140" s="61">
        <v>46149.083333333299</v>
      </c>
      <c r="C140" s="138">
        <f t="shared" si="14"/>
        <v>46180.083333333299</v>
      </c>
      <c r="D140" s="19" t="s">
        <v>41</v>
      </c>
      <c r="E140" s="8" t="s">
        <v>10</v>
      </c>
      <c r="F140" s="7" t="s">
        <v>15</v>
      </c>
      <c r="G140" s="13" t="s">
        <v>93</v>
      </c>
      <c r="H140" s="105">
        <v>14</v>
      </c>
      <c r="I140" s="44">
        <v>14.1</v>
      </c>
      <c r="J140" s="11" t="str">
        <f t="shared" si="15"/>
        <v/>
      </c>
      <c r="K140" s="12" t="str">
        <f t="shared" si="16"/>
        <v/>
      </c>
      <c r="L140" s="125">
        <f t="shared" si="17"/>
        <v>9.9999999999999645E-2</v>
      </c>
      <c r="M140" s="47" t="str">
        <f t="shared" si="18"/>
        <v/>
      </c>
      <c r="N140" s="47" t="str">
        <f t="shared" si="19"/>
        <v/>
      </c>
      <c r="O140" s="47" t="str">
        <f t="shared" si="20"/>
        <v>Within Tolerance</v>
      </c>
    </row>
    <row r="141" spans="1:15" s="9" customFormat="1" x14ac:dyDescent="0.3">
      <c r="A141" s="167">
        <v>46180</v>
      </c>
      <c r="B141" s="61">
        <v>46149.166666666701</v>
      </c>
      <c r="C141" s="138">
        <f t="shared" si="14"/>
        <v>46180.166666666701</v>
      </c>
      <c r="D141" s="19" t="s">
        <v>41</v>
      </c>
      <c r="E141" s="8" t="s">
        <v>10</v>
      </c>
      <c r="F141" s="7" t="s">
        <v>15</v>
      </c>
      <c r="G141" s="13" t="s">
        <v>93</v>
      </c>
      <c r="H141" s="105">
        <v>14.2</v>
      </c>
      <c r="I141" s="44">
        <v>14.3</v>
      </c>
      <c r="J141" s="11" t="str">
        <f t="shared" si="15"/>
        <v/>
      </c>
      <c r="K141" s="12" t="str">
        <f t="shared" si="16"/>
        <v/>
      </c>
      <c r="L141" s="125">
        <f t="shared" si="17"/>
        <v>0.10000000000000142</v>
      </c>
      <c r="M141" s="47" t="str">
        <f t="shared" si="18"/>
        <v/>
      </c>
      <c r="N141" s="47" t="str">
        <f t="shared" si="19"/>
        <v/>
      </c>
      <c r="O141" s="47" t="str">
        <f t="shared" si="20"/>
        <v>Within Tolerance</v>
      </c>
    </row>
    <row r="142" spans="1:15" s="9" customFormat="1" x14ac:dyDescent="0.3">
      <c r="A142" s="166">
        <v>46180</v>
      </c>
      <c r="B142" s="61">
        <v>46149.25</v>
      </c>
      <c r="C142" s="138">
        <f t="shared" si="14"/>
        <v>46180.25</v>
      </c>
      <c r="D142" s="19" t="s">
        <v>41</v>
      </c>
      <c r="E142" s="8" t="s">
        <v>10</v>
      </c>
      <c r="F142" s="7" t="s">
        <v>15</v>
      </c>
      <c r="G142" s="13" t="s">
        <v>93</v>
      </c>
      <c r="H142" s="105">
        <v>14.2</v>
      </c>
      <c r="I142" s="44">
        <v>14.3</v>
      </c>
      <c r="J142" s="11" t="str">
        <f t="shared" si="15"/>
        <v/>
      </c>
      <c r="K142" s="12" t="str">
        <f t="shared" si="16"/>
        <v/>
      </c>
      <c r="L142" s="125">
        <f t="shared" si="17"/>
        <v>0.10000000000000142</v>
      </c>
      <c r="M142" s="47" t="str">
        <f t="shared" si="18"/>
        <v/>
      </c>
      <c r="N142" s="47" t="str">
        <f t="shared" si="19"/>
        <v/>
      </c>
      <c r="O142" s="47" t="str">
        <f t="shared" si="20"/>
        <v>Within Tolerance</v>
      </c>
    </row>
    <row r="143" spans="1:15" s="9" customFormat="1" x14ac:dyDescent="0.3">
      <c r="A143" s="167">
        <v>46148</v>
      </c>
      <c r="B143" s="61">
        <v>46148.416666666701</v>
      </c>
      <c r="C143" s="138">
        <f t="shared" si="14"/>
        <v>46148.416666666701</v>
      </c>
      <c r="D143" s="19" t="s">
        <v>46</v>
      </c>
      <c r="E143" s="8" t="s">
        <v>14</v>
      </c>
      <c r="F143" s="7" t="s">
        <v>19</v>
      </c>
      <c r="G143" s="13" t="s">
        <v>93</v>
      </c>
      <c r="H143" s="105">
        <v>13.7</v>
      </c>
      <c r="I143" s="44">
        <v>13.6</v>
      </c>
      <c r="J143" s="11" t="str">
        <f t="shared" si="15"/>
        <v/>
      </c>
      <c r="K143" s="12" t="str">
        <f t="shared" si="16"/>
        <v/>
      </c>
      <c r="L143" s="125">
        <f t="shared" si="17"/>
        <v>-9.9999999999999645E-2</v>
      </c>
      <c r="M143" s="47" t="str">
        <f t="shared" si="18"/>
        <v/>
      </c>
      <c r="N143" s="47" t="str">
        <f t="shared" si="19"/>
        <v/>
      </c>
      <c r="O143" s="47" t="str">
        <f t="shared" si="20"/>
        <v>Within Tolerance</v>
      </c>
    </row>
    <row r="144" spans="1:15" s="9" customFormat="1" x14ac:dyDescent="0.3">
      <c r="A144" s="166">
        <v>46148</v>
      </c>
      <c r="B144" s="61">
        <v>46148.472222222197</v>
      </c>
      <c r="C144" s="138">
        <f t="shared" si="14"/>
        <v>46148.472222222197</v>
      </c>
      <c r="D144" s="19" t="s">
        <v>20</v>
      </c>
      <c r="E144" s="8" t="s">
        <v>14</v>
      </c>
      <c r="F144" s="7" t="s">
        <v>19</v>
      </c>
      <c r="G144" s="13" t="s">
        <v>93</v>
      </c>
      <c r="H144" s="105">
        <v>13.8</v>
      </c>
      <c r="I144" s="44">
        <v>13.9</v>
      </c>
      <c r="J144" s="11" t="str">
        <f t="shared" si="15"/>
        <v/>
      </c>
      <c r="K144" s="12" t="str">
        <f t="shared" si="16"/>
        <v/>
      </c>
      <c r="L144" s="125">
        <f t="shared" si="17"/>
        <v>9.9999999999999645E-2</v>
      </c>
      <c r="M144" s="47" t="str">
        <f t="shared" si="18"/>
        <v/>
      </c>
      <c r="N144" s="47" t="str">
        <f t="shared" si="19"/>
        <v/>
      </c>
      <c r="O144" s="47" t="str">
        <f t="shared" si="20"/>
        <v>Within Tolerance</v>
      </c>
    </row>
    <row r="145" spans="1:15" s="9" customFormat="1" x14ac:dyDescent="0.3">
      <c r="A145" s="167">
        <v>46148</v>
      </c>
      <c r="B145" s="61">
        <v>46148.5</v>
      </c>
      <c r="C145" s="138">
        <f t="shared" si="14"/>
        <v>46148.5</v>
      </c>
      <c r="D145" s="19" t="s">
        <v>21</v>
      </c>
      <c r="E145" s="8" t="s">
        <v>10</v>
      </c>
      <c r="F145" s="7" t="s">
        <v>19</v>
      </c>
      <c r="G145" s="13" t="s">
        <v>93</v>
      </c>
      <c r="H145" s="105">
        <v>13.9</v>
      </c>
      <c r="I145" s="44">
        <v>13.8</v>
      </c>
      <c r="J145" s="11" t="str">
        <f t="shared" si="15"/>
        <v/>
      </c>
      <c r="K145" s="12" t="str">
        <f t="shared" si="16"/>
        <v/>
      </c>
      <c r="L145" s="125">
        <f t="shared" si="17"/>
        <v>-9.9999999999999645E-2</v>
      </c>
      <c r="M145" s="47" t="str">
        <f t="shared" si="18"/>
        <v/>
      </c>
      <c r="N145" s="47" t="str">
        <f t="shared" si="19"/>
        <v/>
      </c>
      <c r="O145" s="47" t="str">
        <f t="shared" si="20"/>
        <v>Within Tolerance</v>
      </c>
    </row>
    <row r="146" spans="1:15" s="9" customFormat="1" x14ac:dyDescent="0.3">
      <c r="A146" s="166">
        <v>46148</v>
      </c>
      <c r="B146" s="61">
        <v>46148.555555555598</v>
      </c>
      <c r="C146" s="138">
        <f t="shared" si="14"/>
        <v>46148.555555555598</v>
      </c>
      <c r="D146" s="19" t="s">
        <v>36</v>
      </c>
      <c r="E146" s="8" t="s">
        <v>10</v>
      </c>
      <c r="F146" s="7" t="s">
        <v>19</v>
      </c>
      <c r="G146" s="13" t="s">
        <v>93</v>
      </c>
      <c r="H146" s="105">
        <v>13.8</v>
      </c>
      <c r="I146" s="44">
        <v>13.6</v>
      </c>
      <c r="J146" s="11" t="str">
        <f t="shared" si="15"/>
        <v/>
      </c>
      <c r="K146" s="12" t="str">
        <f t="shared" si="16"/>
        <v/>
      </c>
      <c r="L146" s="125">
        <f t="shared" si="17"/>
        <v>-0.20000000000000107</v>
      </c>
      <c r="M146" s="47" t="str">
        <f t="shared" si="18"/>
        <v/>
      </c>
      <c r="N146" s="47" t="str">
        <f t="shared" si="19"/>
        <v/>
      </c>
      <c r="O146" s="47" t="str">
        <f t="shared" si="20"/>
        <v>Out of Tolerance</v>
      </c>
    </row>
    <row r="147" spans="1:15" s="9" customFormat="1" x14ac:dyDescent="0.3">
      <c r="A147" s="167">
        <v>46148</v>
      </c>
      <c r="B147" s="61">
        <v>46148.666666666701</v>
      </c>
      <c r="C147" s="138">
        <f t="shared" si="14"/>
        <v>46148.666666666701</v>
      </c>
      <c r="D147" s="19" t="s">
        <v>30</v>
      </c>
      <c r="E147" s="8" t="s">
        <v>14</v>
      </c>
      <c r="F147" s="7" t="s">
        <v>19</v>
      </c>
      <c r="G147" s="13" t="s">
        <v>93</v>
      </c>
      <c r="H147" s="105">
        <v>13.8</v>
      </c>
      <c r="I147" s="44">
        <v>13.9</v>
      </c>
      <c r="J147" s="11" t="str">
        <f t="shared" si="15"/>
        <v/>
      </c>
      <c r="K147" s="12" t="str">
        <f t="shared" si="16"/>
        <v/>
      </c>
      <c r="L147" s="125">
        <f t="shared" si="17"/>
        <v>9.9999999999999645E-2</v>
      </c>
      <c r="M147" s="47" t="str">
        <f t="shared" si="18"/>
        <v/>
      </c>
      <c r="N147" s="47" t="str">
        <f t="shared" si="19"/>
        <v/>
      </c>
      <c r="O147" s="47" t="str">
        <f t="shared" si="20"/>
        <v>Within Tolerance</v>
      </c>
    </row>
    <row r="148" spans="1:15" s="9" customFormat="1" x14ac:dyDescent="0.3">
      <c r="A148" s="166">
        <v>46148</v>
      </c>
      <c r="B148" s="61">
        <v>46148.71875</v>
      </c>
      <c r="C148" s="138">
        <f t="shared" si="14"/>
        <v>46148.71875</v>
      </c>
      <c r="D148" s="19" t="s">
        <v>53</v>
      </c>
      <c r="E148" s="8" t="s">
        <v>54</v>
      </c>
      <c r="F148" s="7" t="s">
        <v>19</v>
      </c>
      <c r="G148" s="13" t="s">
        <v>93</v>
      </c>
      <c r="H148" s="105">
        <v>13</v>
      </c>
      <c r="I148" s="44">
        <v>12.8</v>
      </c>
      <c r="J148" s="11" t="str">
        <f t="shared" si="15"/>
        <v/>
      </c>
      <c r="K148" s="12" t="str">
        <f t="shared" si="16"/>
        <v/>
      </c>
      <c r="L148" s="125">
        <f t="shared" si="17"/>
        <v>-0.19999999999999929</v>
      </c>
      <c r="M148" s="47" t="str">
        <f t="shared" si="18"/>
        <v/>
      </c>
      <c r="N148" s="47" t="str">
        <f t="shared" si="19"/>
        <v/>
      </c>
      <c r="O148" s="47" t="str">
        <f t="shared" si="20"/>
        <v>Within Tolerance</v>
      </c>
    </row>
    <row r="149" spans="1:15" s="9" customFormat="1" ht="15" customHeight="1" x14ac:dyDescent="0.3">
      <c r="A149" s="167">
        <v>46148</v>
      </c>
      <c r="B149" s="61">
        <v>46148.930555555598</v>
      </c>
      <c r="C149" s="138">
        <f t="shared" si="14"/>
        <v>46148.930555555598</v>
      </c>
      <c r="D149" s="19" t="s">
        <v>42</v>
      </c>
      <c r="E149" s="8" t="s">
        <v>10</v>
      </c>
      <c r="F149" s="7" t="s">
        <v>19</v>
      </c>
      <c r="G149" s="13" t="s">
        <v>93</v>
      </c>
      <c r="H149" s="105">
        <v>14</v>
      </c>
      <c r="I149" s="44">
        <v>13.6</v>
      </c>
      <c r="J149" s="11" t="str">
        <f t="shared" si="15"/>
        <v/>
      </c>
      <c r="K149" s="12" t="str">
        <f t="shared" si="16"/>
        <v/>
      </c>
      <c r="L149" s="125">
        <f t="shared" si="17"/>
        <v>-0.40000000000000036</v>
      </c>
      <c r="M149" s="47" t="str">
        <f t="shared" si="18"/>
        <v/>
      </c>
      <c r="N149" s="47" t="str">
        <f t="shared" si="19"/>
        <v/>
      </c>
      <c r="O149" s="47" t="str">
        <f t="shared" si="20"/>
        <v>Out of Tolerance</v>
      </c>
    </row>
    <row r="150" spans="1:15" s="9" customFormat="1" x14ac:dyDescent="0.3">
      <c r="A150" s="166">
        <v>46148</v>
      </c>
      <c r="B150" s="61">
        <v>46148.715277777803</v>
      </c>
      <c r="C150" s="138">
        <f t="shared" si="14"/>
        <v>46148.715277777803</v>
      </c>
      <c r="D150" s="19" t="s">
        <v>50</v>
      </c>
      <c r="E150" s="8" t="s">
        <v>10</v>
      </c>
      <c r="F150" s="7" t="s">
        <v>24</v>
      </c>
      <c r="G150" s="13" t="s">
        <v>93</v>
      </c>
      <c r="H150" s="105">
        <v>14</v>
      </c>
      <c r="I150" s="44">
        <v>14</v>
      </c>
      <c r="J150" s="11" t="str">
        <f t="shared" si="15"/>
        <v/>
      </c>
      <c r="K150" s="12" t="str">
        <f t="shared" si="16"/>
        <v/>
      </c>
      <c r="L150" s="125">
        <f t="shared" si="17"/>
        <v>0</v>
      </c>
      <c r="M150" s="47" t="str">
        <f t="shared" si="18"/>
        <v/>
      </c>
      <c r="N150" s="47" t="str">
        <f t="shared" si="19"/>
        <v/>
      </c>
      <c r="O150" s="47" t="str">
        <f t="shared" si="20"/>
        <v>Within Tolerance</v>
      </c>
    </row>
    <row r="151" spans="1:15" s="9" customFormat="1" x14ac:dyDescent="0.3">
      <c r="A151" s="167">
        <v>46148</v>
      </c>
      <c r="B151" s="61">
        <v>46148.819444444402</v>
      </c>
      <c r="C151" s="138">
        <f t="shared" si="14"/>
        <v>46148.819444444402</v>
      </c>
      <c r="D151" s="19" t="s">
        <v>51</v>
      </c>
      <c r="E151" s="8" t="s">
        <v>10</v>
      </c>
      <c r="F151" s="7" t="s">
        <v>24</v>
      </c>
      <c r="G151" s="13" t="s">
        <v>93</v>
      </c>
      <c r="H151" s="105">
        <v>14</v>
      </c>
      <c r="I151" s="44">
        <v>13.9</v>
      </c>
      <c r="J151" s="11" t="str">
        <f t="shared" si="15"/>
        <v/>
      </c>
      <c r="K151" s="12" t="str">
        <f t="shared" si="16"/>
        <v/>
      </c>
      <c r="L151" s="125">
        <f t="shared" si="17"/>
        <v>-9.9999999999999645E-2</v>
      </c>
      <c r="M151" s="47" t="str">
        <f t="shared" si="18"/>
        <v/>
      </c>
      <c r="N151" s="47" t="str">
        <f t="shared" si="19"/>
        <v/>
      </c>
      <c r="O151" s="47" t="str">
        <f t="shared" si="20"/>
        <v>Within Tolerance</v>
      </c>
    </row>
    <row r="152" spans="1:15" s="9" customFormat="1" x14ac:dyDescent="0.3">
      <c r="A152" s="166">
        <v>46149</v>
      </c>
      <c r="B152" s="61">
        <v>46149.333333333299</v>
      </c>
      <c r="C152" s="138">
        <f t="shared" si="14"/>
        <v>46149.333333333299</v>
      </c>
      <c r="D152" s="19" t="s">
        <v>41</v>
      </c>
      <c r="E152" s="8" t="s">
        <v>10</v>
      </c>
      <c r="F152" s="7" t="s">
        <v>11</v>
      </c>
      <c r="G152" s="13">
        <v>13.81</v>
      </c>
      <c r="H152" s="105">
        <v>13.9</v>
      </c>
      <c r="I152" s="44">
        <v>14</v>
      </c>
      <c r="J152" s="11">
        <f t="shared" si="15"/>
        <v>8.9999999999999858E-2</v>
      </c>
      <c r="K152" s="12">
        <f t="shared" si="16"/>
        <v>0.1899999999999995</v>
      </c>
      <c r="L152" s="125">
        <f t="shared" si="17"/>
        <v>9.9999999999999645E-2</v>
      </c>
      <c r="M152" s="47" t="str">
        <f t="shared" si="18"/>
        <v>Within Tolerance</v>
      </c>
      <c r="N152" s="47" t="str">
        <f t="shared" si="19"/>
        <v>Within Tolerance</v>
      </c>
      <c r="O152" s="47" t="str">
        <f t="shared" si="20"/>
        <v>Within Tolerance</v>
      </c>
    </row>
    <row r="153" spans="1:15" s="9" customFormat="1" x14ac:dyDescent="0.3">
      <c r="A153" s="167">
        <v>46149</v>
      </c>
      <c r="B153" s="61">
        <v>46149.447916666701</v>
      </c>
      <c r="C153" s="138">
        <f t="shared" si="14"/>
        <v>46149.447916666701</v>
      </c>
      <c r="D153" s="19" t="s">
        <v>35</v>
      </c>
      <c r="E153" s="8" t="s">
        <v>14</v>
      </c>
      <c r="F153" s="7" t="s">
        <v>11</v>
      </c>
      <c r="G153" s="13" t="s">
        <v>93</v>
      </c>
      <c r="H153" s="105">
        <v>14</v>
      </c>
      <c r="I153" s="44">
        <v>14</v>
      </c>
      <c r="J153" s="11" t="str">
        <f t="shared" si="15"/>
        <v/>
      </c>
      <c r="K153" s="12" t="str">
        <f t="shared" si="16"/>
        <v/>
      </c>
      <c r="L153" s="125">
        <f t="shared" si="17"/>
        <v>0</v>
      </c>
      <c r="M153" s="47" t="str">
        <f t="shared" si="18"/>
        <v/>
      </c>
      <c r="N153" s="47" t="str">
        <f t="shared" si="19"/>
        <v/>
      </c>
      <c r="O153" s="47" t="str">
        <f t="shared" si="20"/>
        <v>Within Tolerance</v>
      </c>
    </row>
    <row r="154" spans="1:15" s="9" customFormat="1" x14ac:dyDescent="0.3">
      <c r="A154" s="166">
        <v>46149</v>
      </c>
      <c r="B154" s="61">
        <v>46149.520833333299</v>
      </c>
      <c r="C154" s="138">
        <f t="shared" si="14"/>
        <v>46149.520833333299</v>
      </c>
      <c r="D154" s="19" t="s">
        <v>35</v>
      </c>
      <c r="E154" s="8" t="s">
        <v>14</v>
      </c>
      <c r="F154" s="7" t="s">
        <v>11</v>
      </c>
      <c r="G154" s="13" t="s">
        <v>93</v>
      </c>
      <c r="H154" s="105">
        <v>14.2</v>
      </c>
      <c r="I154" s="44">
        <v>14.2</v>
      </c>
      <c r="J154" s="11" t="str">
        <f t="shared" si="15"/>
        <v/>
      </c>
      <c r="K154" s="12" t="str">
        <f t="shared" si="16"/>
        <v/>
      </c>
      <c r="L154" s="125">
        <f t="shared" si="17"/>
        <v>0</v>
      </c>
      <c r="M154" s="47" t="str">
        <f t="shared" si="18"/>
        <v/>
      </c>
      <c r="N154" s="47" t="str">
        <f t="shared" si="19"/>
        <v/>
      </c>
      <c r="O154" s="47" t="str">
        <f t="shared" si="20"/>
        <v>Within Tolerance</v>
      </c>
    </row>
    <row r="155" spans="1:15" s="9" customFormat="1" x14ac:dyDescent="0.3">
      <c r="A155" s="167">
        <v>46149</v>
      </c>
      <c r="B155" s="61">
        <v>46149.583333333299</v>
      </c>
      <c r="C155" s="138">
        <f t="shared" si="14"/>
        <v>46149.583333333299</v>
      </c>
      <c r="D155" s="19" t="s">
        <v>35</v>
      </c>
      <c r="E155" s="8" t="s">
        <v>14</v>
      </c>
      <c r="F155" s="7" t="s">
        <v>11</v>
      </c>
      <c r="G155" s="13" t="s">
        <v>93</v>
      </c>
      <c r="H155" s="105">
        <v>14.1</v>
      </c>
      <c r="I155" s="44">
        <v>14.1</v>
      </c>
      <c r="J155" s="11" t="str">
        <f t="shared" si="15"/>
        <v/>
      </c>
      <c r="K155" s="12" t="str">
        <f t="shared" si="16"/>
        <v/>
      </c>
      <c r="L155" s="125">
        <f t="shared" si="17"/>
        <v>0</v>
      </c>
      <c r="M155" s="47" t="str">
        <f t="shared" si="18"/>
        <v/>
      </c>
      <c r="N155" s="47" t="str">
        <f t="shared" si="19"/>
        <v/>
      </c>
      <c r="O155" s="47" t="str">
        <f t="shared" si="20"/>
        <v>Within Tolerance</v>
      </c>
    </row>
    <row r="156" spans="1:15" s="9" customFormat="1" x14ac:dyDescent="0.3">
      <c r="A156" s="166">
        <v>46149</v>
      </c>
      <c r="B156" s="61">
        <v>46149.666666666701</v>
      </c>
      <c r="C156" s="138">
        <f t="shared" si="14"/>
        <v>46149.666666666701</v>
      </c>
      <c r="D156" s="19" t="s">
        <v>35</v>
      </c>
      <c r="E156" s="8" t="s">
        <v>14</v>
      </c>
      <c r="F156" s="7" t="s">
        <v>11</v>
      </c>
      <c r="G156" s="13" t="s">
        <v>93</v>
      </c>
      <c r="H156" s="105">
        <v>13.8</v>
      </c>
      <c r="I156" s="44">
        <v>13.8</v>
      </c>
      <c r="J156" s="11" t="str">
        <f t="shared" si="15"/>
        <v/>
      </c>
      <c r="K156" s="12" t="str">
        <f t="shared" si="16"/>
        <v/>
      </c>
      <c r="L156" s="125">
        <f t="shared" si="17"/>
        <v>0</v>
      </c>
      <c r="M156" s="47" t="str">
        <f t="shared" si="18"/>
        <v/>
      </c>
      <c r="N156" s="47" t="str">
        <f t="shared" si="19"/>
        <v/>
      </c>
      <c r="O156" s="47" t="str">
        <f t="shared" si="20"/>
        <v>Within Tolerance</v>
      </c>
    </row>
    <row r="157" spans="1:15" s="9" customFormat="1" x14ac:dyDescent="0.3">
      <c r="A157" s="167">
        <v>46149</v>
      </c>
      <c r="B157" s="61">
        <v>46149.756944444402</v>
      </c>
      <c r="C157" s="138">
        <f t="shared" si="14"/>
        <v>46149.756944444402</v>
      </c>
      <c r="D157" s="19" t="s">
        <v>35</v>
      </c>
      <c r="E157" s="8" t="s">
        <v>14</v>
      </c>
      <c r="F157" s="7" t="s">
        <v>11</v>
      </c>
      <c r="G157" s="13" t="s">
        <v>93</v>
      </c>
      <c r="H157" s="105">
        <v>14</v>
      </c>
      <c r="I157" s="44">
        <v>14</v>
      </c>
      <c r="J157" s="11" t="str">
        <f t="shared" si="15"/>
        <v/>
      </c>
      <c r="K157" s="12" t="str">
        <f t="shared" si="16"/>
        <v/>
      </c>
      <c r="L157" s="125">
        <f t="shared" si="17"/>
        <v>0</v>
      </c>
      <c r="M157" s="47" t="str">
        <f t="shared" si="18"/>
        <v/>
      </c>
      <c r="N157" s="47" t="str">
        <f t="shared" si="19"/>
        <v/>
      </c>
      <c r="O157" s="47" t="str">
        <f t="shared" si="20"/>
        <v>Within Tolerance</v>
      </c>
    </row>
    <row r="158" spans="1:15" s="9" customFormat="1" x14ac:dyDescent="0.3">
      <c r="A158" s="166">
        <v>46149</v>
      </c>
      <c r="B158" s="61">
        <v>46149.833333333299</v>
      </c>
      <c r="C158" s="138">
        <f t="shared" si="14"/>
        <v>46149.833333333299</v>
      </c>
      <c r="D158" s="19" t="s">
        <v>35</v>
      </c>
      <c r="E158" s="8" t="s">
        <v>14</v>
      </c>
      <c r="F158" s="7" t="s">
        <v>11</v>
      </c>
      <c r="G158" s="13" t="s">
        <v>93</v>
      </c>
      <c r="H158" s="105">
        <v>14.1</v>
      </c>
      <c r="I158" s="44">
        <v>14.2</v>
      </c>
      <c r="J158" s="11" t="str">
        <f t="shared" si="15"/>
        <v/>
      </c>
      <c r="K158" s="12" t="str">
        <f t="shared" si="16"/>
        <v/>
      </c>
      <c r="L158" s="125">
        <f t="shared" si="17"/>
        <v>9.9999999999999645E-2</v>
      </c>
      <c r="M158" s="47" t="str">
        <f t="shared" si="18"/>
        <v/>
      </c>
      <c r="N158" s="47" t="str">
        <f t="shared" si="19"/>
        <v/>
      </c>
      <c r="O158" s="47" t="str">
        <f t="shared" si="20"/>
        <v>Within Tolerance</v>
      </c>
    </row>
    <row r="159" spans="1:15" s="9" customFormat="1" x14ac:dyDescent="0.3">
      <c r="A159" s="167">
        <v>46149</v>
      </c>
      <c r="B159" s="61">
        <v>46149.916666666701</v>
      </c>
      <c r="C159" s="138">
        <f t="shared" si="14"/>
        <v>46149.916666666701</v>
      </c>
      <c r="D159" s="19" t="s">
        <v>35</v>
      </c>
      <c r="E159" s="8" t="s">
        <v>14</v>
      </c>
      <c r="F159" s="7" t="s">
        <v>11</v>
      </c>
      <c r="G159" s="13" t="s">
        <v>93</v>
      </c>
      <c r="H159" s="105">
        <v>14.1</v>
      </c>
      <c r="I159" s="18" t="s">
        <v>93</v>
      </c>
      <c r="J159" s="11" t="str">
        <f t="shared" si="15"/>
        <v/>
      </c>
      <c r="K159" s="12" t="str">
        <f t="shared" si="16"/>
        <v/>
      </c>
      <c r="L159" s="125" t="str">
        <f t="shared" si="17"/>
        <v/>
      </c>
      <c r="M159" s="47" t="str">
        <f t="shared" si="18"/>
        <v/>
      </c>
      <c r="N159" s="47" t="str">
        <f t="shared" si="19"/>
        <v/>
      </c>
      <c r="O159" s="47" t="str">
        <f t="shared" si="20"/>
        <v/>
      </c>
    </row>
    <row r="160" spans="1:15" s="9" customFormat="1" x14ac:dyDescent="0.3">
      <c r="A160" s="166">
        <v>46149</v>
      </c>
      <c r="B160" s="61">
        <v>46149.96875</v>
      </c>
      <c r="C160" s="138">
        <f t="shared" si="14"/>
        <v>46149.96875</v>
      </c>
      <c r="D160" s="19" t="s">
        <v>13</v>
      </c>
      <c r="E160" s="8" t="s">
        <v>14</v>
      </c>
      <c r="F160" s="7" t="s">
        <v>11</v>
      </c>
      <c r="G160" s="13" t="s">
        <v>93</v>
      </c>
      <c r="H160" s="105">
        <v>14</v>
      </c>
      <c r="I160" s="18" t="s">
        <v>93</v>
      </c>
      <c r="J160" s="11" t="str">
        <f t="shared" si="15"/>
        <v/>
      </c>
      <c r="K160" s="12" t="str">
        <f t="shared" si="16"/>
        <v/>
      </c>
      <c r="L160" s="125" t="str">
        <f t="shared" si="17"/>
        <v/>
      </c>
      <c r="M160" s="47" t="str">
        <f t="shared" si="18"/>
        <v/>
      </c>
      <c r="N160" s="47" t="str">
        <f t="shared" si="19"/>
        <v/>
      </c>
      <c r="O160" s="47" t="str">
        <f t="shared" si="20"/>
        <v/>
      </c>
    </row>
    <row r="161" spans="1:15" s="9" customFormat="1" x14ac:dyDescent="0.3">
      <c r="A161" s="167">
        <v>46150</v>
      </c>
      <c r="B161" s="61">
        <v>46150</v>
      </c>
      <c r="C161" s="138">
        <f t="shared" si="14"/>
        <v>46150</v>
      </c>
      <c r="D161" s="19" t="s">
        <v>13</v>
      </c>
      <c r="E161" s="8" t="s">
        <v>14</v>
      </c>
      <c r="F161" s="7" t="s">
        <v>11</v>
      </c>
      <c r="G161" s="13" t="s">
        <v>93</v>
      </c>
      <c r="H161" s="105">
        <v>14</v>
      </c>
      <c r="I161" s="44">
        <v>14</v>
      </c>
      <c r="J161" s="11" t="str">
        <f t="shared" si="15"/>
        <v/>
      </c>
      <c r="K161" s="12" t="str">
        <f t="shared" si="16"/>
        <v/>
      </c>
      <c r="L161" s="125">
        <f t="shared" si="17"/>
        <v>0</v>
      </c>
      <c r="M161" s="47" t="str">
        <f t="shared" si="18"/>
        <v/>
      </c>
      <c r="N161" s="47" t="str">
        <f t="shared" si="19"/>
        <v/>
      </c>
      <c r="O161" s="47" t="str">
        <f t="shared" si="20"/>
        <v>Within Tolerance</v>
      </c>
    </row>
    <row r="162" spans="1:15" s="9" customFormat="1" x14ac:dyDescent="0.3">
      <c r="A162" s="166">
        <v>46150</v>
      </c>
      <c r="B162" s="61">
        <v>46150.083333333299</v>
      </c>
      <c r="C162" s="138">
        <f t="shared" si="14"/>
        <v>46150.083333333299</v>
      </c>
      <c r="D162" s="19" t="s">
        <v>13</v>
      </c>
      <c r="E162" s="8" t="s">
        <v>14</v>
      </c>
      <c r="F162" s="7" t="s">
        <v>11</v>
      </c>
      <c r="G162" s="13" t="s">
        <v>93</v>
      </c>
      <c r="H162" s="105">
        <v>14.1</v>
      </c>
      <c r="I162" s="44">
        <v>14.3</v>
      </c>
      <c r="J162" s="11" t="str">
        <f t="shared" si="15"/>
        <v/>
      </c>
      <c r="K162" s="12" t="str">
        <f t="shared" si="16"/>
        <v/>
      </c>
      <c r="L162" s="125">
        <f t="shared" si="17"/>
        <v>0.20000000000000107</v>
      </c>
      <c r="M162" s="47" t="str">
        <f t="shared" si="18"/>
        <v/>
      </c>
      <c r="N162" s="47" t="str">
        <f t="shared" si="19"/>
        <v/>
      </c>
      <c r="O162" s="47" t="str">
        <f t="shared" si="20"/>
        <v>Out of Tolerance</v>
      </c>
    </row>
    <row r="163" spans="1:15" s="9" customFormat="1" x14ac:dyDescent="0.3">
      <c r="A163" s="167">
        <v>46150</v>
      </c>
      <c r="B163" s="61">
        <v>46150.166666666701</v>
      </c>
      <c r="C163" s="138">
        <f t="shared" si="14"/>
        <v>46150.166666666701</v>
      </c>
      <c r="D163" s="19" t="s">
        <v>13</v>
      </c>
      <c r="E163" s="8" t="s">
        <v>14</v>
      </c>
      <c r="F163" s="7" t="s">
        <v>11</v>
      </c>
      <c r="G163" s="13" t="s">
        <v>93</v>
      </c>
      <c r="H163" s="105">
        <v>14.1</v>
      </c>
      <c r="I163" s="44">
        <v>14.1</v>
      </c>
      <c r="J163" s="11" t="str">
        <f t="shared" si="15"/>
        <v/>
      </c>
      <c r="K163" s="12" t="str">
        <f t="shared" si="16"/>
        <v/>
      </c>
      <c r="L163" s="125">
        <f t="shared" si="17"/>
        <v>0</v>
      </c>
      <c r="M163" s="47" t="str">
        <f t="shared" si="18"/>
        <v/>
      </c>
      <c r="N163" s="47" t="str">
        <f t="shared" si="19"/>
        <v/>
      </c>
      <c r="O163" s="47" t="str">
        <f t="shared" si="20"/>
        <v>Within Tolerance</v>
      </c>
    </row>
    <row r="164" spans="1:15" s="9" customFormat="1" x14ac:dyDescent="0.3">
      <c r="A164" s="166">
        <v>46150</v>
      </c>
      <c r="B164" s="61">
        <v>46150.25</v>
      </c>
      <c r="C164" s="138">
        <f t="shared" si="14"/>
        <v>46150.25</v>
      </c>
      <c r="D164" s="19" t="s">
        <v>13</v>
      </c>
      <c r="E164" s="8" t="s">
        <v>14</v>
      </c>
      <c r="F164" s="7" t="s">
        <v>11</v>
      </c>
      <c r="G164" s="13" t="s">
        <v>93</v>
      </c>
      <c r="H164" s="105">
        <v>14.2</v>
      </c>
      <c r="I164" s="44">
        <v>14.3</v>
      </c>
      <c r="J164" s="11" t="str">
        <f t="shared" si="15"/>
        <v/>
      </c>
      <c r="K164" s="12" t="str">
        <f t="shared" si="16"/>
        <v/>
      </c>
      <c r="L164" s="125">
        <f t="shared" si="17"/>
        <v>0.10000000000000142</v>
      </c>
      <c r="M164" s="47" t="str">
        <f t="shared" si="18"/>
        <v/>
      </c>
      <c r="N164" s="47" t="str">
        <f t="shared" si="19"/>
        <v/>
      </c>
      <c r="O164" s="47" t="str">
        <f t="shared" si="20"/>
        <v>Within Tolerance</v>
      </c>
    </row>
    <row r="165" spans="1:15" s="9" customFormat="1" x14ac:dyDescent="0.3">
      <c r="A165" s="167">
        <v>46149</v>
      </c>
      <c r="B165" s="61">
        <v>46149.753472222197</v>
      </c>
      <c r="C165" s="138">
        <f t="shared" si="14"/>
        <v>46149.753472222197</v>
      </c>
      <c r="D165" s="19" t="s">
        <v>29</v>
      </c>
      <c r="E165" s="8" t="s">
        <v>10</v>
      </c>
      <c r="F165" s="7" t="s">
        <v>15</v>
      </c>
      <c r="G165" s="13" t="s">
        <v>93</v>
      </c>
      <c r="H165" s="105">
        <v>14.1</v>
      </c>
      <c r="I165" s="18" t="s">
        <v>93</v>
      </c>
      <c r="J165" s="11" t="str">
        <f t="shared" si="15"/>
        <v/>
      </c>
      <c r="K165" s="12" t="str">
        <f t="shared" si="16"/>
        <v/>
      </c>
      <c r="L165" s="125" t="str">
        <f t="shared" si="17"/>
        <v/>
      </c>
      <c r="M165" s="47" t="str">
        <f t="shared" si="18"/>
        <v/>
      </c>
      <c r="N165" s="47" t="str">
        <f t="shared" si="19"/>
        <v/>
      </c>
      <c r="O165" s="47" t="str">
        <f t="shared" si="20"/>
        <v/>
      </c>
    </row>
    <row r="166" spans="1:15" s="9" customFormat="1" x14ac:dyDescent="0.3">
      <c r="A166" s="166">
        <v>46149</v>
      </c>
      <c r="B166" s="61">
        <v>46149.770833333299</v>
      </c>
      <c r="C166" s="138">
        <f t="shared" si="14"/>
        <v>46149.770833333299</v>
      </c>
      <c r="D166" s="19" t="s">
        <v>29</v>
      </c>
      <c r="E166" s="8" t="s">
        <v>10</v>
      </c>
      <c r="F166" s="7" t="s">
        <v>15</v>
      </c>
      <c r="G166" s="13" t="s">
        <v>93</v>
      </c>
      <c r="H166" s="105">
        <v>14</v>
      </c>
      <c r="I166" s="44">
        <v>14</v>
      </c>
      <c r="J166" s="11" t="str">
        <f t="shared" si="15"/>
        <v/>
      </c>
      <c r="K166" s="12" t="str">
        <f t="shared" si="16"/>
        <v/>
      </c>
      <c r="L166" s="125">
        <f t="shared" si="17"/>
        <v>0</v>
      </c>
      <c r="M166" s="47" t="str">
        <f t="shared" si="18"/>
        <v/>
      </c>
      <c r="N166" s="47" t="str">
        <f t="shared" si="19"/>
        <v/>
      </c>
      <c r="O166" s="47" t="str">
        <f t="shared" si="20"/>
        <v>Within Tolerance</v>
      </c>
    </row>
    <row r="167" spans="1:15" s="9" customFormat="1" x14ac:dyDescent="0.3">
      <c r="A167" s="167">
        <v>46149</v>
      </c>
      <c r="B167" s="61">
        <v>46149.791666666701</v>
      </c>
      <c r="C167" s="138">
        <f t="shared" si="14"/>
        <v>46149.791666666701</v>
      </c>
      <c r="D167" s="19" t="s">
        <v>29</v>
      </c>
      <c r="E167" s="8" t="s">
        <v>10</v>
      </c>
      <c r="F167" s="7" t="s">
        <v>15</v>
      </c>
      <c r="G167" s="13">
        <v>13.88</v>
      </c>
      <c r="H167" s="105">
        <v>14</v>
      </c>
      <c r="I167" s="18" t="s">
        <v>93</v>
      </c>
      <c r="J167" s="11">
        <f t="shared" si="15"/>
        <v>0.11999999999999922</v>
      </c>
      <c r="K167" s="12" t="str">
        <f t="shared" si="16"/>
        <v/>
      </c>
      <c r="L167" s="125" t="str">
        <f t="shared" si="17"/>
        <v/>
      </c>
      <c r="M167" s="47" t="str">
        <f t="shared" si="18"/>
        <v>Within Tolerance</v>
      </c>
      <c r="N167" s="47" t="str">
        <f t="shared" si="19"/>
        <v/>
      </c>
      <c r="O167" s="47" t="str">
        <f t="shared" si="20"/>
        <v/>
      </c>
    </row>
    <row r="168" spans="1:15" s="9" customFormat="1" x14ac:dyDescent="0.3">
      <c r="A168" s="166">
        <v>46149</v>
      </c>
      <c r="B168" s="61">
        <v>46149.833333333299</v>
      </c>
      <c r="C168" s="138">
        <f t="shared" si="14"/>
        <v>46149.833333333299</v>
      </c>
      <c r="D168" s="19" t="s">
        <v>29</v>
      </c>
      <c r="E168" s="8" t="s">
        <v>10</v>
      </c>
      <c r="F168" s="7" t="s">
        <v>15</v>
      </c>
      <c r="G168" s="13" t="s">
        <v>93</v>
      </c>
      <c r="H168" s="105">
        <v>14.1</v>
      </c>
      <c r="I168" s="44">
        <v>14.1</v>
      </c>
      <c r="J168" s="11" t="str">
        <f t="shared" si="15"/>
        <v/>
      </c>
      <c r="K168" s="12" t="str">
        <f t="shared" si="16"/>
        <v/>
      </c>
      <c r="L168" s="125">
        <f t="shared" si="17"/>
        <v>0</v>
      </c>
      <c r="M168" s="47" t="str">
        <f t="shared" si="18"/>
        <v/>
      </c>
      <c r="N168" s="47" t="str">
        <f t="shared" si="19"/>
        <v/>
      </c>
      <c r="O168" s="47" t="str">
        <f t="shared" si="20"/>
        <v>Within Tolerance</v>
      </c>
    </row>
    <row r="169" spans="1:15" s="9" customFormat="1" x14ac:dyDescent="0.3">
      <c r="A169" s="167">
        <v>46150</v>
      </c>
      <c r="B169" s="61">
        <v>46150.020833333299</v>
      </c>
      <c r="C169" s="138">
        <f t="shared" si="14"/>
        <v>46150.020833333299</v>
      </c>
      <c r="D169" s="19" t="s">
        <v>29</v>
      </c>
      <c r="E169" s="8" t="s">
        <v>10</v>
      </c>
      <c r="F169" s="7" t="s">
        <v>15</v>
      </c>
      <c r="G169" s="13" t="s">
        <v>93</v>
      </c>
      <c r="H169" s="105">
        <v>14.1</v>
      </c>
      <c r="I169" s="18" t="s">
        <v>93</v>
      </c>
      <c r="J169" s="11" t="str">
        <f t="shared" si="15"/>
        <v/>
      </c>
      <c r="K169" s="12" t="str">
        <f t="shared" si="16"/>
        <v/>
      </c>
      <c r="L169" s="125" t="str">
        <f t="shared" si="17"/>
        <v/>
      </c>
      <c r="M169" s="47" t="str">
        <f t="shared" si="18"/>
        <v/>
      </c>
      <c r="N169" s="47" t="str">
        <f t="shared" si="19"/>
        <v/>
      </c>
      <c r="O169" s="47" t="str">
        <f t="shared" si="20"/>
        <v/>
      </c>
    </row>
    <row r="170" spans="1:15" s="9" customFormat="1" x14ac:dyDescent="0.3">
      <c r="A170" s="166">
        <v>46150</v>
      </c>
      <c r="B170" s="61">
        <v>46150.041666666701</v>
      </c>
      <c r="C170" s="138">
        <f t="shared" si="14"/>
        <v>46150.041666666701</v>
      </c>
      <c r="D170" s="19" t="s">
        <v>29</v>
      </c>
      <c r="E170" s="8" t="s">
        <v>10</v>
      </c>
      <c r="F170" s="7" t="s">
        <v>15</v>
      </c>
      <c r="G170" s="13" t="s">
        <v>93</v>
      </c>
      <c r="H170" s="105">
        <v>14.1</v>
      </c>
      <c r="I170" s="44">
        <v>14.3</v>
      </c>
      <c r="J170" s="11" t="str">
        <f t="shared" si="15"/>
        <v/>
      </c>
      <c r="K170" s="12" t="str">
        <f t="shared" si="16"/>
        <v/>
      </c>
      <c r="L170" s="125">
        <f t="shared" si="17"/>
        <v>0.20000000000000107</v>
      </c>
      <c r="M170" s="47" t="str">
        <f t="shared" si="18"/>
        <v/>
      </c>
      <c r="N170" s="47" t="str">
        <f t="shared" si="19"/>
        <v/>
      </c>
      <c r="O170" s="47" t="str">
        <f t="shared" si="20"/>
        <v>Out of Tolerance</v>
      </c>
    </row>
    <row r="171" spans="1:15" s="9" customFormat="1" x14ac:dyDescent="0.3">
      <c r="A171" s="167">
        <v>46149</v>
      </c>
      <c r="B171" s="61">
        <v>46149.423611111102</v>
      </c>
      <c r="C171" s="138">
        <f t="shared" si="14"/>
        <v>46149.423611111102</v>
      </c>
      <c r="D171" s="19" t="s">
        <v>20</v>
      </c>
      <c r="E171" s="8" t="s">
        <v>14</v>
      </c>
      <c r="F171" s="7" t="s">
        <v>19</v>
      </c>
      <c r="G171" s="13" t="s">
        <v>93</v>
      </c>
      <c r="H171" s="105">
        <v>13.8</v>
      </c>
      <c r="I171" s="44">
        <v>13.9</v>
      </c>
      <c r="J171" s="11" t="str">
        <f t="shared" si="15"/>
        <v/>
      </c>
      <c r="K171" s="12" t="str">
        <f t="shared" si="16"/>
        <v/>
      </c>
      <c r="L171" s="125">
        <f t="shared" si="17"/>
        <v>9.9999999999999645E-2</v>
      </c>
      <c r="M171" s="47" t="str">
        <f t="shared" si="18"/>
        <v/>
      </c>
      <c r="N171" s="47" t="str">
        <f t="shared" si="19"/>
        <v/>
      </c>
      <c r="O171" s="47" t="str">
        <f t="shared" si="20"/>
        <v>Within Tolerance</v>
      </c>
    </row>
    <row r="172" spans="1:15" s="9" customFormat="1" x14ac:dyDescent="0.3">
      <c r="A172" s="166">
        <v>46149</v>
      </c>
      <c r="B172" s="61">
        <v>46149.46875</v>
      </c>
      <c r="C172" s="138">
        <f t="shared" si="14"/>
        <v>46149.46875</v>
      </c>
      <c r="D172" s="19" t="s">
        <v>21</v>
      </c>
      <c r="E172" s="8" t="s">
        <v>10</v>
      </c>
      <c r="F172" s="7" t="s">
        <v>19</v>
      </c>
      <c r="G172" s="13" t="s">
        <v>93</v>
      </c>
      <c r="H172" s="105">
        <v>14</v>
      </c>
      <c r="I172" s="44">
        <v>14</v>
      </c>
      <c r="J172" s="11" t="str">
        <f t="shared" si="15"/>
        <v/>
      </c>
      <c r="K172" s="12" t="str">
        <f t="shared" si="16"/>
        <v/>
      </c>
      <c r="L172" s="125">
        <f t="shared" si="17"/>
        <v>0</v>
      </c>
      <c r="M172" s="47" t="str">
        <f t="shared" si="18"/>
        <v/>
      </c>
      <c r="N172" s="47" t="str">
        <f t="shared" si="19"/>
        <v/>
      </c>
      <c r="O172" s="47" t="str">
        <f t="shared" si="20"/>
        <v>Within Tolerance</v>
      </c>
    </row>
    <row r="173" spans="1:15" s="9" customFormat="1" x14ac:dyDescent="0.3">
      <c r="A173" s="167">
        <v>46149</v>
      </c>
      <c r="B173" s="61">
        <v>46149.565972222197</v>
      </c>
      <c r="C173" s="138">
        <f t="shared" si="14"/>
        <v>46149.565972222197</v>
      </c>
      <c r="D173" s="19" t="s">
        <v>18</v>
      </c>
      <c r="E173" s="8" t="s">
        <v>14</v>
      </c>
      <c r="F173" s="7" t="s">
        <v>19</v>
      </c>
      <c r="G173" s="13" t="s">
        <v>93</v>
      </c>
      <c r="H173" s="105">
        <v>13.7</v>
      </c>
      <c r="I173" s="44">
        <v>13.8</v>
      </c>
      <c r="J173" s="11" t="str">
        <f t="shared" si="15"/>
        <v/>
      </c>
      <c r="K173" s="12" t="str">
        <f t="shared" si="16"/>
        <v/>
      </c>
      <c r="L173" s="125">
        <f t="shared" si="17"/>
        <v>0.10000000000000142</v>
      </c>
      <c r="M173" s="47" t="str">
        <f t="shared" si="18"/>
        <v/>
      </c>
      <c r="N173" s="47" t="str">
        <f t="shared" si="19"/>
        <v/>
      </c>
      <c r="O173" s="47" t="str">
        <f t="shared" si="20"/>
        <v>Within Tolerance</v>
      </c>
    </row>
    <row r="174" spans="1:15" s="9" customFormat="1" x14ac:dyDescent="0.3">
      <c r="A174" s="166">
        <v>46149</v>
      </c>
      <c r="B174" s="61">
        <v>46149.652777777803</v>
      </c>
      <c r="C174" s="138">
        <f t="shared" si="14"/>
        <v>46149.652777777803</v>
      </c>
      <c r="D174" s="19" t="s">
        <v>37</v>
      </c>
      <c r="E174" s="8" t="s">
        <v>14</v>
      </c>
      <c r="F174" s="7" t="s">
        <v>19</v>
      </c>
      <c r="G174" s="13" t="s">
        <v>93</v>
      </c>
      <c r="H174" s="105">
        <v>14.1</v>
      </c>
      <c r="I174" s="44">
        <v>14.1</v>
      </c>
      <c r="J174" s="11" t="str">
        <f t="shared" si="15"/>
        <v/>
      </c>
      <c r="K174" s="12" t="str">
        <f t="shared" si="16"/>
        <v/>
      </c>
      <c r="L174" s="125">
        <f t="shared" si="17"/>
        <v>0</v>
      </c>
      <c r="M174" s="47" t="str">
        <f t="shared" si="18"/>
        <v/>
      </c>
      <c r="N174" s="47" t="str">
        <f t="shared" si="19"/>
        <v/>
      </c>
      <c r="O174" s="47" t="str">
        <f t="shared" si="20"/>
        <v>Within Tolerance</v>
      </c>
    </row>
    <row r="175" spans="1:15" s="9" customFormat="1" x14ac:dyDescent="0.3">
      <c r="A175" s="167">
        <v>46149</v>
      </c>
      <c r="B175" s="61">
        <v>46149.434027777803</v>
      </c>
      <c r="C175" s="138">
        <f t="shared" si="14"/>
        <v>46149.434027777803</v>
      </c>
      <c r="D175" s="19" t="s">
        <v>51</v>
      </c>
      <c r="E175" s="8" t="s">
        <v>10</v>
      </c>
      <c r="F175" s="7" t="s">
        <v>24</v>
      </c>
      <c r="G175" s="13" t="s">
        <v>93</v>
      </c>
      <c r="H175" s="105">
        <v>13.8</v>
      </c>
      <c r="I175" s="44">
        <v>13.6</v>
      </c>
      <c r="J175" s="11" t="str">
        <f t="shared" si="15"/>
        <v/>
      </c>
      <c r="K175" s="12" t="str">
        <f t="shared" si="16"/>
        <v/>
      </c>
      <c r="L175" s="125">
        <f t="shared" si="17"/>
        <v>-0.20000000000000107</v>
      </c>
      <c r="M175" s="47" t="str">
        <f t="shared" si="18"/>
        <v/>
      </c>
      <c r="N175" s="47" t="str">
        <f t="shared" si="19"/>
        <v/>
      </c>
      <c r="O175" s="47" t="str">
        <f t="shared" si="20"/>
        <v>Out of Tolerance</v>
      </c>
    </row>
    <row r="176" spans="1:15" s="9" customFormat="1" x14ac:dyDescent="0.3">
      <c r="A176" s="166">
        <v>46149</v>
      </c>
      <c r="B176" s="61">
        <v>46149.479166666701</v>
      </c>
      <c r="C176" s="138">
        <f t="shared" si="14"/>
        <v>46149.479166666701</v>
      </c>
      <c r="D176" s="19" t="s">
        <v>50</v>
      </c>
      <c r="E176" s="8" t="s">
        <v>10</v>
      </c>
      <c r="F176" s="7" t="s">
        <v>24</v>
      </c>
      <c r="G176" s="13" t="s">
        <v>93</v>
      </c>
      <c r="H176" s="105">
        <v>13.7</v>
      </c>
      <c r="I176" s="44">
        <v>13.7</v>
      </c>
      <c r="J176" s="11" t="str">
        <f t="shared" si="15"/>
        <v/>
      </c>
      <c r="K176" s="12" t="str">
        <f t="shared" si="16"/>
        <v/>
      </c>
      <c r="L176" s="125">
        <f t="shared" si="17"/>
        <v>0</v>
      </c>
      <c r="M176" s="47" t="str">
        <f t="shared" si="18"/>
        <v/>
      </c>
      <c r="N176" s="47" t="str">
        <f t="shared" si="19"/>
        <v/>
      </c>
      <c r="O176" s="47" t="str">
        <f t="shared" si="20"/>
        <v>Within Tolerance</v>
      </c>
    </row>
    <row r="177" spans="1:15" s="9" customFormat="1" x14ac:dyDescent="0.3">
      <c r="A177" s="167">
        <v>46150</v>
      </c>
      <c r="B177" s="61">
        <v>46150.333333333299</v>
      </c>
      <c r="C177" s="138">
        <f t="shared" si="14"/>
        <v>46150.333333333299</v>
      </c>
      <c r="D177" s="19" t="s">
        <v>13</v>
      </c>
      <c r="E177" s="15" t="s">
        <v>14</v>
      </c>
      <c r="F177" s="7" t="s">
        <v>11</v>
      </c>
      <c r="G177" s="13">
        <v>14.2</v>
      </c>
      <c r="H177" s="105">
        <v>14.2</v>
      </c>
      <c r="I177" s="44">
        <v>13.9</v>
      </c>
      <c r="J177" s="11">
        <f t="shared" si="15"/>
        <v>0</v>
      </c>
      <c r="K177" s="12">
        <f t="shared" si="16"/>
        <v>-0.29999999999999893</v>
      </c>
      <c r="L177" s="125">
        <f t="shared" si="17"/>
        <v>-0.29999999999999893</v>
      </c>
      <c r="M177" s="47" t="str">
        <f t="shared" si="18"/>
        <v>Within Tolerance</v>
      </c>
      <c r="N177" s="47" t="str">
        <f t="shared" si="19"/>
        <v>Out of Tolerance</v>
      </c>
      <c r="O177" s="47" t="str">
        <f t="shared" si="20"/>
        <v>Out of Tolerance</v>
      </c>
    </row>
    <row r="178" spans="1:15" s="9" customFormat="1" x14ac:dyDescent="0.3">
      <c r="A178" s="166">
        <v>46150</v>
      </c>
      <c r="B178" s="61">
        <v>46150.416666666701</v>
      </c>
      <c r="C178" s="138">
        <f t="shared" si="14"/>
        <v>46150.416666666701</v>
      </c>
      <c r="D178" s="19" t="s">
        <v>13</v>
      </c>
      <c r="E178" s="15" t="s">
        <v>14</v>
      </c>
      <c r="F178" s="7" t="s">
        <v>11</v>
      </c>
      <c r="G178" s="13" t="s">
        <v>93</v>
      </c>
      <c r="H178" s="105">
        <v>14.2</v>
      </c>
      <c r="I178" s="44">
        <v>14.2</v>
      </c>
      <c r="J178" s="11" t="str">
        <f t="shared" si="15"/>
        <v/>
      </c>
      <c r="K178" s="12" t="str">
        <f t="shared" si="16"/>
        <v/>
      </c>
      <c r="L178" s="125">
        <f t="shared" si="17"/>
        <v>0</v>
      </c>
      <c r="M178" s="47" t="str">
        <f t="shared" si="18"/>
        <v/>
      </c>
      <c r="N178" s="47" t="str">
        <f t="shared" si="19"/>
        <v/>
      </c>
      <c r="O178" s="47" t="str">
        <f t="shared" si="20"/>
        <v>Within Tolerance</v>
      </c>
    </row>
    <row r="179" spans="1:15" s="9" customFormat="1" x14ac:dyDescent="0.3">
      <c r="A179" s="167">
        <v>46150</v>
      </c>
      <c r="B179" s="61">
        <v>46150.5</v>
      </c>
      <c r="C179" s="138">
        <f t="shared" si="14"/>
        <v>46150.5</v>
      </c>
      <c r="D179" s="19" t="s">
        <v>13</v>
      </c>
      <c r="E179" s="15" t="s">
        <v>14</v>
      </c>
      <c r="F179" s="7" t="s">
        <v>11</v>
      </c>
      <c r="G179" s="13" t="s">
        <v>93</v>
      </c>
      <c r="H179" s="105">
        <v>14.2</v>
      </c>
      <c r="I179" s="44">
        <v>14.2</v>
      </c>
      <c r="J179" s="11" t="str">
        <f t="shared" si="15"/>
        <v/>
      </c>
      <c r="K179" s="12" t="str">
        <f t="shared" si="16"/>
        <v/>
      </c>
      <c r="L179" s="125">
        <f t="shared" si="17"/>
        <v>0</v>
      </c>
      <c r="M179" s="47" t="str">
        <f t="shared" si="18"/>
        <v/>
      </c>
      <c r="N179" s="47" t="str">
        <f t="shared" si="19"/>
        <v/>
      </c>
      <c r="O179" s="47" t="str">
        <f t="shared" si="20"/>
        <v>Within Tolerance</v>
      </c>
    </row>
    <row r="180" spans="1:15" s="9" customFormat="1" x14ac:dyDescent="0.3">
      <c r="A180" s="166">
        <v>46150</v>
      </c>
      <c r="B180" s="61">
        <v>46150.583333333299</v>
      </c>
      <c r="C180" s="138">
        <f t="shared" si="14"/>
        <v>46150.583333333299</v>
      </c>
      <c r="D180" s="19" t="s">
        <v>13</v>
      </c>
      <c r="E180" s="15" t="s">
        <v>14</v>
      </c>
      <c r="F180" s="7" t="s">
        <v>11</v>
      </c>
      <c r="G180" s="13" t="s">
        <v>93</v>
      </c>
      <c r="H180" s="105">
        <v>14.2</v>
      </c>
      <c r="I180" s="44">
        <v>14.2</v>
      </c>
      <c r="J180" s="11" t="str">
        <f t="shared" si="15"/>
        <v/>
      </c>
      <c r="K180" s="12" t="str">
        <f t="shared" si="16"/>
        <v/>
      </c>
      <c r="L180" s="125">
        <f t="shared" si="17"/>
        <v>0</v>
      </c>
      <c r="M180" s="47" t="str">
        <f t="shared" si="18"/>
        <v/>
      </c>
      <c r="N180" s="47" t="str">
        <f t="shared" si="19"/>
        <v/>
      </c>
      <c r="O180" s="47" t="str">
        <f t="shared" si="20"/>
        <v>Within Tolerance</v>
      </c>
    </row>
    <row r="181" spans="1:15" s="9" customFormat="1" x14ac:dyDescent="0.3">
      <c r="A181" s="167">
        <v>46150</v>
      </c>
      <c r="B181" s="61">
        <v>46150.645833333299</v>
      </c>
      <c r="C181" s="138">
        <f t="shared" si="14"/>
        <v>46150.645833333299</v>
      </c>
      <c r="D181" s="19" t="s">
        <v>42</v>
      </c>
      <c r="E181" s="15" t="s">
        <v>10</v>
      </c>
      <c r="F181" s="7" t="s">
        <v>11</v>
      </c>
      <c r="G181" s="13" t="s">
        <v>93</v>
      </c>
      <c r="H181" s="105">
        <v>14.1</v>
      </c>
      <c r="I181" s="18" t="s">
        <v>93</v>
      </c>
      <c r="J181" s="11" t="str">
        <f t="shared" si="15"/>
        <v/>
      </c>
      <c r="K181" s="12" t="str">
        <f t="shared" si="16"/>
        <v/>
      </c>
      <c r="L181" s="125" t="str">
        <f t="shared" si="17"/>
        <v/>
      </c>
      <c r="M181" s="47" t="str">
        <f t="shared" si="18"/>
        <v/>
      </c>
      <c r="N181" s="47" t="str">
        <f t="shared" si="19"/>
        <v/>
      </c>
      <c r="O181" s="47" t="str">
        <f t="shared" si="20"/>
        <v/>
      </c>
    </row>
    <row r="182" spans="1:15" s="9" customFormat="1" x14ac:dyDescent="0.3">
      <c r="A182" s="166">
        <v>46150</v>
      </c>
      <c r="B182" s="61">
        <v>46150.75</v>
      </c>
      <c r="C182" s="138">
        <f t="shared" si="14"/>
        <v>46150.75</v>
      </c>
      <c r="D182" s="19" t="s">
        <v>42</v>
      </c>
      <c r="E182" s="15" t="s">
        <v>10</v>
      </c>
      <c r="F182" s="7" t="s">
        <v>11</v>
      </c>
      <c r="G182" s="13" t="s">
        <v>93</v>
      </c>
      <c r="H182" s="105">
        <v>14.1</v>
      </c>
      <c r="I182" s="44">
        <v>13.9</v>
      </c>
      <c r="J182" s="11" t="str">
        <f t="shared" si="15"/>
        <v/>
      </c>
      <c r="K182" s="12" t="str">
        <f t="shared" si="16"/>
        <v/>
      </c>
      <c r="L182" s="125">
        <f t="shared" si="17"/>
        <v>-0.19999999999999929</v>
      </c>
      <c r="M182" s="47" t="str">
        <f t="shared" si="18"/>
        <v/>
      </c>
      <c r="N182" s="47" t="str">
        <f t="shared" si="19"/>
        <v/>
      </c>
      <c r="O182" s="47" t="str">
        <f t="shared" si="20"/>
        <v>Within Tolerance</v>
      </c>
    </row>
    <row r="183" spans="1:15" s="9" customFormat="1" x14ac:dyDescent="0.3">
      <c r="A183" s="167">
        <v>46150</v>
      </c>
      <c r="B183" s="61">
        <v>46150.833333333299</v>
      </c>
      <c r="C183" s="138">
        <f t="shared" si="14"/>
        <v>46150.833333333299</v>
      </c>
      <c r="D183" s="19" t="s">
        <v>42</v>
      </c>
      <c r="E183" s="15" t="s">
        <v>10</v>
      </c>
      <c r="F183" s="7" t="s">
        <v>11</v>
      </c>
      <c r="G183" s="13" t="s">
        <v>93</v>
      </c>
      <c r="H183" s="105">
        <v>14.1</v>
      </c>
      <c r="I183" s="44">
        <v>13.9</v>
      </c>
      <c r="J183" s="11" t="str">
        <f t="shared" si="15"/>
        <v/>
      </c>
      <c r="K183" s="12" t="str">
        <f t="shared" si="16"/>
        <v/>
      </c>
      <c r="L183" s="125">
        <f t="shared" si="17"/>
        <v>-0.19999999999999929</v>
      </c>
      <c r="M183" s="47" t="str">
        <f t="shared" si="18"/>
        <v/>
      </c>
      <c r="N183" s="47" t="str">
        <f t="shared" si="19"/>
        <v/>
      </c>
      <c r="O183" s="47" t="str">
        <f t="shared" si="20"/>
        <v>Within Tolerance</v>
      </c>
    </row>
    <row r="184" spans="1:15" s="9" customFormat="1" x14ac:dyDescent="0.3">
      <c r="A184" s="166">
        <v>46150</v>
      </c>
      <c r="B184" s="63">
        <v>46150.458333333299</v>
      </c>
      <c r="C184" s="141">
        <f t="shared" si="14"/>
        <v>46150.458333333299</v>
      </c>
      <c r="D184" s="19" t="s">
        <v>29</v>
      </c>
      <c r="E184" s="15" t="s">
        <v>10</v>
      </c>
      <c r="F184" s="7" t="s">
        <v>15</v>
      </c>
      <c r="G184" s="13" t="s">
        <v>93</v>
      </c>
      <c r="H184" s="105">
        <v>14.3</v>
      </c>
      <c r="I184" s="18" t="s">
        <v>93</v>
      </c>
      <c r="J184" s="11" t="str">
        <f t="shared" si="15"/>
        <v/>
      </c>
      <c r="K184" s="12" t="str">
        <f t="shared" si="16"/>
        <v/>
      </c>
      <c r="L184" s="125" t="str">
        <f t="shared" si="17"/>
        <v/>
      </c>
      <c r="M184" s="47" t="str">
        <f t="shared" si="18"/>
        <v/>
      </c>
      <c r="N184" s="47" t="str">
        <f t="shared" si="19"/>
        <v/>
      </c>
      <c r="O184" s="47" t="str">
        <f t="shared" si="20"/>
        <v/>
      </c>
    </row>
    <row r="185" spans="1:15" s="9" customFormat="1" x14ac:dyDescent="0.3">
      <c r="A185" s="167">
        <v>46150</v>
      </c>
      <c r="B185" s="63">
        <v>46150.475694444402</v>
      </c>
      <c r="C185" s="141">
        <f t="shared" si="14"/>
        <v>46150.475694444402</v>
      </c>
      <c r="D185" s="19" t="s">
        <v>29</v>
      </c>
      <c r="E185" s="15" t="s">
        <v>10</v>
      </c>
      <c r="F185" s="7" t="s">
        <v>15</v>
      </c>
      <c r="G185" s="13" t="s">
        <v>93</v>
      </c>
      <c r="H185" s="105">
        <v>14.3</v>
      </c>
      <c r="I185" s="44">
        <v>14.4</v>
      </c>
      <c r="J185" s="11" t="str">
        <f t="shared" si="15"/>
        <v/>
      </c>
      <c r="K185" s="12" t="str">
        <f t="shared" si="16"/>
        <v/>
      </c>
      <c r="L185" s="125">
        <f t="shared" si="17"/>
        <v>9.9999999999999645E-2</v>
      </c>
      <c r="M185" s="47" t="str">
        <f t="shared" si="18"/>
        <v/>
      </c>
      <c r="N185" s="47" t="str">
        <f t="shared" si="19"/>
        <v/>
      </c>
      <c r="O185" s="47" t="str">
        <f t="shared" si="20"/>
        <v>Within Tolerance</v>
      </c>
    </row>
    <row r="186" spans="1:15" s="9" customFormat="1" x14ac:dyDescent="0.3">
      <c r="A186" s="166">
        <v>46150</v>
      </c>
      <c r="B186" s="63">
        <v>46150.5625</v>
      </c>
      <c r="C186" s="141">
        <f t="shared" si="14"/>
        <v>46150.5625</v>
      </c>
      <c r="D186" s="19" t="s">
        <v>29</v>
      </c>
      <c r="E186" s="15" t="s">
        <v>10</v>
      </c>
      <c r="F186" s="7" t="s">
        <v>15</v>
      </c>
      <c r="G186" s="13">
        <v>14.21</v>
      </c>
      <c r="H186" s="105">
        <v>14.3</v>
      </c>
      <c r="I186" s="44">
        <v>14.1</v>
      </c>
      <c r="J186" s="11">
        <f t="shared" si="15"/>
        <v>8.9999999999999858E-2</v>
      </c>
      <c r="K186" s="12">
        <f t="shared" si="16"/>
        <v>-0.11000000000000121</v>
      </c>
      <c r="L186" s="125">
        <f t="shared" si="17"/>
        <v>-0.20000000000000107</v>
      </c>
      <c r="M186" s="47" t="str">
        <f t="shared" si="18"/>
        <v>Within Tolerance</v>
      </c>
      <c r="N186" s="47" t="str">
        <f t="shared" si="19"/>
        <v>Within Tolerance</v>
      </c>
      <c r="O186" s="47" t="str">
        <f t="shared" si="20"/>
        <v>Out of Tolerance</v>
      </c>
    </row>
    <row r="187" spans="1:15" s="9" customFormat="1" x14ac:dyDescent="0.3">
      <c r="A187" s="167">
        <v>46150</v>
      </c>
      <c r="B187" s="63">
        <v>46150.666666666701</v>
      </c>
      <c r="C187" s="141">
        <f t="shared" si="14"/>
        <v>46150.666666666701</v>
      </c>
      <c r="D187" s="19" t="s">
        <v>29</v>
      </c>
      <c r="E187" s="15" t="s">
        <v>10</v>
      </c>
      <c r="F187" s="7" t="s">
        <v>15</v>
      </c>
      <c r="G187" s="13" t="s">
        <v>93</v>
      </c>
      <c r="H187" s="105">
        <v>14</v>
      </c>
      <c r="I187" s="44">
        <v>14.2</v>
      </c>
      <c r="J187" s="11" t="str">
        <f t="shared" si="15"/>
        <v/>
      </c>
      <c r="K187" s="12" t="str">
        <f t="shared" si="16"/>
        <v/>
      </c>
      <c r="L187" s="125">
        <f t="shared" si="17"/>
        <v>0.19999999999999929</v>
      </c>
      <c r="M187" s="47" t="str">
        <f t="shared" si="18"/>
        <v/>
      </c>
      <c r="N187" s="47" t="str">
        <f t="shared" si="19"/>
        <v/>
      </c>
      <c r="O187" s="47" t="str">
        <f t="shared" si="20"/>
        <v>Within Tolerance</v>
      </c>
    </row>
    <row r="188" spans="1:15" s="9" customFormat="1" x14ac:dyDescent="0.3">
      <c r="A188" s="166">
        <v>46150</v>
      </c>
      <c r="B188" s="63">
        <v>46150.763888888898</v>
      </c>
      <c r="C188" s="141">
        <f t="shared" si="14"/>
        <v>46150.763888888898</v>
      </c>
      <c r="D188" s="19" t="s">
        <v>41</v>
      </c>
      <c r="E188" s="15" t="s">
        <v>10</v>
      </c>
      <c r="F188" s="7" t="s">
        <v>15</v>
      </c>
      <c r="G188" s="13" t="s">
        <v>93</v>
      </c>
      <c r="H188" s="105">
        <v>14.1</v>
      </c>
      <c r="I188" s="18" t="s">
        <v>93</v>
      </c>
      <c r="J188" s="11" t="str">
        <f t="shared" si="15"/>
        <v/>
      </c>
      <c r="K188" s="12" t="str">
        <f t="shared" si="16"/>
        <v/>
      </c>
      <c r="L188" s="125" t="str">
        <f t="shared" si="17"/>
        <v/>
      </c>
      <c r="M188" s="47" t="str">
        <f t="shared" si="18"/>
        <v/>
      </c>
      <c r="N188" s="47" t="str">
        <f t="shared" si="19"/>
        <v/>
      </c>
      <c r="O188" s="47" t="str">
        <f t="shared" si="20"/>
        <v/>
      </c>
    </row>
    <row r="189" spans="1:15" s="9" customFormat="1" x14ac:dyDescent="0.3">
      <c r="A189" s="167">
        <v>46150</v>
      </c>
      <c r="B189" s="63">
        <v>46150.833333333299</v>
      </c>
      <c r="C189" s="141">
        <f t="shared" si="14"/>
        <v>46150.833333333299</v>
      </c>
      <c r="D189" s="19" t="s">
        <v>41</v>
      </c>
      <c r="E189" s="15" t="s">
        <v>10</v>
      </c>
      <c r="F189" s="7" t="s">
        <v>15</v>
      </c>
      <c r="G189" s="13" t="s">
        <v>93</v>
      </c>
      <c r="H189" s="105">
        <v>14.2</v>
      </c>
      <c r="I189" s="44">
        <v>14.1</v>
      </c>
      <c r="J189" s="11" t="str">
        <f t="shared" si="15"/>
        <v/>
      </c>
      <c r="K189" s="12" t="str">
        <f t="shared" si="16"/>
        <v/>
      </c>
      <c r="L189" s="125">
        <f t="shared" si="17"/>
        <v>-9.9999999999999645E-2</v>
      </c>
      <c r="M189" s="47" t="str">
        <f t="shared" si="18"/>
        <v/>
      </c>
      <c r="N189" s="47" t="str">
        <f t="shared" si="19"/>
        <v/>
      </c>
      <c r="O189" s="47" t="str">
        <f t="shared" si="20"/>
        <v>Within Tolerance</v>
      </c>
    </row>
    <row r="190" spans="1:15" s="9" customFormat="1" x14ac:dyDescent="0.3">
      <c r="A190" s="166">
        <v>46150</v>
      </c>
      <c r="B190" s="63">
        <v>46150.916666666701</v>
      </c>
      <c r="C190" s="141">
        <f t="shared" si="14"/>
        <v>46150.916666666701</v>
      </c>
      <c r="D190" s="22" t="s">
        <v>41</v>
      </c>
      <c r="E190" s="15" t="s">
        <v>10</v>
      </c>
      <c r="F190" s="7" t="s">
        <v>15</v>
      </c>
      <c r="G190" s="13" t="s">
        <v>93</v>
      </c>
      <c r="H190" s="105">
        <v>14.2</v>
      </c>
      <c r="I190" s="44">
        <v>14.2</v>
      </c>
      <c r="J190" s="11" t="str">
        <f t="shared" si="15"/>
        <v/>
      </c>
      <c r="K190" s="12" t="str">
        <f t="shared" si="16"/>
        <v/>
      </c>
      <c r="L190" s="125">
        <f t="shared" si="17"/>
        <v>0</v>
      </c>
      <c r="M190" s="47" t="str">
        <f t="shared" si="18"/>
        <v/>
      </c>
      <c r="N190" s="47" t="str">
        <f t="shared" si="19"/>
        <v/>
      </c>
      <c r="O190" s="47" t="str">
        <f t="shared" si="20"/>
        <v>Within Tolerance</v>
      </c>
    </row>
    <row r="191" spans="1:15" s="9" customFormat="1" x14ac:dyDescent="0.3">
      <c r="A191" s="167">
        <v>46151</v>
      </c>
      <c r="B191" s="61">
        <v>46151</v>
      </c>
      <c r="C191" s="138">
        <f t="shared" si="14"/>
        <v>46151</v>
      </c>
      <c r="D191" s="19" t="s">
        <v>41</v>
      </c>
      <c r="E191" s="15" t="s">
        <v>10</v>
      </c>
      <c r="F191" s="7" t="s">
        <v>15</v>
      </c>
      <c r="G191" s="13" t="s">
        <v>93</v>
      </c>
      <c r="H191" s="105">
        <v>14.1</v>
      </c>
      <c r="I191" s="44">
        <v>14.1</v>
      </c>
      <c r="J191" s="11" t="str">
        <f t="shared" si="15"/>
        <v/>
      </c>
      <c r="K191" s="12" t="str">
        <f t="shared" si="16"/>
        <v/>
      </c>
      <c r="L191" s="125">
        <f t="shared" si="17"/>
        <v>0</v>
      </c>
      <c r="M191" s="47" t="str">
        <f t="shared" si="18"/>
        <v/>
      </c>
      <c r="N191" s="47" t="str">
        <f t="shared" si="19"/>
        <v/>
      </c>
      <c r="O191" s="47" t="str">
        <f t="shared" si="20"/>
        <v>Within Tolerance</v>
      </c>
    </row>
    <row r="192" spans="1:15" s="9" customFormat="1" x14ac:dyDescent="0.3">
      <c r="A192" s="166">
        <v>46151</v>
      </c>
      <c r="B192" s="61">
        <v>46151.083333333299</v>
      </c>
      <c r="C192" s="138">
        <f t="shared" si="14"/>
        <v>46151.083333333299</v>
      </c>
      <c r="D192" s="19" t="s">
        <v>41</v>
      </c>
      <c r="E192" s="15" t="s">
        <v>10</v>
      </c>
      <c r="F192" s="7" t="s">
        <v>15</v>
      </c>
      <c r="G192" s="13" t="s">
        <v>93</v>
      </c>
      <c r="H192" s="105">
        <v>14.1</v>
      </c>
      <c r="I192" s="44">
        <v>14.3</v>
      </c>
      <c r="J192" s="11" t="str">
        <f t="shared" si="15"/>
        <v/>
      </c>
      <c r="K192" s="12" t="str">
        <f t="shared" si="16"/>
        <v/>
      </c>
      <c r="L192" s="125">
        <f t="shared" si="17"/>
        <v>0.20000000000000107</v>
      </c>
      <c r="M192" s="47" t="str">
        <f t="shared" si="18"/>
        <v/>
      </c>
      <c r="N192" s="47" t="str">
        <f t="shared" si="19"/>
        <v/>
      </c>
      <c r="O192" s="47" t="str">
        <f t="shared" si="20"/>
        <v>Out of Tolerance</v>
      </c>
    </row>
    <row r="193" spans="1:15" s="9" customFormat="1" x14ac:dyDescent="0.3">
      <c r="A193" s="167">
        <v>46151</v>
      </c>
      <c r="B193" s="61">
        <v>46151.166666666701</v>
      </c>
      <c r="C193" s="138">
        <f t="shared" si="14"/>
        <v>46151.166666666701</v>
      </c>
      <c r="D193" s="19" t="s">
        <v>41</v>
      </c>
      <c r="E193" s="15" t="s">
        <v>10</v>
      </c>
      <c r="F193" s="7" t="s">
        <v>15</v>
      </c>
      <c r="G193" s="13" t="s">
        <v>93</v>
      </c>
      <c r="H193" s="105">
        <v>14.1</v>
      </c>
      <c r="I193" s="44">
        <v>14</v>
      </c>
      <c r="J193" s="11" t="str">
        <f t="shared" si="15"/>
        <v/>
      </c>
      <c r="K193" s="12" t="str">
        <f t="shared" si="16"/>
        <v/>
      </c>
      <c r="L193" s="125">
        <f t="shared" si="17"/>
        <v>-9.9999999999999645E-2</v>
      </c>
      <c r="M193" s="47" t="str">
        <f t="shared" si="18"/>
        <v/>
      </c>
      <c r="N193" s="47" t="str">
        <f t="shared" si="19"/>
        <v/>
      </c>
      <c r="O193" s="47" t="str">
        <f t="shared" si="20"/>
        <v>Within Tolerance</v>
      </c>
    </row>
    <row r="194" spans="1:15" s="9" customFormat="1" x14ac:dyDescent="0.3">
      <c r="A194" s="166">
        <v>46151</v>
      </c>
      <c r="B194" s="61">
        <v>46151.239583333299</v>
      </c>
      <c r="C194" s="138">
        <f t="shared" ref="C194:C257" si="21">A194+MOD(B194,1)</f>
        <v>46151.239583333299</v>
      </c>
      <c r="D194" s="19" t="s">
        <v>52</v>
      </c>
      <c r="E194" s="15" t="s">
        <v>17</v>
      </c>
      <c r="F194" s="7" t="s">
        <v>15</v>
      </c>
      <c r="G194" s="13" t="s">
        <v>93</v>
      </c>
      <c r="H194" s="105">
        <v>14.1</v>
      </c>
      <c r="I194" s="44">
        <v>14.1</v>
      </c>
      <c r="J194" s="11" t="str">
        <f t="shared" si="15"/>
        <v/>
      </c>
      <c r="K194" s="12" t="str">
        <f t="shared" si="16"/>
        <v/>
      </c>
      <c r="L194" s="125">
        <f t="shared" si="17"/>
        <v>0</v>
      </c>
      <c r="M194" s="47" t="str">
        <f t="shared" si="18"/>
        <v/>
      </c>
      <c r="N194" s="47" t="str">
        <f t="shared" si="19"/>
        <v/>
      </c>
      <c r="O194" s="47" t="str">
        <f t="shared" si="20"/>
        <v>Within Tolerance</v>
      </c>
    </row>
    <row r="195" spans="1:15" s="9" customFormat="1" x14ac:dyDescent="0.3">
      <c r="A195" s="167">
        <v>46151</v>
      </c>
      <c r="B195" s="61">
        <v>46151.291666666701</v>
      </c>
      <c r="C195" s="138">
        <f t="shared" si="21"/>
        <v>46151.291666666701</v>
      </c>
      <c r="D195" s="19" t="s">
        <v>52</v>
      </c>
      <c r="E195" s="15" t="s">
        <v>17</v>
      </c>
      <c r="F195" s="7" t="s">
        <v>15</v>
      </c>
      <c r="G195" s="13" t="s">
        <v>93</v>
      </c>
      <c r="H195" s="105">
        <v>14</v>
      </c>
      <c r="I195" s="44">
        <v>14.1</v>
      </c>
      <c r="J195" s="11" t="str">
        <f t="shared" ref="J195:J258" si="22">IF(OR(H195="",G195=""),"",H195-G195)</f>
        <v/>
      </c>
      <c r="K195" s="12" t="str">
        <f t="shared" ref="K195:K258" si="23">IF(OR(TRIM(G195&amp;"")="",TRIM(I195&amp;"")="",G195="-",I195="-"),"",I195-G195)</f>
        <v/>
      </c>
      <c r="L195" s="125">
        <f t="shared" ref="L195:L258" si="24">IF(OR(TRIM(H195&amp;"")="",TRIM(I195&amp;"")="",H195="-",I195="-"),"",I195-H195)</f>
        <v>9.9999999999999645E-2</v>
      </c>
      <c r="M195" s="47" t="str">
        <f t="shared" ref="M195:M258" si="25">IF(J195="","",IF(ABS(J195)&lt;=0.2,"Within Tolerance","Out of Tolerance"))</f>
        <v/>
      </c>
      <c r="N195" s="47" t="str">
        <f t="shared" ref="N195:N258" si="26">IF(K195="","",IF(ABS(K195)&lt;=0.2,"Within Tolerance","Out of Tolerance"))</f>
        <v/>
      </c>
      <c r="O195" s="47" t="str">
        <f t="shared" ref="O195:O258" si="27">IF(L195="","",IF(ABS(L195)&lt;=0.2,"Within Tolerance","Out of Tolerance"))</f>
        <v>Within Tolerance</v>
      </c>
    </row>
    <row r="196" spans="1:15" s="9" customFormat="1" x14ac:dyDescent="0.3">
      <c r="A196" s="166">
        <v>46150</v>
      </c>
      <c r="B196" s="61">
        <v>46150.423611111102</v>
      </c>
      <c r="C196" s="138">
        <f t="shared" si="21"/>
        <v>46150.423611111102</v>
      </c>
      <c r="D196" s="7" t="s">
        <v>18</v>
      </c>
      <c r="E196" s="15" t="s">
        <v>14</v>
      </c>
      <c r="F196" s="14" t="s">
        <v>19</v>
      </c>
      <c r="G196" s="13" t="s">
        <v>93</v>
      </c>
      <c r="H196" s="105">
        <v>13.8</v>
      </c>
      <c r="I196" s="44">
        <v>13.9</v>
      </c>
      <c r="J196" s="11" t="str">
        <f t="shared" si="22"/>
        <v/>
      </c>
      <c r="K196" s="12" t="str">
        <f t="shared" si="23"/>
        <v/>
      </c>
      <c r="L196" s="125">
        <f t="shared" si="24"/>
        <v>9.9999999999999645E-2</v>
      </c>
      <c r="M196" s="47" t="str">
        <f t="shared" si="25"/>
        <v/>
      </c>
      <c r="N196" s="47" t="str">
        <f t="shared" si="26"/>
        <v/>
      </c>
      <c r="O196" s="47" t="str">
        <f t="shared" si="27"/>
        <v>Within Tolerance</v>
      </c>
    </row>
    <row r="197" spans="1:15" s="9" customFormat="1" x14ac:dyDescent="0.3">
      <c r="A197" s="167">
        <v>46150</v>
      </c>
      <c r="B197" s="61">
        <v>46150.458333333299</v>
      </c>
      <c r="C197" s="138">
        <f t="shared" si="21"/>
        <v>46150.458333333299</v>
      </c>
      <c r="D197" s="19" t="s">
        <v>51</v>
      </c>
      <c r="E197" s="15" t="s">
        <v>10</v>
      </c>
      <c r="F197" s="7" t="s">
        <v>24</v>
      </c>
      <c r="G197" s="13" t="s">
        <v>93</v>
      </c>
      <c r="H197" s="105">
        <v>14</v>
      </c>
      <c r="I197" s="44">
        <v>13.8</v>
      </c>
      <c r="J197" s="11" t="str">
        <f t="shared" si="22"/>
        <v/>
      </c>
      <c r="K197" s="12" t="str">
        <f t="shared" si="23"/>
        <v/>
      </c>
      <c r="L197" s="125">
        <f t="shared" si="24"/>
        <v>-0.19999999999999929</v>
      </c>
      <c r="M197" s="47" t="str">
        <f t="shared" si="25"/>
        <v/>
      </c>
      <c r="N197" s="47" t="str">
        <f t="shared" si="26"/>
        <v/>
      </c>
      <c r="O197" s="47" t="str">
        <f t="shared" si="27"/>
        <v>Within Tolerance</v>
      </c>
    </row>
    <row r="198" spans="1:15" s="9" customFormat="1" x14ac:dyDescent="0.3">
      <c r="A198" s="166">
        <v>46150</v>
      </c>
      <c r="B198" s="61">
        <v>46150.739583333299</v>
      </c>
      <c r="C198" s="138">
        <f t="shared" si="21"/>
        <v>46150.739583333299</v>
      </c>
      <c r="D198" s="19" t="s">
        <v>50</v>
      </c>
      <c r="E198" s="15" t="s">
        <v>10</v>
      </c>
      <c r="F198" s="7" t="s">
        <v>24</v>
      </c>
      <c r="G198" s="13" t="s">
        <v>93</v>
      </c>
      <c r="H198" s="105">
        <v>13.7</v>
      </c>
      <c r="I198" s="44">
        <v>13.8</v>
      </c>
      <c r="J198" s="11" t="str">
        <f t="shared" si="22"/>
        <v/>
      </c>
      <c r="K198" s="12" t="str">
        <f t="shared" si="23"/>
        <v/>
      </c>
      <c r="L198" s="125">
        <f t="shared" si="24"/>
        <v>0.10000000000000142</v>
      </c>
      <c r="M198" s="47" t="str">
        <f t="shared" si="25"/>
        <v/>
      </c>
      <c r="N198" s="47" t="str">
        <f t="shared" si="26"/>
        <v/>
      </c>
      <c r="O198" s="47" t="str">
        <f t="shared" si="27"/>
        <v>Within Tolerance</v>
      </c>
    </row>
    <row r="199" spans="1:15" s="9" customFormat="1" x14ac:dyDescent="0.3">
      <c r="A199" s="167">
        <v>46151</v>
      </c>
      <c r="B199" s="61">
        <v>46151.333333333299</v>
      </c>
      <c r="C199" s="138">
        <f t="shared" si="21"/>
        <v>46151.333333333299</v>
      </c>
      <c r="D199" s="19" t="s">
        <v>52</v>
      </c>
      <c r="E199" s="8" t="s">
        <v>17</v>
      </c>
      <c r="F199" s="7" t="s">
        <v>15</v>
      </c>
      <c r="G199" s="13">
        <v>14.02</v>
      </c>
      <c r="H199" s="105">
        <v>14</v>
      </c>
      <c r="I199" s="44">
        <v>14</v>
      </c>
      <c r="J199" s="11">
        <f t="shared" si="22"/>
        <v>-1.9999999999999574E-2</v>
      </c>
      <c r="K199" s="12">
        <f t="shared" si="23"/>
        <v>-1.9999999999999574E-2</v>
      </c>
      <c r="L199" s="125">
        <f t="shared" si="24"/>
        <v>0</v>
      </c>
      <c r="M199" s="47" t="str">
        <f t="shared" si="25"/>
        <v>Within Tolerance</v>
      </c>
      <c r="N199" s="47" t="str">
        <f t="shared" si="26"/>
        <v>Within Tolerance</v>
      </c>
      <c r="O199" s="47" t="str">
        <f t="shared" si="27"/>
        <v>Within Tolerance</v>
      </c>
    </row>
    <row r="200" spans="1:15" s="9" customFormat="1" x14ac:dyDescent="0.3">
      <c r="A200" s="166">
        <v>46151</v>
      </c>
      <c r="B200" s="61">
        <v>46151.375</v>
      </c>
      <c r="C200" s="138">
        <f t="shared" si="21"/>
        <v>46151.375</v>
      </c>
      <c r="D200" s="19" t="s">
        <v>40</v>
      </c>
      <c r="E200" s="8" t="s">
        <v>17</v>
      </c>
      <c r="F200" s="7" t="s">
        <v>15</v>
      </c>
      <c r="G200" s="13" t="s">
        <v>93</v>
      </c>
      <c r="H200" s="105">
        <v>14.3</v>
      </c>
      <c r="I200" s="44">
        <v>14.1</v>
      </c>
      <c r="J200" s="11" t="str">
        <f t="shared" si="22"/>
        <v/>
      </c>
      <c r="K200" s="12" t="str">
        <f t="shared" si="23"/>
        <v/>
      </c>
      <c r="L200" s="125">
        <f t="shared" si="24"/>
        <v>-0.20000000000000107</v>
      </c>
      <c r="M200" s="47" t="str">
        <f t="shared" si="25"/>
        <v/>
      </c>
      <c r="N200" s="47" t="str">
        <f t="shared" si="26"/>
        <v/>
      </c>
      <c r="O200" s="47" t="str">
        <f t="shared" si="27"/>
        <v>Out of Tolerance</v>
      </c>
    </row>
    <row r="201" spans="1:15" s="9" customFormat="1" x14ac:dyDescent="0.3">
      <c r="A201" s="167">
        <v>46151</v>
      </c>
      <c r="B201" s="61">
        <v>46151.479166666701</v>
      </c>
      <c r="C201" s="138">
        <f t="shared" si="21"/>
        <v>46151.479166666701</v>
      </c>
      <c r="D201" s="19" t="s">
        <v>40</v>
      </c>
      <c r="E201" s="8" t="s">
        <v>17</v>
      </c>
      <c r="F201" s="7" t="s">
        <v>15</v>
      </c>
      <c r="G201" s="13" t="s">
        <v>93</v>
      </c>
      <c r="H201" s="105">
        <v>14.2</v>
      </c>
      <c r="I201" s="44">
        <v>14.2</v>
      </c>
      <c r="J201" s="11" t="str">
        <f t="shared" si="22"/>
        <v/>
      </c>
      <c r="K201" s="12" t="str">
        <f t="shared" si="23"/>
        <v/>
      </c>
      <c r="L201" s="125">
        <f t="shared" si="24"/>
        <v>0</v>
      </c>
      <c r="M201" s="47" t="str">
        <f t="shared" si="25"/>
        <v/>
      </c>
      <c r="N201" s="47" t="str">
        <f t="shared" si="26"/>
        <v/>
      </c>
      <c r="O201" s="47" t="str">
        <f t="shared" si="27"/>
        <v>Within Tolerance</v>
      </c>
    </row>
    <row r="202" spans="1:15" s="9" customFormat="1" x14ac:dyDescent="0.3">
      <c r="A202" s="166">
        <v>46151</v>
      </c>
      <c r="B202" s="61">
        <v>46151.5625</v>
      </c>
      <c r="C202" s="138">
        <f t="shared" si="21"/>
        <v>46151.5625</v>
      </c>
      <c r="D202" s="19" t="s">
        <v>40</v>
      </c>
      <c r="E202" s="8" t="s">
        <v>17</v>
      </c>
      <c r="F202" s="7" t="s">
        <v>15</v>
      </c>
      <c r="G202" s="13" t="s">
        <v>93</v>
      </c>
      <c r="H202" s="105">
        <v>14.2</v>
      </c>
      <c r="I202" s="18" t="s">
        <v>93</v>
      </c>
      <c r="J202" s="11" t="str">
        <f t="shared" si="22"/>
        <v/>
      </c>
      <c r="K202" s="12" t="str">
        <f t="shared" si="23"/>
        <v/>
      </c>
      <c r="L202" s="125" t="str">
        <f t="shared" si="24"/>
        <v/>
      </c>
      <c r="M202" s="47" t="str">
        <f t="shared" si="25"/>
        <v/>
      </c>
      <c r="N202" s="47" t="str">
        <f t="shared" si="26"/>
        <v/>
      </c>
      <c r="O202" s="47" t="str">
        <f t="shared" si="27"/>
        <v/>
      </c>
    </row>
    <row r="203" spans="1:15" s="9" customFormat="1" x14ac:dyDescent="0.3">
      <c r="A203" s="167">
        <v>46151</v>
      </c>
      <c r="B203" s="61">
        <v>46151.649305555598</v>
      </c>
      <c r="C203" s="138">
        <f t="shared" si="21"/>
        <v>46151.649305555598</v>
      </c>
      <c r="D203" s="19" t="s">
        <v>29</v>
      </c>
      <c r="E203" s="8" t="s">
        <v>10</v>
      </c>
      <c r="F203" s="7" t="s">
        <v>15</v>
      </c>
      <c r="G203" s="13" t="s">
        <v>93</v>
      </c>
      <c r="H203" s="105">
        <v>14.1</v>
      </c>
      <c r="I203" s="18" t="s">
        <v>93</v>
      </c>
      <c r="J203" s="11" t="str">
        <f t="shared" si="22"/>
        <v/>
      </c>
      <c r="K203" s="12" t="str">
        <f t="shared" si="23"/>
        <v/>
      </c>
      <c r="L203" s="125" t="str">
        <f t="shared" si="24"/>
        <v/>
      </c>
      <c r="M203" s="47" t="str">
        <f t="shared" si="25"/>
        <v/>
      </c>
      <c r="N203" s="47" t="str">
        <f t="shared" si="26"/>
        <v/>
      </c>
      <c r="O203" s="47" t="str">
        <f t="shared" si="27"/>
        <v/>
      </c>
    </row>
    <row r="204" spans="1:15" s="9" customFormat="1" x14ac:dyDescent="0.3">
      <c r="A204" s="166">
        <v>46151</v>
      </c>
      <c r="B204" s="61">
        <v>46151.729166666701</v>
      </c>
      <c r="C204" s="138">
        <f t="shared" si="21"/>
        <v>46151.729166666701</v>
      </c>
      <c r="D204" s="19" t="s">
        <v>29</v>
      </c>
      <c r="E204" s="8" t="s">
        <v>10</v>
      </c>
      <c r="F204" s="7" t="s">
        <v>15</v>
      </c>
      <c r="G204" s="13" t="s">
        <v>93</v>
      </c>
      <c r="H204" s="105">
        <v>14</v>
      </c>
      <c r="I204" s="44">
        <v>14.1</v>
      </c>
      <c r="J204" s="11" t="str">
        <f t="shared" si="22"/>
        <v/>
      </c>
      <c r="K204" s="12" t="str">
        <f t="shared" si="23"/>
        <v/>
      </c>
      <c r="L204" s="125">
        <f t="shared" si="24"/>
        <v>9.9999999999999645E-2</v>
      </c>
      <c r="M204" s="47" t="str">
        <f t="shared" si="25"/>
        <v/>
      </c>
      <c r="N204" s="47" t="str">
        <f t="shared" si="26"/>
        <v/>
      </c>
      <c r="O204" s="47" t="str">
        <f t="shared" si="27"/>
        <v>Within Tolerance</v>
      </c>
    </row>
    <row r="205" spans="1:15" s="9" customFormat="1" x14ac:dyDescent="0.3">
      <c r="A205" s="167">
        <v>46151</v>
      </c>
      <c r="B205" s="61">
        <v>46151.833333333299</v>
      </c>
      <c r="C205" s="138">
        <f t="shared" si="21"/>
        <v>46151.833333333299</v>
      </c>
      <c r="D205" s="19" t="s">
        <v>29</v>
      </c>
      <c r="E205" s="8" t="s">
        <v>10</v>
      </c>
      <c r="F205" s="7" t="s">
        <v>15</v>
      </c>
      <c r="G205" s="13" t="s">
        <v>93</v>
      </c>
      <c r="H205" s="105">
        <v>14.2</v>
      </c>
      <c r="I205" s="44">
        <v>14.2</v>
      </c>
      <c r="J205" s="11" t="str">
        <f t="shared" si="22"/>
        <v/>
      </c>
      <c r="K205" s="12" t="str">
        <f t="shared" si="23"/>
        <v/>
      </c>
      <c r="L205" s="125">
        <f t="shared" si="24"/>
        <v>0</v>
      </c>
      <c r="M205" s="47" t="str">
        <f t="shared" si="25"/>
        <v/>
      </c>
      <c r="N205" s="47" t="str">
        <f t="shared" si="26"/>
        <v/>
      </c>
      <c r="O205" s="47" t="str">
        <f t="shared" si="27"/>
        <v>Within Tolerance</v>
      </c>
    </row>
    <row r="206" spans="1:15" s="9" customFormat="1" x14ac:dyDescent="0.3">
      <c r="A206" s="166">
        <v>46151</v>
      </c>
      <c r="B206" s="61">
        <v>46151.916666666701</v>
      </c>
      <c r="C206" s="138">
        <f t="shared" si="21"/>
        <v>46151.916666666701</v>
      </c>
      <c r="D206" s="19" t="s">
        <v>29</v>
      </c>
      <c r="E206" s="8" t="s">
        <v>10</v>
      </c>
      <c r="F206" s="7" t="s">
        <v>15</v>
      </c>
      <c r="G206" s="13" t="s">
        <v>93</v>
      </c>
      <c r="H206" s="105">
        <v>14.3</v>
      </c>
      <c r="I206" s="44">
        <v>14.3</v>
      </c>
      <c r="J206" s="11" t="str">
        <f t="shared" si="22"/>
        <v/>
      </c>
      <c r="K206" s="12" t="str">
        <f t="shared" si="23"/>
        <v/>
      </c>
      <c r="L206" s="125">
        <f t="shared" si="24"/>
        <v>0</v>
      </c>
      <c r="M206" s="47" t="str">
        <f t="shared" si="25"/>
        <v/>
      </c>
      <c r="N206" s="47" t="str">
        <f t="shared" si="26"/>
        <v/>
      </c>
      <c r="O206" s="47" t="str">
        <f t="shared" si="27"/>
        <v>Within Tolerance</v>
      </c>
    </row>
    <row r="207" spans="1:15" s="9" customFormat="1" x14ac:dyDescent="0.3">
      <c r="A207" s="167">
        <v>46152</v>
      </c>
      <c r="B207" s="61">
        <v>46152</v>
      </c>
      <c r="C207" s="138">
        <f t="shared" si="21"/>
        <v>46152</v>
      </c>
      <c r="D207" s="19" t="s">
        <v>29</v>
      </c>
      <c r="E207" s="8" t="s">
        <v>10</v>
      </c>
      <c r="F207" s="7" t="s">
        <v>15</v>
      </c>
      <c r="G207" s="13" t="s">
        <v>93</v>
      </c>
      <c r="H207" s="105">
        <v>14.3</v>
      </c>
      <c r="I207" s="44">
        <v>14.4</v>
      </c>
      <c r="J207" s="11" t="str">
        <f t="shared" si="22"/>
        <v/>
      </c>
      <c r="K207" s="12" t="str">
        <f t="shared" si="23"/>
        <v/>
      </c>
      <c r="L207" s="125">
        <f t="shared" si="24"/>
        <v>9.9999999999999645E-2</v>
      </c>
      <c r="M207" s="47" t="str">
        <f t="shared" si="25"/>
        <v/>
      </c>
      <c r="N207" s="47" t="str">
        <f t="shared" si="26"/>
        <v/>
      </c>
      <c r="O207" s="47" t="str">
        <f t="shared" si="27"/>
        <v>Within Tolerance</v>
      </c>
    </row>
    <row r="208" spans="1:15" s="9" customFormat="1" x14ac:dyDescent="0.3">
      <c r="A208" s="166">
        <v>46152</v>
      </c>
      <c r="B208" s="61">
        <v>46152.0625</v>
      </c>
      <c r="C208" s="138">
        <f t="shared" si="21"/>
        <v>46152.0625</v>
      </c>
      <c r="D208" s="19" t="s">
        <v>29</v>
      </c>
      <c r="E208" s="8" t="s">
        <v>10</v>
      </c>
      <c r="F208" s="7" t="s">
        <v>15</v>
      </c>
      <c r="G208" s="13" t="s">
        <v>93</v>
      </c>
      <c r="H208" s="105">
        <v>14</v>
      </c>
      <c r="I208" s="44">
        <v>14.1</v>
      </c>
      <c r="J208" s="11" t="str">
        <f t="shared" si="22"/>
        <v/>
      </c>
      <c r="K208" s="12" t="str">
        <f t="shared" si="23"/>
        <v/>
      </c>
      <c r="L208" s="125">
        <f t="shared" si="24"/>
        <v>9.9999999999999645E-2</v>
      </c>
      <c r="M208" s="47" t="str">
        <f t="shared" si="25"/>
        <v/>
      </c>
      <c r="N208" s="47" t="str">
        <f t="shared" si="26"/>
        <v/>
      </c>
      <c r="O208" s="47" t="str">
        <f t="shared" si="27"/>
        <v>Within Tolerance</v>
      </c>
    </row>
    <row r="209" spans="1:15" s="9" customFormat="1" x14ac:dyDescent="0.3">
      <c r="A209" s="167">
        <v>46151</v>
      </c>
      <c r="B209" s="61">
        <v>46151.395833333299</v>
      </c>
      <c r="C209" s="138">
        <f t="shared" si="21"/>
        <v>46151.395833333299</v>
      </c>
      <c r="D209" s="19" t="s">
        <v>55</v>
      </c>
      <c r="E209" s="8" t="s">
        <v>14</v>
      </c>
      <c r="F209" s="7" t="s">
        <v>19</v>
      </c>
      <c r="G209" s="13" t="s">
        <v>93</v>
      </c>
      <c r="H209" s="105">
        <v>14</v>
      </c>
      <c r="I209" s="44">
        <v>14</v>
      </c>
      <c r="J209" s="11" t="str">
        <f t="shared" si="22"/>
        <v/>
      </c>
      <c r="K209" s="12" t="str">
        <f t="shared" si="23"/>
        <v/>
      </c>
      <c r="L209" s="125">
        <f t="shared" si="24"/>
        <v>0</v>
      </c>
      <c r="M209" s="47" t="str">
        <f t="shared" si="25"/>
        <v/>
      </c>
      <c r="N209" s="47" t="str">
        <f t="shared" si="26"/>
        <v/>
      </c>
      <c r="O209" s="47" t="str">
        <f t="shared" si="27"/>
        <v>Within Tolerance</v>
      </c>
    </row>
    <row r="210" spans="1:15" s="9" customFormat="1" x14ac:dyDescent="0.3">
      <c r="A210" s="166">
        <v>46151</v>
      </c>
      <c r="B210" s="61">
        <v>46151.440972222197</v>
      </c>
      <c r="C210" s="138">
        <f t="shared" si="21"/>
        <v>46151.440972222197</v>
      </c>
      <c r="D210" s="19" t="s">
        <v>20</v>
      </c>
      <c r="E210" s="8" t="s">
        <v>48</v>
      </c>
      <c r="F210" s="7" t="s">
        <v>19</v>
      </c>
      <c r="G210" s="13" t="s">
        <v>93</v>
      </c>
      <c r="H210" s="105">
        <v>13.8</v>
      </c>
      <c r="I210" s="44">
        <v>14</v>
      </c>
      <c r="J210" s="11" t="str">
        <f t="shared" si="22"/>
        <v/>
      </c>
      <c r="K210" s="12" t="str">
        <f t="shared" si="23"/>
        <v/>
      </c>
      <c r="L210" s="125">
        <f t="shared" si="24"/>
        <v>0.19999999999999929</v>
      </c>
      <c r="M210" s="47" t="str">
        <f t="shared" si="25"/>
        <v/>
      </c>
      <c r="N210" s="47" t="str">
        <f t="shared" si="26"/>
        <v/>
      </c>
      <c r="O210" s="47" t="str">
        <f t="shared" si="27"/>
        <v>Within Tolerance</v>
      </c>
    </row>
    <row r="211" spans="1:15" s="9" customFormat="1" x14ac:dyDescent="0.3">
      <c r="A211" s="167">
        <v>46151</v>
      </c>
      <c r="B211" s="61">
        <v>46151.489583333299</v>
      </c>
      <c r="C211" s="138">
        <f t="shared" si="21"/>
        <v>46151.489583333299</v>
      </c>
      <c r="D211" s="19" t="s">
        <v>18</v>
      </c>
      <c r="E211" s="8" t="s">
        <v>14</v>
      </c>
      <c r="F211" s="7" t="s">
        <v>19</v>
      </c>
      <c r="G211" s="13" t="s">
        <v>93</v>
      </c>
      <c r="H211" s="105">
        <v>13.5</v>
      </c>
      <c r="I211" s="44">
        <v>13.5</v>
      </c>
      <c r="J211" s="11" t="str">
        <f t="shared" si="22"/>
        <v/>
      </c>
      <c r="K211" s="12" t="str">
        <f t="shared" si="23"/>
        <v/>
      </c>
      <c r="L211" s="125">
        <f t="shared" si="24"/>
        <v>0</v>
      </c>
      <c r="M211" s="47" t="str">
        <f t="shared" si="25"/>
        <v/>
      </c>
      <c r="N211" s="47" t="str">
        <f t="shared" si="26"/>
        <v/>
      </c>
      <c r="O211" s="47" t="str">
        <f t="shared" si="27"/>
        <v>Within Tolerance</v>
      </c>
    </row>
    <row r="212" spans="1:15" s="9" customFormat="1" x14ac:dyDescent="0.3">
      <c r="A212" s="166">
        <v>46151</v>
      </c>
      <c r="B212" s="61">
        <v>46151.673611111102</v>
      </c>
      <c r="C212" s="138">
        <f t="shared" si="21"/>
        <v>46151.673611111102</v>
      </c>
      <c r="D212" s="19" t="s">
        <v>21</v>
      </c>
      <c r="E212" s="8" t="s">
        <v>10</v>
      </c>
      <c r="F212" s="7" t="s">
        <v>19</v>
      </c>
      <c r="G212" s="13" t="s">
        <v>93</v>
      </c>
      <c r="H212" s="105">
        <v>13.9</v>
      </c>
      <c r="I212" s="44">
        <v>14</v>
      </c>
      <c r="J212" s="11" t="str">
        <f t="shared" si="22"/>
        <v/>
      </c>
      <c r="K212" s="12" t="str">
        <f t="shared" si="23"/>
        <v/>
      </c>
      <c r="L212" s="125">
        <f t="shared" si="24"/>
        <v>9.9999999999999645E-2</v>
      </c>
      <c r="M212" s="47" t="str">
        <f t="shared" si="25"/>
        <v/>
      </c>
      <c r="N212" s="47" t="str">
        <f t="shared" si="26"/>
        <v/>
      </c>
      <c r="O212" s="47" t="str">
        <f t="shared" si="27"/>
        <v>Within Tolerance</v>
      </c>
    </row>
    <row r="213" spans="1:15" s="9" customFormat="1" x14ac:dyDescent="0.3">
      <c r="A213" s="167">
        <v>46151</v>
      </c>
      <c r="B213" s="61">
        <v>46151.4375</v>
      </c>
      <c r="C213" s="138">
        <f t="shared" si="21"/>
        <v>46151.4375</v>
      </c>
      <c r="D213" s="19" t="s">
        <v>51</v>
      </c>
      <c r="E213" s="8" t="s">
        <v>10</v>
      </c>
      <c r="F213" s="7" t="s">
        <v>24</v>
      </c>
      <c r="G213" s="13" t="s">
        <v>93</v>
      </c>
      <c r="H213" s="105">
        <v>13.8</v>
      </c>
      <c r="I213" s="44">
        <v>13.8</v>
      </c>
      <c r="J213" s="11" t="str">
        <f t="shared" si="22"/>
        <v/>
      </c>
      <c r="K213" s="12" t="str">
        <f t="shared" si="23"/>
        <v/>
      </c>
      <c r="L213" s="125">
        <f t="shared" si="24"/>
        <v>0</v>
      </c>
      <c r="M213" s="47" t="str">
        <f t="shared" si="25"/>
        <v/>
      </c>
      <c r="N213" s="47" t="str">
        <f t="shared" si="26"/>
        <v/>
      </c>
      <c r="O213" s="47" t="str">
        <f t="shared" si="27"/>
        <v>Within Tolerance</v>
      </c>
    </row>
    <row r="214" spans="1:15" s="9" customFormat="1" x14ac:dyDescent="0.3">
      <c r="A214" s="166">
        <v>46151</v>
      </c>
      <c r="B214" s="61">
        <v>46151.489583333299</v>
      </c>
      <c r="C214" s="138">
        <f t="shared" si="21"/>
        <v>46151.489583333299</v>
      </c>
      <c r="D214" s="19" t="s">
        <v>50</v>
      </c>
      <c r="E214" s="8" t="s">
        <v>10</v>
      </c>
      <c r="F214" s="7" t="s">
        <v>24</v>
      </c>
      <c r="G214" s="13" t="s">
        <v>93</v>
      </c>
      <c r="H214" s="105">
        <v>13.8</v>
      </c>
      <c r="I214" s="44">
        <v>13.9</v>
      </c>
      <c r="J214" s="11" t="str">
        <f t="shared" si="22"/>
        <v/>
      </c>
      <c r="K214" s="12" t="str">
        <f t="shared" si="23"/>
        <v/>
      </c>
      <c r="L214" s="125">
        <f t="shared" si="24"/>
        <v>9.9999999999999645E-2</v>
      </c>
      <c r="M214" s="47" t="str">
        <f t="shared" si="25"/>
        <v/>
      </c>
      <c r="N214" s="47" t="str">
        <f t="shared" si="26"/>
        <v/>
      </c>
      <c r="O214" s="47" t="str">
        <f t="shared" si="27"/>
        <v>Within Tolerance</v>
      </c>
    </row>
    <row r="215" spans="1:15" s="9" customFormat="1" x14ac:dyDescent="0.3">
      <c r="A215" s="167">
        <v>46152</v>
      </c>
      <c r="B215" s="61">
        <v>46152.444444444402</v>
      </c>
      <c r="C215" s="138">
        <f t="shared" si="21"/>
        <v>46152.444444444402</v>
      </c>
      <c r="D215" s="19" t="s">
        <v>55</v>
      </c>
      <c r="E215" s="20" t="s">
        <v>14</v>
      </c>
      <c r="F215" s="8" t="s">
        <v>19</v>
      </c>
      <c r="G215" s="13" t="s">
        <v>93</v>
      </c>
      <c r="H215" s="105">
        <v>14</v>
      </c>
      <c r="I215" s="44">
        <v>14.2</v>
      </c>
      <c r="J215" s="11" t="str">
        <f t="shared" si="22"/>
        <v/>
      </c>
      <c r="K215" s="12" t="str">
        <f t="shared" si="23"/>
        <v/>
      </c>
      <c r="L215" s="125">
        <f t="shared" si="24"/>
        <v>0.19999999999999929</v>
      </c>
      <c r="M215" s="47" t="str">
        <f t="shared" si="25"/>
        <v/>
      </c>
      <c r="N215" s="47" t="str">
        <f t="shared" si="26"/>
        <v/>
      </c>
      <c r="O215" s="47" t="str">
        <f t="shared" si="27"/>
        <v>Within Tolerance</v>
      </c>
    </row>
    <row r="216" spans="1:15" s="9" customFormat="1" x14ac:dyDescent="0.3">
      <c r="A216" s="166">
        <v>46152</v>
      </c>
      <c r="B216" s="61">
        <v>46152.46875</v>
      </c>
      <c r="C216" s="138">
        <f t="shared" si="21"/>
        <v>46152.46875</v>
      </c>
      <c r="D216" s="19" t="s">
        <v>18</v>
      </c>
      <c r="E216" s="20" t="s">
        <v>14</v>
      </c>
      <c r="F216" s="8" t="s">
        <v>19</v>
      </c>
      <c r="G216" s="13" t="s">
        <v>93</v>
      </c>
      <c r="H216" s="105">
        <v>13.6</v>
      </c>
      <c r="I216" s="44">
        <v>13.7</v>
      </c>
      <c r="J216" s="11" t="str">
        <f t="shared" si="22"/>
        <v/>
      </c>
      <c r="K216" s="12" t="str">
        <f t="shared" si="23"/>
        <v/>
      </c>
      <c r="L216" s="125">
        <f t="shared" si="24"/>
        <v>9.9999999999999645E-2</v>
      </c>
      <c r="M216" s="47" t="str">
        <f t="shared" si="25"/>
        <v/>
      </c>
      <c r="N216" s="47" t="str">
        <f t="shared" si="26"/>
        <v/>
      </c>
      <c r="O216" s="47" t="str">
        <f t="shared" si="27"/>
        <v>Within Tolerance</v>
      </c>
    </row>
    <row r="217" spans="1:15" s="9" customFormat="1" x14ac:dyDescent="0.3">
      <c r="A217" s="167">
        <v>46152</v>
      </c>
      <c r="B217" s="61">
        <v>46152.479166666701</v>
      </c>
      <c r="C217" s="138">
        <f t="shared" si="21"/>
        <v>46152.479166666701</v>
      </c>
      <c r="D217" s="19" t="s">
        <v>46</v>
      </c>
      <c r="E217" s="20" t="s">
        <v>14</v>
      </c>
      <c r="F217" s="8" t="s">
        <v>19</v>
      </c>
      <c r="G217" s="13" t="s">
        <v>93</v>
      </c>
      <c r="H217" s="105">
        <v>13.9</v>
      </c>
      <c r="I217" s="44">
        <v>14</v>
      </c>
      <c r="J217" s="11" t="str">
        <f t="shared" si="22"/>
        <v/>
      </c>
      <c r="K217" s="12" t="str">
        <f t="shared" si="23"/>
        <v/>
      </c>
      <c r="L217" s="125">
        <f t="shared" si="24"/>
        <v>9.9999999999999645E-2</v>
      </c>
      <c r="M217" s="47" t="str">
        <f t="shared" si="25"/>
        <v/>
      </c>
      <c r="N217" s="47" t="str">
        <f t="shared" si="26"/>
        <v/>
      </c>
      <c r="O217" s="47" t="str">
        <f t="shared" si="27"/>
        <v>Within Tolerance</v>
      </c>
    </row>
    <row r="218" spans="1:15" s="9" customFormat="1" x14ac:dyDescent="0.3">
      <c r="A218" s="166">
        <v>46152</v>
      </c>
      <c r="B218" s="61">
        <v>46152.510416666701</v>
      </c>
      <c r="C218" s="138">
        <f t="shared" si="21"/>
        <v>46152.510416666701</v>
      </c>
      <c r="D218" s="19" t="s">
        <v>20</v>
      </c>
      <c r="E218" s="20" t="s">
        <v>14</v>
      </c>
      <c r="F218" s="8" t="s">
        <v>19</v>
      </c>
      <c r="G218" s="13" t="s">
        <v>93</v>
      </c>
      <c r="H218" s="105">
        <v>13.9</v>
      </c>
      <c r="I218" s="44">
        <v>14</v>
      </c>
      <c r="J218" s="11" t="str">
        <f t="shared" si="22"/>
        <v/>
      </c>
      <c r="K218" s="12" t="str">
        <f t="shared" si="23"/>
        <v/>
      </c>
      <c r="L218" s="125">
        <f t="shared" si="24"/>
        <v>9.9999999999999645E-2</v>
      </c>
      <c r="M218" s="47" t="str">
        <f t="shared" si="25"/>
        <v/>
      </c>
      <c r="N218" s="47" t="str">
        <f t="shared" si="26"/>
        <v/>
      </c>
      <c r="O218" s="47" t="str">
        <f t="shared" si="27"/>
        <v>Within Tolerance</v>
      </c>
    </row>
    <row r="219" spans="1:15" s="9" customFormat="1" x14ac:dyDescent="0.3">
      <c r="A219" s="167">
        <v>46152</v>
      </c>
      <c r="B219" s="61">
        <v>46152.527777777803</v>
      </c>
      <c r="C219" s="138">
        <f t="shared" si="21"/>
        <v>46152.527777777803</v>
      </c>
      <c r="D219" s="7" t="s">
        <v>27</v>
      </c>
      <c r="E219" s="20" t="s">
        <v>10</v>
      </c>
      <c r="F219" s="8" t="s">
        <v>19</v>
      </c>
      <c r="G219" s="13" t="s">
        <v>93</v>
      </c>
      <c r="H219" s="105">
        <v>14</v>
      </c>
      <c r="I219" s="44">
        <v>14.1</v>
      </c>
      <c r="J219" s="11" t="str">
        <f t="shared" si="22"/>
        <v/>
      </c>
      <c r="K219" s="12" t="str">
        <f t="shared" si="23"/>
        <v/>
      </c>
      <c r="L219" s="125">
        <f t="shared" si="24"/>
        <v>9.9999999999999645E-2</v>
      </c>
      <c r="M219" s="47" t="str">
        <f t="shared" si="25"/>
        <v/>
      </c>
      <c r="N219" s="47" t="str">
        <f t="shared" si="26"/>
        <v/>
      </c>
      <c r="O219" s="47" t="str">
        <f t="shared" si="27"/>
        <v>Within Tolerance</v>
      </c>
    </row>
    <row r="220" spans="1:15" s="9" customFormat="1" x14ac:dyDescent="0.3">
      <c r="A220" s="166">
        <v>46152</v>
      </c>
      <c r="B220" s="61">
        <v>46152.576388888898</v>
      </c>
      <c r="C220" s="138">
        <f t="shared" si="21"/>
        <v>46152.576388888898</v>
      </c>
      <c r="D220" s="19" t="s">
        <v>21</v>
      </c>
      <c r="E220" s="20" t="s">
        <v>10</v>
      </c>
      <c r="F220" s="8" t="s">
        <v>19</v>
      </c>
      <c r="G220" s="13" t="s">
        <v>93</v>
      </c>
      <c r="H220" s="105">
        <v>14.1</v>
      </c>
      <c r="I220" s="44">
        <v>14.1</v>
      </c>
      <c r="J220" s="11" t="str">
        <f t="shared" si="22"/>
        <v/>
      </c>
      <c r="K220" s="12" t="str">
        <f t="shared" si="23"/>
        <v/>
      </c>
      <c r="L220" s="125">
        <f t="shared" si="24"/>
        <v>0</v>
      </c>
      <c r="M220" s="47" t="str">
        <f t="shared" si="25"/>
        <v/>
      </c>
      <c r="N220" s="47" t="str">
        <f t="shared" si="26"/>
        <v/>
      </c>
      <c r="O220" s="47" t="str">
        <f t="shared" si="27"/>
        <v>Within Tolerance</v>
      </c>
    </row>
    <row r="221" spans="1:15" s="9" customFormat="1" x14ac:dyDescent="0.3">
      <c r="A221" s="167">
        <v>46153</v>
      </c>
      <c r="B221" s="61">
        <v>46153.354166666701</v>
      </c>
      <c r="C221" s="138">
        <f t="shared" si="21"/>
        <v>46153.354166666701</v>
      </c>
      <c r="D221" s="19" t="s">
        <v>18</v>
      </c>
      <c r="E221" s="8" t="s">
        <v>14</v>
      </c>
      <c r="F221" s="7" t="s">
        <v>11</v>
      </c>
      <c r="G221" s="13" t="s">
        <v>93</v>
      </c>
      <c r="H221" s="105">
        <v>14.4</v>
      </c>
      <c r="I221" s="18" t="s">
        <v>93</v>
      </c>
      <c r="J221" s="11" t="str">
        <f t="shared" si="22"/>
        <v/>
      </c>
      <c r="K221" s="12" t="str">
        <f t="shared" si="23"/>
        <v/>
      </c>
      <c r="L221" s="125" t="str">
        <f t="shared" si="24"/>
        <v/>
      </c>
      <c r="M221" s="47" t="str">
        <f t="shared" si="25"/>
        <v/>
      </c>
      <c r="N221" s="47" t="str">
        <f t="shared" si="26"/>
        <v/>
      </c>
      <c r="O221" s="47" t="str">
        <f t="shared" si="27"/>
        <v/>
      </c>
    </row>
    <row r="222" spans="1:15" s="9" customFormat="1" x14ac:dyDescent="0.3">
      <c r="A222" s="166">
        <v>46153</v>
      </c>
      <c r="B222" s="61">
        <v>46153.375</v>
      </c>
      <c r="C222" s="138">
        <f t="shared" si="21"/>
        <v>46153.375</v>
      </c>
      <c r="D222" s="19" t="s">
        <v>18</v>
      </c>
      <c r="E222" s="8" t="s">
        <v>14</v>
      </c>
      <c r="F222" s="7" t="s">
        <v>11</v>
      </c>
      <c r="G222" s="13" t="s">
        <v>93</v>
      </c>
      <c r="H222" s="105">
        <v>14.2</v>
      </c>
      <c r="I222" s="44">
        <v>14.3</v>
      </c>
      <c r="J222" s="11" t="str">
        <f t="shared" si="22"/>
        <v/>
      </c>
      <c r="K222" s="12" t="str">
        <f t="shared" si="23"/>
        <v/>
      </c>
      <c r="L222" s="125">
        <f t="shared" si="24"/>
        <v>0.10000000000000142</v>
      </c>
      <c r="M222" s="47" t="str">
        <f t="shared" si="25"/>
        <v/>
      </c>
      <c r="N222" s="47" t="str">
        <f t="shared" si="26"/>
        <v/>
      </c>
      <c r="O222" s="47" t="str">
        <f t="shared" si="27"/>
        <v>Within Tolerance</v>
      </c>
    </row>
    <row r="223" spans="1:15" s="9" customFormat="1" x14ac:dyDescent="0.3">
      <c r="A223" s="167">
        <v>46153</v>
      </c>
      <c r="B223" s="61">
        <v>46153.402777777803</v>
      </c>
      <c r="C223" s="138">
        <f t="shared" si="21"/>
        <v>46153.402777777803</v>
      </c>
      <c r="D223" s="19" t="s">
        <v>18</v>
      </c>
      <c r="E223" s="8" t="s">
        <v>14</v>
      </c>
      <c r="F223" s="7" t="s">
        <v>11</v>
      </c>
      <c r="G223" s="13" t="s">
        <v>93</v>
      </c>
      <c r="H223" s="105">
        <v>13.8</v>
      </c>
      <c r="I223" s="18" t="s">
        <v>93</v>
      </c>
      <c r="J223" s="11" t="str">
        <f t="shared" si="22"/>
        <v/>
      </c>
      <c r="K223" s="12" t="str">
        <f t="shared" si="23"/>
        <v/>
      </c>
      <c r="L223" s="125" t="str">
        <f t="shared" si="24"/>
        <v/>
      </c>
      <c r="M223" s="47" t="str">
        <f t="shared" si="25"/>
        <v/>
      </c>
      <c r="N223" s="47" t="str">
        <f t="shared" si="26"/>
        <v/>
      </c>
      <c r="O223" s="47" t="str">
        <f t="shared" si="27"/>
        <v/>
      </c>
    </row>
    <row r="224" spans="1:15" s="9" customFormat="1" x14ac:dyDescent="0.3">
      <c r="A224" s="166">
        <v>46153</v>
      </c>
      <c r="B224" s="61">
        <v>46153.4375</v>
      </c>
      <c r="C224" s="138">
        <f t="shared" si="21"/>
        <v>46153.4375</v>
      </c>
      <c r="D224" s="19" t="s">
        <v>18</v>
      </c>
      <c r="E224" s="8" t="s">
        <v>14</v>
      </c>
      <c r="F224" s="7" t="s">
        <v>11</v>
      </c>
      <c r="G224" s="13">
        <v>13.77</v>
      </c>
      <c r="H224" s="105">
        <v>13.7</v>
      </c>
      <c r="I224" s="44">
        <v>13.6</v>
      </c>
      <c r="J224" s="11">
        <f t="shared" si="22"/>
        <v>-7.0000000000000284E-2</v>
      </c>
      <c r="K224" s="12">
        <f t="shared" si="23"/>
        <v>-0.16999999999999993</v>
      </c>
      <c r="L224" s="125">
        <f t="shared" si="24"/>
        <v>-9.9999999999999645E-2</v>
      </c>
      <c r="M224" s="47" t="str">
        <f t="shared" si="25"/>
        <v>Within Tolerance</v>
      </c>
      <c r="N224" s="47" t="str">
        <f t="shared" si="26"/>
        <v>Within Tolerance</v>
      </c>
      <c r="O224" s="47" t="str">
        <f t="shared" si="27"/>
        <v>Within Tolerance</v>
      </c>
    </row>
    <row r="225" spans="1:15" s="9" customFormat="1" x14ac:dyDescent="0.3">
      <c r="A225" s="167">
        <v>46153</v>
      </c>
      <c r="B225" s="61">
        <v>46153.520833333299</v>
      </c>
      <c r="C225" s="138">
        <f t="shared" si="21"/>
        <v>46153.520833333299</v>
      </c>
      <c r="D225" s="19" t="s">
        <v>18</v>
      </c>
      <c r="E225" s="8" t="s">
        <v>14</v>
      </c>
      <c r="F225" s="7" t="s">
        <v>11</v>
      </c>
      <c r="G225" s="13" t="s">
        <v>93</v>
      </c>
      <c r="H225" s="105">
        <v>13.8</v>
      </c>
      <c r="I225" s="44">
        <v>13.8</v>
      </c>
      <c r="J225" s="11" t="str">
        <f t="shared" si="22"/>
        <v/>
      </c>
      <c r="K225" s="12" t="str">
        <f t="shared" si="23"/>
        <v/>
      </c>
      <c r="L225" s="125">
        <f t="shared" si="24"/>
        <v>0</v>
      </c>
      <c r="M225" s="47" t="str">
        <f t="shared" si="25"/>
        <v/>
      </c>
      <c r="N225" s="47" t="str">
        <f t="shared" si="26"/>
        <v/>
      </c>
      <c r="O225" s="47" t="str">
        <f t="shared" si="27"/>
        <v>Within Tolerance</v>
      </c>
    </row>
    <row r="226" spans="1:15" s="9" customFormat="1" x14ac:dyDescent="0.3">
      <c r="A226" s="166">
        <v>46153</v>
      </c>
      <c r="B226" s="61">
        <v>46153.604166666701</v>
      </c>
      <c r="C226" s="138">
        <f t="shared" si="21"/>
        <v>46153.604166666701</v>
      </c>
      <c r="D226" s="19" t="s">
        <v>18</v>
      </c>
      <c r="E226" s="8" t="s">
        <v>14</v>
      </c>
      <c r="F226" s="7" t="s">
        <v>11</v>
      </c>
      <c r="G226" s="13" t="s">
        <v>93</v>
      </c>
      <c r="H226" s="105">
        <v>13.8</v>
      </c>
      <c r="I226" s="44">
        <v>13.8</v>
      </c>
      <c r="J226" s="11" t="str">
        <f t="shared" si="22"/>
        <v/>
      </c>
      <c r="K226" s="12" t="str">
        <f t="shared" si="23"/>
        <v/>
      </c>
      <c r="L226" s="125">
        <f t="shared" si="24"/>
        <v>0</v>
      </c>
      <c r="M226" s="47" t="str">
        <f t="shared" si="25"/>
        <v/>
      </c>
      <c r="N226" s="47" t="str">
        <f t="shared" si="26"/>
        <v/>
      </c>
      <c r="O226" s="47" t="str">
        <f t="shared" si="27"/>
        <v>Within Tolerance</v>
      </c>
    </row>
    <row r="227" spans="1:15" s="9" customFormat="1" x14ac:dyDescent="0.3">
      <c r="A227" s="167">
        <v>46153</v>
      </c>
      <c r="B227" s="61">
        <v>46153.666666666701</v>
      </c>
      <c r="C227" s="138">
        <f t="shared" si="21"/>
        <v>46153.666666666701</v>
      </c>
      <c r="D227" s="19" t="s">
        <v>18</v>
      </c>
      <c r="E227" s="8" t="s">
        <v>14</v>
      </c>
      <c r="F227" s="7" t="s">
        <v>11</v>
      </c>
      <c r="G227" s="13" t="s">
        <v>93</v>
      </c>
      <c r="H227" s="105">
        <v>13.7</v>
      </c>
      <c r="I227" s="44">
        <v>13.7</v>
      </c>
      <c r="J227" s="11" t="str">
        <f t="shared" si="22"/>
        <v/>
      </c>
      <c r="K227" s="12" t="str">
        <f t="shared" si="23"/>
        <v/>
      </c>
      <c r="L227" s="125">
        <f t="shared" si="24"/>
        <v>0</v>
      </c>
      <c r="M227" s="47" t="str">
        <f t="shared" si="25"/>
        <v/>
      </c>
      <c r="N227" s="47" t="str">
        <f t="shared" si="26"/>
        <v/>
      </c>
      <c r="O227" s="47" t="str">
        <f t="shared" si="27"/>
        <v>Within Tolerance</v>
      </c>
    </row>
    <row r="228" spans="1:15" s="9" customFormat="1" x14ac:dyDescent="0.3">
      <c r="A228" s="166">
        <v>46153</v>
      </c>
      <c r="B228" s="61">
        <v>46153.75</v>
      </c>
      <c r="C228" s="138">
        <f t="shared" si="21"/>
        <v>46153.75</v>
      </c>
      <c r="D228" s="19" t="s">
        <v>18</v>
      </c>
      <c r="E228" s="8" t="s">
        <v>14</v>
      </c>
      <c r="F228" s="7" t="s">
        <v>11</v>
      </c>
      <c r="G228" s="13" t="s">
        <v>93</v>
      </c>
      <c r="H228" s="105">
        <v>13.6</v>
      </c>
      <c r="I228" s="44">
        <v>13.7</v>
      </c>
      <c r="J228" s="11" t="str">
        <f t="shared" si="22"/>
        <v/>
      </c>
      <c r="K228" s="12" t="str">
        <f t="shared" si="23"/>
        <v/>
      </c>
      <c r="L228" s="125">
        <f t="shared" si="24"/>
        <v>9.9999999999999645E-2</v>
      </c>
      <c r="M228" s="47" t="str">
        <f t="shared" si="25"/>
        <v/>
      </c>
      <c r="N228" s="47" t="str">
        <f t="shared" si="26"/>
        <v/>
      </c>
      <c r="O228" s="47" t="str">
        <f t="shared" si="27"/>
        <v>Within Tolerance</v>
      </c>
    </row>
    <row r="229" spans="1:15" s="9" customFormat="1" x14ac:dyDescent="0.3">
      <c r="A229" s="167">
        <v>46153</v>
      </c>
      <c r="B229" s="61">
        <v>46153.833333333299</v>
      </c>
      <c r="C229" s="138">
        <f t="shared" si="21"/>
        <v>46153.833333333299</v>
      </c>
      <c r="D229" s="19" t="s">
        <v>18</v>
      </c>
      <c r="E229" s="8" t="s">
        <v>14</v>
      </c>
      <c r="F229" s="7" t="s">
        <v>11</v>
      </c>
      <c r="G229" s="13" t="s">
        <v>93</v>
      </c>
      <c r="H229" s="105">
        <v>13.7</v>
      </c>
      <c r="I229" s="44">
        <v>13.7</v>
      </c>
      <c r="J229" s="11" t="str">
        <f t="shared" si="22"/>
        <v/>
      </c>
      <c r="K229" s="12" t="str">
        <f t="shared" si="23"/>
        <v/>
      </c>
      <c r="L229" s="125">
        <f t="shared" si="24"/>
        <v>0</v>
      </c>
      <c r="M229" s="47" t="str">
        <f t="shared" si="25"/>
        <v/>
      </c>
      <c r="N229" s="47" t="str">
        <f t="shared" si="26"/>
        <v/>
      </c>
      <c r="O229" s="47" t="str">
        <f t="shared" si="27"/>
        <v>Within Tolerance</v>
      </c>
    </row>
    <row r="230" spans="1:15" s="9" customFormat="1" x14ac:dyDescent="0.3">
      <c r="A230" s="166">
        <v>46153</v>
      </c>
      <c r="B230" s="61">
        <v>46153.916666666701</v>
      </c>
      <c r="C230" s="138">
        <f t="shared" si="21"/>
        <v>46153.916666666701</v>
      </c>
      <c r="D230" s="19" t="s">
        <v>18</v>
      </c>
      <c r="E230" s="8" t="s">
        <v>14</v>
      </c>
      <c r="F230" s="7" t="s">
        <v>11</v>
      </c>
      <c r="G230" s="13" t="s">
        <v>93</v>
      </c>
      <c r="H230" s="105">
        <v>13.7</v>
      </c>
      <c r="I230" s="44">
        <v>13.7</v>
      </c>
      <c r="J230" s="11" t="str">
        <f t="shared" si="22"/>
        <v/>
      </c>
      <c r="K230" s="12" t="str">
        <f t="shared" si="23"/>
        <v/>
      </c>
      <c r="L230" s="125">
        <f t="shared" si="24"/>
        <v>0</v>
      </c>
      <c r="M230" s="47" t="str">
        <f t="shared" si="25"/>
        <v/>
      </c>
      <c r="N230" s="47" t="str">
        <f t="shared" si="26"/>
        <v/>
      </c>
      <c r="O230" s="47" t="str">
        <f t="shared" si="27"/>
        <v>Within Tolerance</v>
      </c>
    </row>
    <row r="231" spans="1:15" s="9" customFormat="1" x14ac:dyDescent="0.3">
      <c r="A231" s="167">
        <v>46153</v>
      </c>
      <c r="B231" s="61">
        <v>46153.96875</v>
      </c>
      <c r="C231" s="138">
        <f t="shared" si="21"/>
        <v>46153.96875</v>
      </c>
      <c r="D231" s="19" t="s">
        <v>18</v>
      </c>
      <c r="E231" s="8" t="s">
        <v>14</v>
      </c>
      <c r="F231" s="7" t="s">
        <v>11</v>
      </c>
      <c r="G231" s="13" t="s">
        <v>93</v>
      </c>
      <c r="H231" s="105">
        <v>13.9</v>
      </c>
      <c r="I231" s="18" t="s">
        <v>93</v>
      </c>
      <c r="J231" s="11" t="str">
        <f t="shared" si="22"/>
        <v/>
      </c>
      <c r="K231" s="12" t="str">
        <f t="shared" si="23"/>
        <v/>
      </c>
      <c r="L231" s="125" t="str">
        <f t="shared" si="24"/>
        <v/>
      </c>
      <c r="M231" s="47" t="str">
        <f t="shared" si="25"/>
        <v/>
      </c>
      <c r="N231" s="47" t="str">
        <f t="shared" si="26"/>
        <v/>
      </c>
      <c r="O231" s="47" t="str">
        <f t="shared" si="27"/>
        <v/>
      </c>
    </row>
    <row r="232" spans="1:15" s="9" customFormat="1" x14ac:dyDescent="0.3">
      <c r="A232" s="166">
        <v>46154</v>
      </c>
      <c r="B232" s="61">
        <v>46154</v>
      </c>
      <c r="C232" s="138">
        <f t="shared" si="21"/>
        <v>46154</v>
      </c>
      <c r="D232" s="19" t="s">
        <v>18</v>
      </c>
      <c r="E232" s="8" t="s">
        <v>14</v>
      </c>
      <c r="F232" s="7" t="s">
        <v>11</v>
      </c>
      <c r="G232" s="13" t="s">
        <v>93</v>
      </c>
      <c r="H232" s="105">
        <v>14</v>
      </c>
      <c r="I232" s="44">
        <v>14</v>
      </c>
      <c r="J232" s="11" t="str">
        <f t="shared" si="22"/>
        <v/>
      </c>
      <c r="K232" s="12" t="str">
        <f t="shared" si="23"/>
        <v/>
      </c>
      <c r="L232" s="125">
        <f t="shared" si="24"/>
        <v>0</v>
      </c>
      <c r="M232" s="47" t="str">
        <f t="shared" si="25"/>
        <v/>
      </c>
      <c r="N232" s="47" t="str">
        <f t="shared" si="26"/>
        <v/>
      </c>
      <c r="O232" s="47" t="str">
        <f t="shared" si="27"/>
        <v>Within Tolerance</v>
      </c>
    </row>
    <row r="233" spans="1:15" s="9" customFormat="1" x14ac:dyDescent="0.3">
      <c r="A233" s="167">
        <v>46154</v>
      </c>
      <c r="B233" s="61">
        <v>46154.083333333299</v>
      </c>
      <c r="C233" s="138">
        <f t="shared" si="21"/>
        <v>46154.083333333299</v>
      </c>
      <c r="D233" s="19" t="s">
        <v>18</v>
      </c>
      <c r="E233" s="8" t="s">
        <v>14</v>
      </c>
      <c r="F233" s="7" t="s">
        <v>11</v>
      </c>
      <c r="G233" s="13" t="s">
        <v>93</v>
      </c>
      <c r="H233" s="105">
        <v>13.9</v>
      </c>
      <c r="I233" s="44">
        <v>13.8</v>
      </c>
      <c r="J233" s="11" t="str">
        <f t="shared" si="22"/>
        <v/>
      </c>
      <c r="K233" s="12" t="str">
        <f t="shared" si="23"/>
        <v/>
      </c>
      <c r="L233" s="125">
        <f t="shared" si="24"/>
        <v>-9.9999999999999645E-2</v>
      </c>
      <c r="M233" s="47" t="str">
        <f t="shared" si="25"/>
        <v/>
      </c>
      <c r="N233" s="47" t="str">
        <f t="shared" si="26"/>
        <v/>
      </c>
      <c r="O233" s="47" t="str">
        <f t="shared" si="27"/>
        <v>Within Tolerance</v>
      </c>
    </row>
    <row r="234" spans="1:15" s="9" customFormat="1" x14ac:dyDescent="0.3">
      <c r="A234" s="166">
        <v>46154</v>
      </c>
      <c r="B234" s="61">
        <v>46154.135416666701</v>
      </c>
      <c r="C234" s="138">
        <f t="shared" si="21"/>
        <v>46154.135416666701</v>
      </c>
      <c r="D234" s="19" t="s">
        <v>35</v>
      </c>
      <c r="E234" s="8" t="s">
        <v>14</v>
      </c>
      <c r="F234" s="7" t="s">
        <v>11</v>
      </c>
      <c r="G234" s="13" t="s">
        <v>93</v>
      </c>
      <c r="H234" s="105">
        <v>13.9</v>
      </c>
      <c r="I234" s="44">
        <v>14</v>
      </c>
      <c r="J234" s="11" t="str">
        <f t="shared" si="22"/>
        <v/>
      </c>
      <c r="K234" s="12" t="str">
        <f t="shared" si="23"/>
        <v/>
      </c>
      <c r="L234" s="125">
        <f t="shared" si="24"/>
        <v>9.9999999999999645E-2</v>
      </c>
      <c r="M234" s="47" t="str">
        <f t="shared" si="25"/>
        <v/>
      </c>
      <c r="N234" s="47" t="str">
        <f t="shared" si="26"/>
        <v/>
      </c>
      <c r="O234" s="47" t="str">
        <f t="shared" si="27"/>
        <v>Within Tolerance</v>
      </c>
    </row>
    <row r="235" spans="1:15" s="9" customFormat="1" x14ac:dyDescent="0.3">
      <c r="A235" s="167">
        <v>46154</v>
      </c>
      <c r="B235" s="61">
        <v>46154.229166666701</v>
      </c>
      <c r="C235" s="138">
        <f t="shared" si="21"/>
        <v>46154.229166666701</v>
      </c>
      <c r="D235" s="19" t="s">
        <v>35</v>
      </c>
      <c r="E235" s="8" t="s">
        <v>14</v>
      </c>
      <c r="F235" s="7" t="s">
        <v>11</v>
      </c>
      <c r="G235" s="13" t="s">
        <v>93</v>
      </c>
      <c r="H235" s="105">
        <v>14.1</v>
      </c>
      <c r="I235" s="44">
        <v>14.2</v>
      </c>
      <c r="J235" s="11" t="str">
        <f t="shared" si="22"/>
        <v/>
      </c>
      <c r="K235" s="12" t="str">
        <f t="shared" si="23"/>
        <v/>
      </c>
      <c r="L235" s="125">
        <f t="shared" si="24"/>
        <v>9.9999999999999645E-2</v>
      </c>
      <c r="M235" s="47" t="str">
        <f t="shared" si="25"/>
        <v/>
      </c>
      <c r="N235" s="47" t="str">
        <f t="shared" si="26"/>
        <v/>
      </c>
      <c r="O235" s="47" t="str">
        <f t="shared" si="27"/>
        <v>Within Tolerance</v>
      </c>
    </row>
    <row r="236" spans="1:15" s="9" customFormat="1" x14ac:dyDescent="0.3">
      <c r="A236" s="166">
        <v>46153</v>
      </c>
      <c r="B236" s="61">
        <v>46153.763888888898</v>
      </c>
      <c r="C236" s="138">
        <f t="shared" si="21"/>
        <v>46153.763888888898</v>
      </c>
      <c r="D236" s="19" t="s">
        <v>29</v>
      </c>
      <c r="E236" s="8" t="s">
        <v>10</v>
      </c>
      <c r="F236" s="7" t="s">
        <v>15</v>
      </c>
      <c r="G236" s="13" t="s">
        <v>93</v>
      </c>
      <c r="H236" s="105">
        <v>14.5</v>
      </c>
      <c r="I236" s="18" t="s">
        <v>93</v>
      </c>
      <c r="J236" s="11" t="str">
        <f t="shared" si="22"/>
        <v/>
      </c>
      <c r="K236" s="12" t="str">
        <f t="shared" si="23"/>
        <v/>
      </c>
      <c r="L236" s="125" t="str">
        <f t="shared" si="24"/>
        <v/>
      </c>
      <c r="M236" s="47" t="str">
        <f t="shared" si="25"/>
        <v/>
      </c>
      <c r="N236" s="47" t="str">
        <f t="shared" si="26"/>
        <v/>
      </c>
      <c r="O236" s="47" t="str">
        <f t="shared" si="27"/>
        <v/>
      </c>
    </row>
    <row r="237" spans="1:15" s="9" customFormat="1" x14ac:dyDescent="0.3">
      <c r="A237" s="167">
        <v>46153</v>
      </c>
      <c r="B237" s="61">
        <v>46153.777777777803</v>
      </c>
      <c r="C237" s="138">
        <f t="shared" si="21"/>
        <v>46153.777777777803</v>
      </c>
      <c r="D237" s="19" t="s">
        <v>29</v>
      </c>
      <c r="E237" s="8" t="s">
        <v>10</v>
      </c>
      <c r="F237" s="7" t="s">
        <v>15</v>
      </c>
      <c r="G237" s="13" t="s">
        <v>93</v>
      </c>
      <c r="H237" s="105">
        <v>14.3</v>
      </c>
      <c r="I237" s="44">
        <v>14.5</v>
      </c>
      <c r="J237" s="11" t="str">
        <f t="shared" si="22"/>
        <v/>
      </c>
      <c r="K237" s="12" t="str">
        <f t="shared" si="23"/>
        <v/>
      </c>
      <c r="L237" s="125">
        <f t="shared" si="24"/>
        <v>0.19999999999999929</v>
      </c>
      <c r="M237" s="47" t="str">
        <f t="shared" si="25"/>
        <v/>
      </c>
      <c r="N237" s="47" t="str">
        <f t="shared" si="26"/>
        <v/>
      </c>
      <c r="O237" s="47" t="str">
        <f t="shared" si="27"/>
        <v>Within Tolerance</v>
      </c>
    </row>
    <row r="238" spans="1:15" s="9" customFormat="1" x14ac:dyDescent="0.3">
      <c r="A238" s="166">
        <v>46153</v>
      </c>
      <c r="B238" s="61">
        <v>46153.833333333299</v>
      </c>
      <c r="C238" s="138">
        <f t="shared" si="21"/>
        <v>46153.833333333299</v>
      </c>
      <c r="D238" s="19" t="s">
        <v>29</v>
      </c>
      <c r="E238" s="8" t="s">
        <v>10</v>
      </c>
      <c r="F238" s="7" t="s">
        <v>15</v>
      </c>
      <c r="G238" s="13">
        <v>14.28</v>
      </c>
      <c r="H238" s="105">
        <v>14.3</v>
      </c>
      <c r="I238" s="44">
        <v>14.3</v>
      </c>
      <c r="J238" s="11">
        <f t="shared" si="22"/>
        <v>2.000000000000135E-2</v>
      </c>
      <c r="K238" s="12">
        <f t="shared" si="23"/>
        <v>2.000000000000135E-2</v>
      </c>
      <c r="L238" s="125">
        <f t="shared" si="24"/>
        <v>0</v>
      </c>
      <c r="M238" s="47" t="str">
        <f t="shared" si="25"/>
        <v>Within Tolerance</v>
      </c>
      <c r="N238" s="47" t="str">
        <f t="shared" si="26"/>
        <v>Within Tolerance</v>
      </c>
      <c r="O238" s="47" t="str">
        <f t="shared" si="27"/>
        <v>Within Tolerance</v>
      </c>
    </row>
    <row r="239" spans="1:15" s="9" customFormat="1" x14ac:dyDescent="0.3">
      <c r="A239" s="167">
        <v>46153</v>
      </c>
      <c r="B239" s="61">
        <v>46153.895833333299</v>
      </c>
      <c r="C239" s="138">
        <f t="shared" si="21"/>
        <v>46153.895833333299</v>
      </c>
      <c r="D239" s="19" t="s">
        <v>29</v>
      </c>
      <c r="E239" s="8" t="s">
        <v>10</v>
      </c>
      <c r="F239" s="7" t="s">
        <v>15</v>
      </c>
      <c r="G239" s="13" t="s">
        <v>93</v>
      </c>
      <c r="H239" s="105">
        <v>14.1</v>
      </c>
      <c r="I239" s="44">
        <v>14.1</v>
      </c>
      <c r="J239" s="11" t="str">
        <f t="shared" si="22"/>
        <v/>
      </c>
      <c r="K239" s="12" t="str">
        <f t="shared" si="23"/>
        <v/>
      </c>
      <c r="L239" s="125">
        <f t="shared" si="24"/>
        <v>0</v>
      </c>
      <c r="M239" s="47" t="str">
        <f t="shared" si="25"/>
        <v/>
      </c>
      <c r="N239" s="47" t="str">
        <f t="shared" si="26"/>
        <v/>
      </c>
      <c r="O239" s="47" t="str">
        <f t="shared" si="27"/>
        <v>Within Tolerance</v>
      </c>
    </row>
    <row r="240" spans="1:15" s="9" customFormat="1" x14ac:dyDescent="0.3">
      <c r="A240" s="166">
        <v>46154</v>
      </c>
      <c r="B240" s="61">
        <v>46154.125</v>
      </c>
      <c r="C240" s="138">
        <f t="shared" si="21"/>
        <v>46154.125</v>
      </c>
      <c r="D240" s="19" t="s">
        <v>29</v>
      </c>
      <c r="E240" s="8" t="s">
        <v>10</v>
      </c>
      <c r="F240" s="7" t="s">
        <v>15</v>
      </c>
      <c r="G240" s="13" t="s">
        <v>93</v>
      </c>
      <c r="H240" s="105">
        <v>14.2</v>
      </c>
      <c r="I240" s="44">
        <v>14.2</v>
      </c>
      <c r="J240" s="11" t="str">
        <f t="shared" si="22"/>
        <v/>
      </c>
      <c r="K240" s="12" t="str">
        <f t="shared" si="23"/>
        <v/>
      </c>
      <c r="L240" s="125">
        <f t="shared" si="24"/>
        <v>0</v>
      </c>
      <c r="M240" s="47" t="str">
        <f t="shared" si="25"/>
        <v/>
      </c>
      <c r="N240" s="47" t="str">
        <f t="shared" si="26"/>
        <v/>
      </c>
      <c r="O240" s="47" t="str">
        <f t="shared" si="27"/>
        <v>Within Tolerance</v>
      </c>
    </row>
    <row r="241" spans="1:15" s="9" customFormat="1" x14ac:dyDescent="0.3">
      <c r="A241" s="167">
        <v>46154</v>
      </c>
      <c r="B241" s="61">
        <v>46154.145833333299</v>
      </c>
      <c r="C241" s="138">
        <f t="shared" si="21"/>
        <v>46154.145833333299</v>
      </c>
      <c r="D241" s="19" t="s">
        <v>29</v>
      </c>
      <c r="E241" s="8" t="s">
        <v>10</v>
      </c>
      <c r="F241" s="7" t="s">
        <v>15</v>
      </c>
      <c r="G241" s="13" t="s">
        <v>93</v>
      </c>
      <c r="H241" s="105">
        <v>14.1</v>
      </c>
      <c r="I241" s="44">
        <v>14.1</v>
      </c>
      <c r="J241" s="11" t="str">
        <f t="shared" si="22"/>
        <v/>
      </c>
      <c r="K241" s="12" t="str">
        <f t="shared" si="23"/>
        <v/>
      </c>
      <c r="L241" s="125">
        <f t="shared" si="24"/>
        <v>0</v>
      </c>
      <c r="M241" s="47" t="str">
        <f t="shared" si="25"/>
        <v/>
      </c>
      <c r="N241" s="47" t="str">
        <f t="shared" si="26"/>
        <v/>
      </c>
      <c r="O241" s="47" t="str">
        <f t="shared" si="27"/>
        <v>Within Tolerance</v>
      </c>
    </row>
    <row r="242" spans="1:15" s="9" customFormat="1" x14ac:dyDescent="0.3">
      <c r="A242" s="166">
        <v>46154</v>
      </c>
      <c r="B242" s="61">
        <v>46154.229166666701</v>
      </c>
      <c r="C242" s="138">
        <f t="shared" si="21"/>
        <v>46154.229166666701</v>
      </c>
      <c r="D242" s="19" t="s">
        <v>29</v>
      </c>
      <c r="E242" s="8" t="s">
        <v>10</v>
      </c>
      <c r="F242" s="7" t="s">
        <v>15</v>
      </c>
      <c r="G242" s="13" t="s">
        <v>93</v>
      </c>
      <c r="H242" s="105">
        <v>14.1</v>
      </c>
      <c r="I242" s="18" t="s">
        <v>93</v>
      </c>
      <c r="J242" s="11" t="str">
        <f t="shared" si="22"/>
        <v/>
      </c>
      <c r="K242" s="12" t="str">
        <f t="shared" si="23"/>
        <v/>
      </c>
      <c r="L242" s="125" t="str">
        <f t="shared" si="24"/>
        <v/>
      </c>
      <c r="M242" s="47" t="str">
        <f t="shared" si="25"/>
        <v/>
      </c>
      <c r="N242" s="47" t="str">
        <f t="shared" si="26"/>
        <v/>
      </c>
      <c r="O242" s="47" t="str">
        <f t="shared" si="27"/>
        <v/>
      </c>
    </row>
    <row r="243" spans="1:15" s="9" customFormat="1" x14ac:dyDescent="0.3">
      <c r="A243" s="167">
        <v>46153</v>
      </c>
      <c r="B243" s="61">
        <v>46153.416666666701</v>
      </c>
      <c r="C243" s="138">
        <f t="shared" si="21"/>
        <v>46153.416666666701</v>
      </c>
      <c r="D243" s="19" t="s">
        <v>20</v>
      </c>
      <c r="E243" s="8" t="s">
        <v>14</v>
      </c>
      <c r="F243" s="7" t="s">
        <v>19</v>
      </c>
      <c r="G243" s="13" t="s">
        <v>93</v>
      </c>
      <c r="H243" s="105">
        <v>13.9</v>
      </c>
      <c r="I243" s="44">
        <v>14</v>
      </c>
      <c r="J243" s="11" t="str">
        <f t="shared" si="22"/>
        <v/>
      </c>
      <c r="K243" s="12" t="str">
        <f t="shared" si="23"/>
        <v/>
      </c>
      <c r="L243" s="125">
        <f t="shared" si="24"/>
        <v>9.9999999999999645E-2</v>
      </c>
      <c r="M243" s="47" t="str">
        <f t="shared" si="25"/>
        <v/>
      </c>
      <c r="N243" s="47" t="str">
        <f t="shared" si="26"/>
        <v/>
      </c>
      <c r="O243" s="47" t="str">
        <f t="shared" si="27"/>
        <v>Within Tolerance</v>
      </c>
    </row>
    <row r="244" spans="1:15" s="9" customFormat="1" x14ac:dyDescent="0.3">
      <c r="A244" s="166">
        <v>46153</v>
      </c>
      <c r="B244" s="61">
        <v>46153.479166666701</v>
      </c>
      <c r="C244" s="138">
        <f t="shared" si="21"/>
        <v>46153.479166666701</v>
      </c>
      <c r="D244" s="19" t="s">
        <v>55</v>
      </c>
      <c r="E244" s="8" t="s">
        <v>14</v>
      </c>
      <c r="F244" s="7" t="s">
        <v>19</v>
      </c>
      <c r="G244" s="13" t="s">
        <v>93</v>
      </c>
      <c r="H244" s="105">
        <v>14</v>
      </c>
      <c r="I244" s="44">
        <v>14</v>
      </c>
      <c r="J244" s="11" t="str">
        <f t="shared" si="22"/>
        <v/>
      </c>
      <c r="K244" s="12" t="str">
        <f t="shared" si="23"/>
        <v/>
      </c>
      <c r="L244" s="125">
        <f t="shared" si="24"/>
        <v>0</v>
      </c>
      <c r="M244" s="47" t="str">
        <f t="shared" si="25"/>
        <v/>
      </c>
      <c r="N244" s="47" t="str">
        <f t="shared" si="26"/>
        <v/>
      </c>
      <c r="O244" s="47" t="str">
        <f t="shared" si="27"/>
        <v>Within Tolerance</v>
      </c>
    </row>
    <row r="245" spans="1:15" s="9" customFormat="1" x14ac:dyDescent="0.3">
      <c r="A245" s="167">
        <v>46153</v>
      </c>
      <c r="B245" s="61">
        <v>46153.666666666701</v>
      </c>
      <c r="C245" s="138">
        <f t="shared" si="21"/>
        <v>46153.666666666701</v>
      </c>
      <c r="D245" s="19" t="s">
        <v>30</v>
      </c>
      <c r="E245" s="8" t="s">
        <v>14</v>
      </c>
      <c r="F245" s="7" t="s">
        <v>19</v>
      </c>
      <c r="G245" s="13" t="s">
        <v>93</v>
      </c>
      <c r="H245" s="105">
        <v>14</v>
      </c>
      <c r="I245" s="44">
        <v>14.1</v>
      </c>
      <c r="J245" s="11" t="str">
        <f t="shared" si="22"/>
        <v/>
      </c>
      <c r="K245" s="12" t="str">
        <f t="shared" si="23"/>
        <v/>
      </c>
      <c r="L245" s="125">
        <f t="shared" si="24"/>
        <v>9.9999999999999645E-2</v>
      </c>
      <c r="M245" s="47" t="str">
        <f t="shared" si="25"/>
        <v/>
      </c>
      <c r="N245" s="47" t="str">
        <f t="shared" si="26"/>
        <v/>
      </c>
      <c r="O245" s="47" t="str">
        <f t="shared" si="27"/>
        <v>Within Tolerance</v>
      </c>
    </row>
    <row r="246" spans="1:15" s="9" customFormat="1" x14ac:dyDescent="0.3">
      <c r="A246" s="166">
        <v>46153</v>
      </c>
      <c r="B246" s="61">
        <v>46153.8125</v>
      </c>
      <c r="C246" s="138">
        <f t="shared" si="21"/>
        <v>46153.8125</v>
      </c>
      <c r="D246" s="19" t="s">
        <v>46</v>
      </c>
      <c r="E246" s="8" t="s">
        <v>14</v>
      </c>
      <c r="F246" s="7" t="s">
        <v>19</v>
      </c>
      <c r="G246" s="13" t="s">
        <v>93</v>
      </c>
      <c r="H246" s="105">
        <v>14</v>
      </c>
      <c r="I246" s="44">
        <v>14.2</v>
      </c>
      <c r="J246" s="11" t="str">
        <f t="shared" si="22"/>
        <v/>
      </c>
      <c r="K246" s="12" t="str">
        <f t="shared" si="23"/>
        <v/>
      </c>
      <c r="L246" s="125">
        <f t="shared" si="24"/>
        <v>0.19999999999999929</v>
      </c>
      <c r="M246" s="47" t="str">
        <f t="shared" si="25"/>
        <v/>
      </c>
      <c r="N246" s="47" t="str">
        <f t="shared" si="26"/>
        <v/>
      </c>
      <c r="O246" s="47" t="str">
        <f t="shared" si="27"/>
        <v>Within Tolerance</v>
      </c>
    </row>
    <row r="247" spans="1:15" s="9" customFormat="1" x14ac:dyDescent="0.3">
      <c r="A247" s="167">
        <v>46153</v>
      </c>
      <c r="B247" s="61">
        <v>46153.402777777803</v>
      </c>
      <c r="C247" s="138">
        <f t="shared" si="21"/>
        <v>46153.402777777803</v>
      </c>
      <c r="D247" s="19" t="s">
        <v>45</v>
      </c>
      <c r="E247" s="8" t="s">
        <v>17</v>
      </c>
      <c r="F247" s="7" t="s">
        <v>24</v>
      </c>
      <c r="G247" s="13">
        <v>13.33</v>
      </c>
      <c r="H247" s="105">
        <v>13.2</v>
      </c>
      <c r="I247" s="44">
        <v>13.2</v>
      </c>
      <c r="J247" s="11">
        <f t="shared" si="22"/>
        <v>-0.13000000000000078</v>
      </c>
      <c r="K247" s="12">
        <f t="shared" si="23"/>
        <v>-0.13000000000000078</v>
      </c>
      <c r="L247" s="125">
        <f t="shared" si="24"/>
        <v>0</v>
      </c>
      <c r="M247" s="47" t="str">
        <f t="shared" si="25"/>
        <v>Within Tolerance</v>
      </c>
      <c r="N247" s="47" t="str">
        <f t="shared" si="26"/>
        <v>Within Tolerance</v>
      </c>
      <c r="O247" s="47" t="str">
        <f t="shared" si="27"/>
        <v>Within Tolerance</v>
      </c>
    </row>
    <row r="248" spans="1:15" s="9" customFormat="1" x14ac:dyDescent="0.3">
      <c r="A248" s="166">
        <v>46153</v>
      </c>
      <c r="B248" s="61">
        <v>46153.513888888898</v>
      </c>
      <c r="C248" s="138">
        <f t="shared" si="21"/>
        <v>46153.513888888898</v>
      </c>
      <c r="D248" s="19" t="s">
        <v>51</v>
      </c>
      <c r="E248" s="8" t="s">
        <v>10</v>
      </c>
      <c r="F248" s="7" t="s">
        <v>24</v>
      </c>
      <c r="G248" s="13" t="s">
        <v>93</v>
      </c>
      <c r="H248" s="105">
        <v>13.9</v>
      </c>
      <c r="I248" s="44">
        <v>13.8</v>
      </c>
      <c r="J248" s="11" t="str">
        <f t="shared" si="22"/>
        <v/>
      </c>
      <c r="K248" s="12" t="str">
        <f t="shared" si="23"/>
        <v/>
      </c>
      <c r="L248" s="125">
        <f t="shared" si="24"/>
        <v>-9.9999999999999645E-2</v>
      </c>
      <c r="M248" s="47" t="str">
        <f t="shared" si="25"/>
        <v/>
      </c>
      <c r="N248" s="47" t="str">
        <f t="shared" si="26"/>
        <v/>
      </c>
      <c r="O248" s="47" t="str">
        <f t="shared" si="27"/>
        <v>Within Tolerance</v>
      </c>
    </row>
    <row r="249" spans="1:15" s="9" customFormat="1" x14ac:dyDescent="0.3">
      <c r="A249" s="167">
        <v>46153</v>
      </c>
      <c r="B249" s="61">
        <v>46153.770833333299</v>
      </c>
      <c r="C249" s="138">
        <f t="shared" si="21"/>
        <v>46153.770833333299</v>
      </c>
      <c r="D249" s="19" t="s">
        <v>50</v>
      </c>
      <c r="E249" s="8" t="s">
        <v>10</v>
      </c>
      <c r="F249" s="7" t="s">
        <v>24</v>
      </c>
      <c r="G249" s="13" t="s">
        <v>93</v>
      </c>
      <c r="H249" s="105">
        <v>14</v>
      </c>
      <c r="I249" s="44">
        <v>13.9</v>
      </c>
      <c r="J249" s="11" t="str">
        <f t="shared" si="22"/>
        <v/>
      </c>
      <c r="K249" s="12" t="str">
        <f t="shared" si="23"/>
        <v/>
      </c>
      <c r="L249" s="125">
        <f t="shared" si="24"/>
        <v>-9.9999999999999645E-2</v>
      </c>
      <c r="M249" s="47" t="str">
        <f t="shared" si="25"/>
        <v/>
      </c>
      <c r="N249" s="47" t="str">
        <f t="shared" si="26"/>
        <v/>
      </c>
      <c r="O249" s="47" t="str">
        <f t="shared" si="27"/>
        <v>Within Tolerance</v>
      </c>
    </row>
    <row r="250" spans="1:15" s="9" customFormat="1" x14ac:dyDescent="0.3">
      <c r="A250" s="166">
        <v>46154</v>
      </c>
      <c r="B250" s="61">
        <v>46154.333333333299</v>
      </c>
      <c r="C250" s="138">
        <f t="shared" si="21"/>
        <v>46154.333333333299</v>
      </c>
      <c r="D250" s="19" t="s">
        <v>35</v>
      </c>
      <c r="E250" s="8" t="s">
        <v>14</v>
      </c>
      <c r="F250" s="7" t="s">
        <v>11</v>
      </c>
      <c r="G250" s="13">
        <v>14.21</v>
      </c>
      <c r="H250" s="105">
        <v>14.3</v>
      </c>
      <c r="I250" s="111">
        <v>14.4</v>
      </c>
      <c r="J250" s="11">
        <f t="shared" si="22"/>
        <v>8.9999999999999858E-2</v>
      </c>
      <c r="K250" s="12">
        <f t="shared" si="23"/>
        <v>0.1899999999999995</v>
      </c>
      <c r="L250" s="125">
        <f t="shared" si="24"/>
        <v>9.9999999999999645E-2</v>
      </c>
      <c r="M250" s="47" t="str">
        <f t="shared" si="25"/>
        <v>Within Tolerance</v>
      </c>
      <c r="N250" s="47" t="str">
        <f t="shared" si="26"/>
        <v>Within Tolerance</v>
      </c>
      <c r="O250" s="47" t="str">
        <f t="shared" si="27"/>
        <v>Within Tolerance</v>
      </c>
    </row>
    <row r="251" spans="1:15" s="9" customFormat="1" x14ac:dyDescent="0.3">
      <c r="A251" s="167">
        <v>46154</v>
      </c>
      <c r="B251" s="61">
        <v>46154.416666666701</v>
      </c>
      <c r="C251" s="138">
        <f t="shared" si="21"/>
        <v>46154.416666666701</v>
      </c>
      <c r="D251" s="19" t="s">
        <v>35</v>
      </c>
      <c r="E251" s="8" t="s">
        <v>14</v>
      </c>
      <c r="F251" s="7" t="s">
        <v>11</v>
      </c>
      <c r="G251" s="13" t="s">
        <v>93</v>
      </c>
      <c r="H251" s="105">
        <v>14.3</v>
      </c>
      <c r="I251" s="111">
        <v>14.4</v>
      </c>
      <c r="J251" s="11" t="str">
        <f t="shared" si="22"/>
        <v/>
      </c>
      <c r="K251" s="12" t="str">
        <f t="shared" si="23"/>
        <v/>
      </c>
      <c r="L251" s="125">
        <f t="shared" si="24"/>
        <v>9.9999999999999645E-2</v>
      </c>
      <c r="M251" s="47" t="str">
        <f t="shared" si="25"/>
        <v/>
      </c>
      <c r="N251" s="47" t="str">
        <f t="shared" si="26"/>
        <v/>
      </c>
      <c r="O251" s="47" t="str">
        <f t="shared" si="27"/>
        <v>Within Tolerance</v>
      </c>
    </row>
    <row r="252" spans="1:15" s="9" customFormat="1" x14ac:dyDescent="0.3">
      <c r="A252" s="166">
        <v>46154</v>
      </c>
      <c r="B252" s="61">
        <v>46154.5</v>
      </c>
      <c r="C252" s="138">
        <f t="shared" si="21"/>
        <v>46154.5</v>
      </c>
      <c r="D252" s="19" t="s">
        <v>35</v>
      </c>
      <c r="E252" s="8" t="s">
        <v>14</v>
      </c>
      <c r="F252" s="7" t="s">
        <v>11</v>
      </c>
      <c r="G252" s="13" t="s">
        <v>93</v>
      </c>
      <c r="H252" s="105">
        <v>13.9</v>
      </c>
      <c r="I252" s="111">
        <v>14</v>
      </c>
      <c r="J252" s="11" t="str">
        <f t="shared" si="22"/>
        <v/>
      </c>
      <c r="K252" s="12" t="str">
        <f t="shared" si="23"/>
        <v/>
      </c>
      <c r="L252" s="125">
        <f t="shared" si="24"/>
        <v>9.9999999999999645E-2</v>
      </c>
      <c r="M252" s="47" t="str">
        <f t="shared" si="25"/>
        <v/>
      </c>
      <c r="N252" s="47" t="str">
        <f t="shared" si="26"/>
        <v/>
      </c>
      <c r="O252" s="47" t="str">
        <f t="shared" si="27"/>
        <v>Within Tolerance</v>
      </c>
    </row>
    <row r="253" spans="1:15" s="9" customFormat="1" x14ac:dyDescent="0.3">
      <c r="A253" s="167">
        <v>46154</v>
      </c>
      <c r="B253" s="61">
        <v>46154.583333333299</v>
      </c>
      <c r="C253" s="138">
        <f t="shared" si="21"/>
        <v>46154.583333333299</v>
      </c>
      <c r="D253" s="19" t="s">
        <v>13</v>
      </c>
      <c r="E253" s="8" t="s">
        <v>14</v>
      </c>
      <c r="F253" s="7" t="s">
        <v>11</v>
      </c>
      <c r="G253" s="13" t="s">
        <v>93</v>
      </c>
      <c r="H253" s="105">
        <v>13.9</v>
      </c>
      <c r="I253" s="111">
        <v>13.9</v>
      </c>
      <c r="J253" s="11" t="str">
        <f t="shared" si="22"/>
        <v/>
      </c>
      <c r="K253" s="12" t="str">
        <f t="shared" si="23"/>
        <v/>
      </c>
      <c r="L253" s="125">
        <f t="shared" si="24"/>
        <v>0</v>
      </c>
      <c r="M253" s="47" t="str">
        <f t="shared" si="25"/>
        <v/>
      </c>
      <c r="N253" s="47" t="str">
        <f t="shared" si="26"/>
        <v/>
      </c>
      <c r="O253" s="47" t="str">
        <f t="shared" si="27"/>
        <v>Within Tolerance</v>
      </c>
    </row>
    <row r="254" spans="1:15" s="9" customFormat="1" x14ac:dyDescent="0.3">
      <c r="A254" s="166">
        <v>46154</v>
      </c>
      <c r="B254" s="61">
        <v>46154.666666666701</v>
      </c>
      <c r="C254" s="138">
        <f t="shared" si="21"/>
        <v>46154.666666666701</v>
      </c>
      <c r="D254" s="19" t="s">
        <v>13</v>
      </c>
      <c r="E254" s="8" t="s">
        <v>14</v>
      </c>
      <c r="F254" s="7" t="s">
        <v>11</v>
      </c>
      <c r="G254" s="13" t="s">
        <v>93</v>
      </c>
      <c r="H254" s="105">
        <v>13.9</v>
      </c>
      <c r="I254" s="111">
        <v>13.9</v>
      </c>
      <c r="J254" s="11" t="str">
        <f t="shared" si="22"/>
        <v/>
      </c>
      <c r="K254" s="12" t="str">
        <f t="shared" si="23"/>
        <v/>
      </c>
      <c r="L254" s="125">
        <f t="shared" si="24"/>
        <v>0</v>
      </c>
      <c r="M254" s="47" t="str">
        <f t="shared" si="25"/>
        <v/>
      </c>
      <c r="N254" s="47" t="str">
        <f t="shared" si="26"/>
        <v/>
      </c>
      <c r="O254" s="47" t="str">
        <f t="shared" si="27"/>
        <v>Within Tolerance</v>
      </c>
    </row>
    <row r="255" spans="1:15" s="9" customFormat="1" x14ac:dyDescent="0.3">
      <c r="A255" s="167">
        <v>46154</v>
      </c>
      <c r="B255" s="61">
        <v>46154.75</v>
      </c>
      <c r="C255" s="138">
        <f t="shared" si="21"/>
        <v>46154.75</v>
      </c>
      <c r="D255" s="19" t="s">
        <v>13</v>
      </c>
      <c r="E255" s="8" t="s">
        <v>14</v>
      </c>
      <c r="F255" s="7" t="s">
        <v>11</v>
      </c>
      <c r="G255" s="13" t="s">
        <v>93</v>
      </c>
      <c r="H255" s="105">
        <v>13.9</v>
      </c>
      <c r="I255" s="111">
        <v>14</v>
      </c>
      <c r="J255" s="11" t="str">
        <f t="shared" si="22"/>
        <v/>
      </c>
      <c r="K255" s="12" t="str">
        <f t="shared" si="23"/>
        <v/>
      </c>
      <c r="L255" s="125">
        <f t="shared" si="24"/>
        <v>9.9999999999999645E-2</v>
      </c>
      <c r="M255" s="47" t="str">
        <f t="shared" si="25"/>
        <v/>
      </c>
      <c r="N255" s="47" t="str">
        <f t="shared" si="26"/>
        <v/>
      </c>
      <c r="O255" s="47" t="str">
        <f t="shared" si="27"/>
        <v>Within Tolerance</v>
      </c>
    </row>
    <row r="256" spans="1:15" s="9" customFormat="1" x14ac:dyDescent="0.3">
      <c r="A256" s="166">
        <v>46154</v>
      </c>
      <c r="B256" s="61">
        <v>46154.833333333299</v>
      </c>
      <c r="C256" s="138">
        <f t="shared" si="21"/>
        <v>46154.833333333299</v>
      </c>
      <c r="D256" s="19" t="s">
        <v>13</v>
      </c>
      <c r="E256" s="8" t="s">
        <v>14</v>
      </c>
      <c r="F256" s="7" t="s">
        <v>11</v>
      </c>
      <c r="G256" s="13" t="s">
        <v>93</v>
      </c>
      <c r="H256" s="105">
        <v>14</v>
      </c>
      <c r="I256" s="111">
        <v>14</v>
      </c>
      <c r="J256" s="11" t="str">
        <f t="shared" si="22"/>
        <v/>
      </c>
      <c r="K256" s="12" t="str">
        <f t="shared" si="23"/>
        <v/>
      </c>
      <c r="L256" s="125">
        <f t="shared" si="24"/>
        <v>0</v>
      </c>
      <c r="M256" s="47" t="str">
        <f t="shared" si="25"/>
        <v/>
      </c>
      <c r="N256" s="47" t="str">
        <f t="shared" si="26"/>
        <v/>
      </c>
      <c r="O256" s="47" t="str">
        <f t="shared" si="27"/>
        <v>Within Tolerance</v>
      </c>
    </row>
    <row r="257" spans="1:15" s="9" customFormat="1" x14ac:dyDescent="0.3">
      <c r="A257" s="167">
        <v>46154</v>
      </c>
      <c r="B257" s="61">
        <v>46154.916666666701</v>
      </c>
      <c r="C257" s="138">
        <f t="shared" si="21"/>
        <v>46154.916666666701</v>
      </c>
      <c r="D257" s="19" t="s">
        <v>13</v>
      </c>
      <c r="E257" s="8" t="s">
        <v>14</v>
      </c>
      <c r="F257" s="7" t="s">
        <v>11</v>
      </c>
      <c r="G257" s="13" t="s">
        <v>93</v>
      </c>
      <c r="H257" s="105">
        <v>14.1</v>
      </c>
      <c r="I257" s="111">
        <v>14.2</v>
      </c>
      <c r="J257" s="11" t="str">
        <f t="shared" si="22"/>
        <v/>
      </c>
      <c r="K257" s="12" t="str">
        <f t="shared" si="23"/>
        <v/>
      </c>
      <c r="L257" s="125">
        <f t="shared" si="24"/>
        <v>9.9999999999999645E-2</v>
      </c>
      <c r="M257" s="47" t="str">
        <f t="shared" si="25"/>
        <v/>
      </c>
      <c r="N257" s="47" t="str">
        <f t="shared" si="26"/>
        <v/>
      </c>
      <c r="O257" s="47" t="str">
        <f t="shared" si="27"/>
        <v>Within Tolerance</v>
      </c>
    </row>
    <row r="258" spans="1:15" s="9" customFormat="1" x14ac:dyDescent="0.3">
      <c r="A258" s="166">
        <v>46186</v>
      </c>
      <c r="B258" s="61">
        <v>46155</v>
      </c>
      <c r="C258" s="138">
        <f t="shared" ref="C258:C321" si="28">A258+MOD(B258,1)</f>
        <v>46186</v>
      </c>
      <c r="D258" s="19" t="s">
        <v>13</v>
      </c>
      <c r="E258" s="8" t="s">
        <v>14</v>
      </c>
      <c r="F258" s="7" t="s">
        <v>11</v>
      </c>
      <c r="G258" s="13" t="s">
        <v>93</v>
      </c>
      <c r="H258" s="105">
        <v>14</v>
      </c>
      <c r="I258" s="111">
        <v>14</v>
      </c>
      <c r="J258" s="11" t="str">
        <f t="shared" si="22"/>
        <v/>
      </c>
      <c r="K258" s="12" t="str">
        <f t="shared" si="23"/>
        <v/>
      </c>
      <c r="L258" s="125">
        <f t="shared" si="24"/>
        <v>0</v>
      </c>
      <c r="M258" s="47" t="str">
        <f t="shared" si="25"/>
        <v/>
      </c>
      <c r="N258" s="47" t="str">
        <f t="shared" si="26"/>
        <v/>
      </c>
      <c r="O258" s="47" t="str">
        <f t="shared" si="27"/>
        <v>Within Tolerance</v>
      </c>
    </row>
    <row r="259" spans="1:15" s="9" customFormat="1" x14ac:dyDescent="0.3">
      <c r="A259" s="167">
        <v>46186</v>
      </c>
      <c r="B259" s="61">
        <v>46155.083333333299</v>
      </c>
      <c r="C259" s="138">
        <f t="shared" si="28"/>
        <v>46186.083333333299</v>
      </c>
      <c r="D259" s="19" t="s">
        <v>13</v>
      </c>
      <c r="E259" s="8" t="s">
        <v>14</v>
      </c>
      <c r="F259" s="7" t="s">
        <v>11</v>
      </c>
      <c r="G259" s="13" t="s">
        <v>93</v>
      </c>
      <c r="H259" s="105">
        <v>14.1</v>
      </c>
      <c r="I259" s="111">
        <v>14.2</v>
      </c>
      <c r="J259" s="11" t="str">
        <f t="shared" ref="J259:J322" si="29">IF(OR(H259="",G259=""),"",H259-G259)</f>
        <v/>
      </c>
      <c r="K259" s="12" t="str">
        <f t="shared" ref="K259:K322" si="30">IF(OR(TRIM(G259&amp;"")="",TRIM(I259&amp;"")="",G259="-",I259="-"),"",I259-G259)</f>
        <v/>
      </c>
      <c r="L259" s="125">
        <f t="shared" ref="L259:L322" si="31">IF(OR(TRIM(H259&amp;"")="",TRIM(I259&amp;"")="",H259="-",I259="-"),"",I259-H259)</f>
        <v>9.9999999999999645E-2</v>
      </c>
      <c r="M259" s="47" t="str">
        <f t="shared" ref="M259:M322" si="32">IF(J259="","",IF(ABS(J259)&lt;=0.2,"Within Tolerance","Out of Tolerance"))</f>
        <v/>
      </c>
      <c r="N259" s="47" t="str">
        <f t="shared" ref="N259:N322" si="33">IF(K259="","",IF(ABS(K259)&lt;=0.2,"Within Tolerance","Out of Tolerance"))</f>
        <v/>
      </c>
      <c r="O259" s="47" t="str">
        <f t="shared" ref="O259:O322" si="34">IF(L259="","",IF(ABS(L259)&lt;=0.2,"Within Tolerance","Out of Tolerance"))</f>
        <v>Within Tolerance</v>
      </c>
    </row>
    <row r="260" spans="1:15" s="9" customFormat="1" x14ac:dyDescent="0.3">
      <c r="A260" s="166">
        <v>46186</v>
      </c>
      <c r="B260" s="61">
        <v>46155.166666666701</v>
      </c>
      <c r="C260" s="138">
        <f t="shared" si="28"/>
        <v>46186.166666666701</v>
      </c>
      <c r="D260" s="19" t="s">
        <v>13</v>
      </c>
      <c r="E260" s="8" t="s">
        <v>14</v>
      </c>
      <c r="F260" s="7" t="s">
        <v>11</v>
      </c>
      <c r="G260" s="13" t="s">
        <v>93</v>
      </c>
      <c r="H260" s="105">
        <v>14.2</v>
      </c>
      <c r="I260" s="111">
        <v>14.2</v>
      </c>
      <c r="J260" s="11" t="str">
        <f t="shared" si="29"/>
        <v/>
      </c>
      <c r="K260" s="12" t="str">
        <f t="shared" si="30"/>
        <v/>
      </c>
      <c r="L260" s="125">
        <f t="shared" si="31"/>
        <v>0</v>
      </c>
      <c r="M260" s="47" t="str">
        <f t="shared" si="32"/>
        <v/>
      </c>
      <c r="N260" s="47" t="str">
        <f t="shared" si="33"/>
        <v/>
      </c>
      <c r="O260" s="47" t="str">
        <f t="shared" si="34"/>
        <v>Within Tolerance</v>
      </c>
    </row>
    <row r="261" spans="1:15" s="9" customFormat="1" x14ac:dyDescent="0.3">
      <c r="A261" s="167">
        <v>46186</v>
      </c>
      <c r="B261" s="61">
        <v>46155.229166666701</v>
      </c>
      <c r="C261" s="138">
        <f t="shared" si="28"/>
        <v>46186.229166666701</v>
      </c>
      <c r="D261" s="19" t="s">
        <v>13</v>
      </c>
      <c r="E261" s="8" t="s">
        <v>14</v>
      </c>
      <c r="F261" s="7" t="s">
        <v>11</v>
      </c>
      <c r="G261" s="13" t="s">
        <v>93</v>
      </c>
      <c r="H261" s="105">
        <v>14.1</v>
      </c>
      <c r="I261" s="111">
        <v>14.1</v>
      </c>
      <c r="J261" s="11" t="str">
        <f t="shared" si="29"/>
        <v/>
      </c>
      <c r="K261" s="12" t="str">
        <f t="shared" si="30"/>
        <v/>
      </c>
      <c r="L261" s="125">
        <f t="shared" si="31"/>
        <v>0</v>
      </c>
      <c r="M261" s="47" t="str">
        <f t="shared" si="32"/>
        <v/>
      </c>
      <c r="N261" s="47" t="str">
        <f t="shared" si="33"/>
        <v/>
      </c>
      <c r="O261" s="47" t="str">
        <f t="shared" si="34"/>
        <v>Within Tolerance</v>
      </c>
    </row>
    <row r="262" spans="1:15" s="9" customFormat="1" x14ac:dyDescent="0.3">
      <c r="A262" s="166">
        <v>46186</v>
      </c>
      <c r="B262" s="61">
        <v>46155.274305555598</v>
      </c>
      <c r="C262" s="138">
        <f t="shared" si="28"/>
        <v>46186.274305555598</v>
      </c>
      <c r="D262" s="19" t="s">
        <v>41</v>
      </c>
      <c r="E262" s="8" t="s">
        <v>10</v>
      </c>
      <c r="F262" s="7" t="s">
        <v>11</v>
      </c>
      <c r="G262" s="13" t="s">
        <v>93</v>
      </c>
      <c r="H262" s="105">
        <v>13.8</v>
      </c>
      <c r="I262" s="111">
        <v>13.8</v>
      </c>
      <c r="J262" s="11" t="str">
        <f t="shared" si="29"/>
        <v/>
      </c>
      <c r="K262" s="12" t="str">
        <f t="shared" si="30"/>
        <v/>
      </c>
      <c r="L262" s="125">
        <f t="shared" si="31"/>
        <v>0</v>
      </c>
      <c r="M262" s="47" t="str">
        <f t="shared" si="32"/>
        <v/>
      </c>
      <c r="N262" s="47" t="str">
        <f t="shared" si="33"/>
        <v/>
      </c>
      <c r="O262" s="47" t="str">
        <f t="shared" si="34"/>
        <v>Within Tolerance</v>
      </c>
    </row>
    <row r="263" spans="1:15" s="9" customFormat="1" x14ac:dyDescent="0.3">
      <c r="A263" s="167">
        <v>46154</v>
      </c>
      <c r="B263" s="61">
        <v>46154.333333333299</v>
      </c>
      <c r="C263" s="138">
        <f t="shared" si="28"/>
        <v>46154.333333333299</v>
      </c>
      <c r="D263" s="19" t="s">
        <v>29</v>
      </c>
      <c r="E263" s="8" t="s">
        <v>10</v>
      </c>
      <c r="F263" s="7" t="s">
        <v>15</v>
      </c>
      <c r="G263" s="13">
        <v>13.98</v>
      </c>
      <c r="H263" s="105">
        <v>14.1</v>
      </c>
      <c r="I263" s="111">
        <v>14.2</v>
      </c>
      <c r="J263" s="11">
        <f t="shared" si="29"/>
        <v>0.11999999999999922</v>
      </c>
      <c r="K263" s="12">
        <f t="shared" si="30"/>
        <v>0.21999999999999886</v>
      </c>
      <c r="L263" s="125">
        <f t="shared" si="31"/>
        <v>9.9999999999999645E-2</v>
      </c>
      <c r="M263" s="47" t="str">
        <f t="shared" si="32"/>
        <v>Within Tolerance</v>
      </c>
      <c r="N263" s="47" t="str">
        <f t="shared" si="33"/>
        <v>Out of Tolerance</v>
      </c>
      <c r="O263" s="47" t="str">
        <f t="shared" si="34"/>
        <v>Within Tolerance</v>
      </c>
    </row>
    <row r="264" spans="1:15" s="9" customFormat="1" x14ac:dyDescent="0.3">
      <c r="A264" s="166">
        <v>46154</v>
      </c>
      <c r="B264" s="61">
        <v>46154.416666666701</v>
      </c>
      <c r="C264" s="138">
        <f t="shared" si="28"/>
        <v>46154.416666666701</v>
      </c>
      <c r="D264" s="19" t="s">
        <v>29</v>
      </c>
      <c r="E264" s="8" t="s">
        <v>10</v>
      </c>
      <c r="F264" s="7" t="s">
        <v>15</v>
      </c>
      <c r="G264" s="13" t="s">
        <v>93</v>
      </c>
      <c r="H264" s="105">
        <v>14.1</v>
      </c>
      <c r="I264" s="111">
        <v>14.3</v>
      </c>
      <c r="J264" s="11" t="str">
        <f t="shared" si="29"/>
        <v/>
      </c>
      <c r="K264" s="12" t="str">
        <f t="shared" si="30"/>
        <v/>
      </c>
      <c r="L264" s="125">
        <f t="shared" si="31"/>
        <v>0.20000000000000107</v>
      </c>
      <c r="M264" s="47" t="str">
        <f t="shared" si="32"/>
        <v/>
      </c>
      <c r="N264" s="47" t="str">
        <f t="shared" si="33"/>
        <v/>
      </c>
      <c r="O264" s="47" t="str">
        <f t="shared" si="34"/>
        <v>Out of Tolerance</v>
      </c>
    </row>
    <row r="265" spans="1:15" s="9" customFormat="1" x14ac:dyDescent="0.3">
      <c r="A265" s="167">
        <v>46154</v>
      </c>
      <c r="B265" s="61">
        <v>46154.878472222197</v>
      </c>
      <c r="C265" s="138">
        <f t="shared" si="28"/>
        <v>46154.878472222197</v>
      </c>
      <c r="D265" s="19" t="s">
        <v>41</v>
      </c>
      <c r="E265" s="8" t="s">
        <v>10</v>
      </c>
      <c r="F265" s="7" t="s">
        <v>15</v>
      </c>
      <c r="G265" s="13" t="s">
        <v>93</v>
      </c>
      <c r="H265" s="105">
        <v>14.2</v>
      </c>
      <c r="I265" s="111"/>
      <c r="J265" s="11" t="str">
        <f t="shared" si="29"/>
        <v/>
      </c>
      <c r="K265" s="12" t="str">
        <f t="shared" si="30"/>
        <v/>
      </c>
      <c r="L265" s="125" t="str">
        <f t="shared" si="31"/>
        <v/>
      </c>
      <c r="M265" s="47" t="str">
        <f t="shared" si="32"/>
        <v/>
      </c>
      <c r="N265" s="47" t="str">
        <f t="shared" si="33"/>
        <v/>
      </c>
      <c r="O265" s="47" t="str">
        <f t="shared" si="34"/>
        <v/>
      </c>
    </row>
    <row r="266" spans="1:15" s="9" customFormat="1" x14ac:dyDescent="0.3">
      <c r="A266" s="166">
        <v>46154</v>
      </c>
      <c r="B266" s="61">
        <v>46154.892361111102</v>
      </c>
      <c r="C266" s="138">
        <f t="shared" si="28"/>
        <v>46154.892361111102</v>
      </c>
      <c r="D266" s="19" t="s">
        <v>41</v>
      </c>
      <c r="E266" s="8" t="s">
        <v>10</v>
      </c>
      <c r="F266" s="7" t="s">
        <v>15</v>
      </c>
      <c r="G266" s="13" t="s">
        <v>93</v>
      </c>
      <c r="H266" s="105">
        <v>14.1</v>
      </c>
      <c r="I266" s="111">
        <v>14.2</v>
      </c>
      <c r="J266" s="11" t="str">
        <f t="shared" si="29"/>
        <v/>
      </c>
      <c r="K266" s="12" t="str">
        <f t="shared" si="30"/>
        <v/>
      </c>
      <c r="L266" s="125">
        <f t="shared" si="31"/>
        <v>9.9999999999999645E-2</v>
      </c>
      <c r="M266" s="47" t="str">
        <f t="shared" si="32"/>
        <v/>
      </c>
      <c r="N266" s="47" t="str">
        <f t="shared" si="33"/>
        <v/>
      </c>
      <c r="O266" s="47" t="str">
        <f t="shared" si="34"/>
        <v>Within Tolerance</v>
      </c>
    </row>
    <row r="267" spans="1:15" s="9" customFormat="1" x14ac:dyDescent="0.3">
      <c r="A267" s="167">
        <v>46155</v>
      </c>
      <c r="B267" s="61">
        <v>46155</v>
      </c>
      <c r="C267" s="138">
        <f t="shared" si="28"/>
        <v>46155</v>
      </c>
      <c r="D267" s="19" t="s">
        <v>41</v>
      </c>
      <c r="E267" s="8" t="s">
        <v>10</v>
      </c>
      <c r="F267" s="7" t="s">
        <v>15</v>
      </c>
      <c r="G267" s="13" t="s">
        <v>93</v>
      </c>
      <c r="H267" s="105">
        <v>14.1</v>
      </c>
      <c r="I267" s="111">
        <v>14.1</v>
      </c>
      <c r="J267" s="11" t="str">
        <f t="shared" si="29"/>
        <v/>
      </c>
      <c r="K267" s="12" t="str">
        <f t="shared" si="30"/>
        <v/>
      </c>
      <c r="L267" s="125">
        <f t="shared" si="31"/>
        <v>0</v>
      </c>
      <c r="M267" s="47" t="str">
        <f t="shared" si="32"/>
        <v/>
      </c>
      <c r="N267" s="47" t="str">
        <f t="shared" si="33"/>
        <v/>
      </c>
      <c r="O267" s="47" t="str">
        <f t="shared" si="34"/>
        <v>Within Tolerance</v>
      </c>
    </row>
    <row r="268" spans="1:15" s="9" customFormat="1" x14ac:dyDescent="0.3">
      <c r="A268" s="166">
        <v>46155</v>
      </c>
      <c r="B268" s="61">
        <v>46155.083333333299</v>
      </c>
      <c r="C268" s="138">
        <f t="shared" si="28"/>
        <v>46155.083333333299</v>
      </c>
      <c r="D268" s="19" t="s">
        <v>41</v>
      </c>
      <c r="E268" s="8" t="s">
        <v>10</v>
      </c>
      <c r="F268" s="7" t="s">
        <v>15</v>
      </c>
      <c r="G268" s="13" t="s">
        <v>93</v>
      </c>
      <c r="H268" s="105">
        <v>14.2</v>
      </c>
      <c r="I268" s="111">
        <v>14.2</v>
      </c>
      <c r="J268" s="11" t="str">
        <f t="shared" si="29"/>
        <v/>
      </c>
      <c r="K268" s="12" t="str">
        <f t="shared" si="30"/>
        <v/>
      </c>
      <c r="L268" s="125">
        <f t="shared" si="31"/>
        <v>0</v>
      </c>
      <c r="M268" s="47" t="str">
        <f t="shared" si="32"/>
        <v/>
      </c>
      <c r="N268" s="47" t="str">
        <f t="shared" si="33"/>
        <v/>
      </c>
      <c r="O268" s="47" t="str">
        <f t="shared" si="34"/>
        <v>Within Tolerance</v>
      </c>
    </row>
    <row r="269" spans="1:15" s="9" customFormat="1" x14ac:dyDescent="0.3">
      <c r="A269" s="167">
        <v>46155</v>
      </c>
      <c r="B269" s="61">
        <v>46155.166666666701</v>
      </c>
      <c r="C269" s="138">
        <f t="shared" si="28"/>
        <v>46155.166666666701</v>
      </c>
      <c r="D269" s="19" t="s">
        <v>41</v>
      </c>
      <c r="E269" s="8" t="s">
        <v>10</v>
      </c>
      <c r="F269" s="7" t="s">
        <v>15</v>
      </c>
      <c r="G269" s="13" t="s">
        <v>93</v>
      </c>
      <c r="H269" s="105">
        <v>14.2</v>
      </c>
      <c r="I269" s="111">
        <v>14.3</v>
      </c>
      <c r="J269" s="11" t="str">
        <f t="shared" si="29"/>
        <v/>
      </c>
      <c r="K269" s="12" t="str">
        <f t="shared" si="30"/>
        <v/>
      </c>
      <c r="L269" s="125">
        <f t="shared" si="31"/>
        <v>0.10000000000000142</v>
      </c>
      <c r="M269" s="47" t="str">
        <f t="shared" si="32"/>
        <v/>
      </c>
      <c r="N269" s="47" t="str">
        <f t="shared" si="33"/>
        <v/>
      </c>
      <c r="O269" s="47" t="str">
        <f t="shared" si="34"/>
        <v>Within Tolerance</v>
      </c>
    </row>
    <row r="270" spans="1:15" s="9" customFormat="1" x14ac:dyDescent="0.3">
      <c r="A270" s="166">
        <v>46155</v>
      </c>
      <c r="B270" s="61">
        <v>46155.25</v>
      </c>
      <c r="C270" s="138">
        <f t="shared" si="28"/>
        <v>46155.25</v>
      </c>
      <c r="D270" s="19" t="s">
        <v>41</v>
      </c>
      <c r="E270" s="8" t="s">
        <v>10</v>
      </c>
      <c r="F270" s="7" t="s">
        <v>15</v>
      </c>
      <c r="G270" s="13" t="s">
        <v>93</v>
      </c>
      <c r="H270" s="105">
        <v>14.2</v>
      </c>
      <c r="I270" s="111">
        <v>14.3</v>
      </c>
      <c r="J270" s="11" t="str">
        <f t="shared" si="29"/>
        <v/>
      </c>
      <c r="K270" s="12" t="str">
        <f t="shared" si="30"/>
        <v/>
      </c>
      <c r="L270" s="125">
        <f t="shared" si="31"/>
        <v>0.10000000000000142</v>
      </c>
      <c r="M270" s="47" t="str">
        <f t="shared" si="32"/>
        <v/>
      </c>
      <c r="N270" s="47" t="str">
        <f t="shared" si="33"/>
        <v/>
      </c>
      <c r="O270" s="47" t="str">
        <f t="shared" si="34"/>
        <v>Within Tolerance</v>
      </c>
    </row>
    <row r="271" spans="1:15" s="9" customFormat="1" x14ac:dyDescent="0.3">
      <c r="A271" s="167">
        <v>46154</v>
      </c>
      <c r="B271" s="61">
        <v>46154.416666666701</v>
      </c>
      <c r="C271" s="138">
        <f t="shared" si="28"/>
        <v>46154.416666666701</v>
      </c>
      <c r="D271" s="19" t="s">
        <v>21</v>
      </c>
      <c r="E271" s="8" t="s">
        <v>10</v>
      </c>
      <c r="F271" s="7" t="s">
        <v>19</v>
      </c>
      <c r="G271" s="13" t="s">
        <v>93</v>
      </c>
      <c r="H271" s="105">
        <v>14.1</v>
      </c>
      <c r="I271" s="111">
        <v>13.9</v>
      </c>
      <c r="J271" s="11" t="str">
        <f t="shared" si="29"/>
        <v/>
      </c>
      <c r="K271" s="12" t="str">
        <f t="shared" si="30"/>
        <v/>
      </c>
      <c r="L271" s="125">
        <f t="shared" si="31"/>
        <v>-0.19999999999999929</v>
      </c>
      <c r="M271" s="47" t="str">
        <f t="shared" si="32"/>
        <v/>
      </c>
      <c r="N271" s="47" t="str">
        <f t="shared" si="33"/>
        <v/>
      </c>
      <c r="O271" s="47" t="str">
        <f t="shared" si="34"/>
        <v>Within Tolerance</v>
      </c>
    </row>
    <row r="272" spans="1:15" s="9" customFormat="1" x14ac:dyDescent="0.3">
      <c r="A272" s="166">
        <v>46154</v>
      </c>
      <c r="B272" s="61">
        <v>46154.444444444402</v>
      </c>
      <c r="C272" s="138">
        <f t="shared" si="28"/>
        <v>46154.444444444402</v>
      </c>
      <c r="D272" s="19" t="s">
        <v>37</v>
      </c>
      <c r="E272" s="8" t="s">
        <v>14</v>
      </c>
      <c r="F272" s="7" t="s">
        <v>19</v>
      </c>
      <c r="G272" s="13" t="s">
        <v>93</v>
      </c>
      <c r="H272" s="105">
        <v>13.9</v>
      </c>
      <c r="I272" s="111">
        <v>13.9</v>
      </c>
      <c r="J272" s="11" t="str">
        <f t="shared" si="29"/>
        <v/>
      </c>
      <c r="K272" s="12" t="str">
        <f t="shared" si="30"/>
        <v/>
      </c>
      <c r="L272" s="125">
        <f t="shared" si="31"/>
        <v>0</v>
      </c>
      <c r="M272" s="47" t="str">
        <f t="shared" si="32"/>
        <v/>
      </c>
      <c r="N272" s="47" t="str">
        <f t="shared" si="33"/>
        <v/>
      </c>
      <c r="O272" s="47" t="str">
        <f t="shared" si="34"/>
        <v>Within Tolerance</v>
      </c>
    </row>
    <row r="273" spans="1:15" s="9" customFormat="1" x14ac:dyDescent="0.3">
      <c r="A273" s="167">
        <v>46154</v>
      </c>
      <c r="B273" s="61">
        <v>46154.472222222197</v>
      </c>
      <c r="C273" s="138">
        <f t="shared" si="28"/>
        <v>46154.472222222197</v>
      </c>
      <c r="D273" s="19" t="s">
        <v>20</v>
      </c>
      <c r="E273" s="8" t="s">
        <v>14</v>
      </c>
      <c r="F273" s="7" t="s">
        <v>19</v>
      </c>
      <c r="G273" s="13" t="s">
        <v>93</v>
      </c>
      <c r="H273" s="105">
        <v>14</v>
      </c>
      <c r="I273" s="111">
        <v>14.1</v>
      </c>
      <c r="J273" s="11" t="str">
        <f t="shared" si="29"/>
        <v/>
      </c>
      <c r="K273" s="12" t="str">
        <f t="shared" si="30"/>
        <v/>
      </c>
      <c r="L273" s="125">
        <f t="shared" si="31"/>
        <v>9.9999999999999645E-2</v>
      </c>
      <c r="M273" s="47" t="str">
        <f t="shared" si="32"/>
        <v/>
      </c>
      <c r="N273" s="47" t="str">
        <f t="shared" si="33"/>
        <v/>
      </c>
      <c r="O273" s="47" t="str">
        <f t="shared" si="34"/>
        <v>Within Tolerance</v>
      </c>
    </row>
    <row r="274" spans="1:15" s="9" customFormat="1" x14ac:dyDescent="0.3">
      <c r="A274" s="166">
        <v>46154</v>
      </c>
      <c r="B274" s="61">
        <v>46154.527777777803</v>
      </c>
      <c r="C274" s="138">
        <f t="shared" si="28"/>
        <v>46154.527777777803</v>
      </c>
      <c r="D274" s="19" t="s">
        <v>30</v>
      </c>
      <c r="E274" s="8" t="s">
        <v>14</v>
      </c>
      <c r="F274" s="7" t="s">
        <v>19</v>
      </c>
      <c r="G274" s="13" t="s">
        <v>93</v>
      </c>
      <c r="H274" s="105">
        <v>14.1</v>
      </c>
      <c r="I274" s="111">
        <v>14.2</v>
      </c>
      <c r="J274" s="11" t="str">
        <f t="shared" si="29"/>
        <v/>
      </c>
      <c r="K274" s="12" t="str">
        <f t="shared" si="30"/>
        <v/>
      </c>
      <c r="L274" s="125">
        <f t="shared" si="31"/>
        <v>9.9999999999999645E-2</v>
      </c>
      <c r="M274" s="47" t="str">
        <f t="shared" si="32"/>
        <v/>
      </c>
      <c r="N274" s="47" t="str">
        <f t="shared" si="33"/>
        <v/>
      </c>
      <c r="O274" s="47" t="str">
        <f t="shared" si="34"/>
        <v>Within Tolerance</v>
      </c>
    </row>
    <row r="275" spans="1:15" s="9" customFormat="1" x14ac:dyDescent="0.3">
      <c r="A275" s="167">
        <v>46154</v>
      </c>
      <c r="B275" s="61">
        <v>46154.552083333299</v>
      </c>
      <c r="C275" s="138">
        <f t="shared" si="28"/>
        <v>46154.552083333299</v>
      </c>
      <c r="D275" s="19" t="s">
        <v>55</v>
      </c>
      <c r="E275" s="8" t="s">
        <v>14</v>
      </c>
      <c r="F275" s="7" t="s">
        <v>19</v>
      </c>
      <c r="G275" s="13" t="s">
        <v>93</v>
      </c>
      <c r="H275" s="105">
        <v>14.1</v>
      </c>
      <c r="I275" s="111">
        <v>14.2</v>
      </c>
      <c r="J275" s="11" t="str">
        <f t="shared" si="29"/>
        <v/>
      </c>
      <c r="K275" s="12" t="str">
        <f t="shared" si="30"/>
        <v/>
      </c>
      <c r="L275" s="125">
        <f t="shared" si="31"/>
        <v>9.9999999999999645E-2</v>
      </c>
      <c r="M275" s="47" t="str">
        <f t="shared" si="32"/>
        <v/>
      </c>
      <c r="N275" s="47" t="str">
        <f t="shared" si="33"/>
        <v/>
      </c>
      <c r="O275" s="47" t="str">
        <f t="shared" si="34"/>
        <v>Within Tolerance</v>
      </c>
    </row>
    <row r="276" spans="1:15" s="9" customFormat="1" x14ac:dyDescent="0.3">
      <c r="A276" s="166">
        <v>46154</v>
      </c>
      <c r="B276" s="61">
        <v>46154.607638888898</v>
      </c>
      <c r="C276" s="138">
        <f t="shared" si="28"/>
        <v>46154.607638888898</v>
      </c>
      <c r="D276" s="19" t="s">
        <v>42</v>
      </c>
      <c r="E276" s="8" t="s">
        <v>10</v>
      </c>
      <c r="F276" s="7" t="s">
        <v>19</v>
      </c>
      <c r="G276" s="13" t="s">
        <v>93</v>
      </c>
      <c r="H276" s="105">
        <v>14.1</v>
      </c>
      <c r="I276" s="111">
        <v>14</v>
      </c>
      <c r="J276" s="11" t="str">
        <f t="shared" si="29"/>
        <v/>
      </c>
      <c r="K276" s="12" t="str">
        <f t="shared" si="30"/>
        <v/>
      </c>
      <c r="L276" s="125">
        <f t="shared" si="31"/>
        <v>-9.9999999999999645E-2</v>
      </c>
      <c r="M276" s="47" t="str">
        <f t="shared" si="32"/>
        <v/>
      </c>
      <c r="N276" s="47" t="str">
        <f t="shared" si="33"/>
        <v/>
      </c>
      <c r="O276" s="47" t="str">
        <f t="shared" si="34"/>
        <v>Within Tolerance</v>
      </c>
    </row>
    <row r="277" spans="1:15" s="9" customFormat="1" x14ac:dyDescent="0.3">
      <c r="A277" s="167">
        <v>46154</v>
      </c>
      <c r="B277" s="61">
        <v>46154.645833333299</v>
      </c>
      <c r="C277" s="138">
        <f t="shared" si="28"/>
        <v>46154.645833333299</v>
      </c>
      <c r="D277" s="19" t="s">
        <v>56</v>
      </c>
      <c r="E277" s="13" t="s">
        <v>14</v>
      </c>
      <c r="F277" s="7" t="s">
        <v>19</v>
      </c>
      <c r="G277" s="13" t="s">
        <v>93</v>
      </c>
      <c r="H277" s="105">
        <v>12.3</v>
      </c>
      <c r="I277" s="111">
        <v>12.1</v>
      </c>
      <c r="J277" s="11" t="str">
        <f t="shared" si="29"/>
        <v/>
      </c>
      <c r="K277" s="12" t="str">
        <f t="shared" si="30"/>
        <v/>
      </c>
      <c r="L277" s="125">
        <f t="shared" si="31"/>
        <v>-0.20000000000000107</v>
      </c>
      <c r="M277" s="47" t="str">
        <f t="shared" si="32"/>
        <v/>
      </c>
      <c r="N277" s="47" t="str">
        <f t="shared" si="33"/>
        <v/>
      </c>
      <c r="O277" s="47" t="str">
        <f t="shared" si="34"/>
        <v>Out of Tolerance</v>
      </c>
    </row>
    <row r="278" spans="1:15" s="9" customFormat="1" x14ac:dyDescent="0.3">
      <c r="A278" s="166">
        <v>46154</v>
      </c>
      <c r="B278" s="61">
        <v>46154.4375</v>
      </c>
      <c r="C278" s="138">
        <f t="shared" si="28"/>
        <v>46154.4375</v>
      </c>
      <c r="D278" s="19" t="s">
        <v>51</v>
      </c>
      <c r="E278" s="8" t="s">
        <v>10</v>
      </c>
      <c r="F278" s="7" t="s">
        <v>24</v>
      </c>
      <c r="G278" s="13" t="s">
        <v>93</v>
      </c>
      <c r="H278" s="105">
        <v>14</v>
      </c>
      <c r="I278" s="111">
        <v>13.8</v>
      </c>
      <c r="J278" s="11" t="str">
        <f t="shared" si="29"/>
        <v/>
      </c>
      <c r="K278" s="12" t="str">
        <f t="shared" si="30"/>
        <v/>
      </c>
      <c r="L278" s="125">
        <f t="shared" si="31"/>
        <v>-0.19999999999999929</v>
      </c>
      <c r="M278" s="47" t="str">
        <f t="shared" si="32"/>
        <v/>
      </c>
      <c r="N278" s="47" t="str">
        <f t="shared" si="33"/>
        <v/>
      </c>
      <c r="O278" s="47" t="str">
        <f t="shared" si="34"/>
        <v>Within Tolerance</v>
      </c>
    </row>
    <row r="279" spans="1:15" s="9" customFormat="1" x14ac:dyDescent="0.3">
      <c r="A279" s="167">
        <v>46154</v>
      </c>
      <c r="B279" s="61">
        <v>46154.694444444402</v>
      </c>
      <c r="C279" s="138">
        <f t="shared" si="28"/>
        <v>46154.694444444402</v>
      </c>
      <c r="D279" s="19" t="s">
        <v>50</v>
      </c>
      <c r="E279" s="8" t="s">
        <v>10</v>
      </c>
      <c r="F279" s="7" t="s">
        <v>24</v>
      </c>
      <c r="G279" s="13" t="s">
        <v>93</v>
      </c>
      <c r="H279" s="105">
        <v>13.8</v>
      </c>
      <c r="I279" s="111">
        <v>13.9</v>
      </c>
      <c r="J279" s="11" t="str">
        <f t="shared" si="29"/>
        <v/>
      </c>
      <c r="K279" s="12" t="str">
        <f t="shared" si="30"/>
        <v/>
      </c>
      <c r="L279" s="125">
        <f t="shared" si="31"/>
        <v>9.9999999999999645E-2</v>
      </c>
      <c r="M279" s="47" t="str">
        <f t="shared" si="32"/>
        <v/>
      </c>
      <c r="N279" s="47" t="str">
        <f t="shared" si="33"/>
        <v/>
      </c>
      <c r="O279" s="47" t="str">
        <f t="shared" si="34"/>
        <v>Within Tolerance</v>
      </c>
    </row>
    <row r="280" spans="1:15" s="9" customFormat="1" x14ac:dyDescent="0.3">
      <c r="A280" s="166">
        <v>46155</v>
      </c>
      <c r="B280" s="64">
        <v>46155.333333333299</v>
      </c>
      <c r="C280" s="142">
        <f t="shared" si="28"/>
        <v>46155.333333333299</v>
      </c>
      <c r="D280" s="19" t="s">
        <v>41</v>
      </c>
      <c r="E280" s="8" t="s">
        <v>10</v>
      </c>
      <c r="F280" s="7" t="s">
        <v>11</v>
      </c>
      <c r="G280" s="13">
        <v>14.06</v>
      </c>
      <c r="H280" s="106">
        <v>14.1</v>
      </c>
      <c r="I280" s="111">
        <v>14.2</v>
      </c>
      <c r="J280" s="11">
        <f t="shared" si="29"/>
        <v>3.9999999999999147E-2</v>
      </c>
      <c r="K280" s="12">
        <f t="shared" si="30"/>
        <v>0.13999999999999879</v>
      </c>
      <c r="L280" s="125">
        <f t="shared" si="31"/>
        <v>9.9999999999999645E-2</v>
      </c>
      <c r="M280" s="47" t="str">
        <f t="shared" si="32"/>
        <v>Within Tolerance</v>
      </c>
      <c r="N280" s="47" t="str">
        <f t="shared" si="33"/>
        <v>Within Tolerance</v>
      </c>
      <c r="O280" s="47" t="str">
        <f t="shared" si="34"/>
        <v>Within Tolerance</v>
      </c>
    </row>
    <row r="281" spans="1:15" s="9" customFormat="1" x14ac:dyDescent="0.3">
      <c r="A281" s="167">
        <v>46155</v>
      </c>
      <c r="B281" s="64">
        <v>46155.46875</v>
      </c>
      <c r="C281" s="142">
        <f t="shared" si="28"/>
        <v>46155.46875</v>
      </c>
      <c r="D281" s="19" t="s">
        <v>41</v>
      </c>
      <c r="E281" s="8" t="s">
        <v>10</v>
      </c>
      <c r="F281" s="7" t="s">
        <v>11</v>
      </c>
      <c r="G281" s="13" t="s">
        <v>93</v>
      </c>
      <c r="H281" s="106">
        <v>14.3</v>
      </c>
      <c r="I281" s="111"/>
      <c r="J281" s="11" t="str">
        <f t="shared" si="29"/>
        <v/>
      </c>
      <c r="K281" s="12" t="str">
        <f t="shared" si="30"/>
        <v/>
      </c>
      <c r="L281" s="125" t="str">
        <f t="shared" si="31"/>
        <v/>
      </c>
      <c r="M281" s="47" t="str">
        <f t="shared" si="32"/>
        <v/>
      </c>
      <c r="N281" s="47" t="str">
        <f t="shared" si="33"/>
        <v/>
      </c>
      <c r="O281" s="47" t="str">
        <f t="shared" si="34"/>
        <v/>
      </c>
    </row>
    <row r="282" spans="1:15" s="9" customFormat="1" x14ac:dyDescent="0.3">
      <c r="A282" s="166">
        <v>46155</v>
      </c>
      <c r="B282" s="64">
        <v>46155.5</v>
      </c>
      <c r="C282" s="142">
        <f t="shared" si="28"/>
        <v>46155.5</v>
      </c>
      <c r="D282" s="19" t="s">
        <v>41</v>
      </c>
      <c r="E282" s="8" t="s">
        <v>10</v>
      </c>
      <c r="F282" s="7" t="s">
        <v>11</v>
      </c>
      <c r="G282" s="13" t="s">
        <v>93</v>
      </c>
      <c r="H282" s="106">
        <v>14.3</v>
      </c>
      <c r="I282" s="111">
        <v>14.4</v>
      </c>
      <c r="J282" s="11" t="str">
        <f t="shared" si="29"/>
        <v/>
      </c>
      <c r="K282" s="12" t="str">
        <f t="shared" si="30"/>
        <v/>
      </c>
      <c r="L282" s="125">
        <f t="shared" si="31"/>
        <v>9.9999999999999645E-2</v>
      </c>
      <c r="M282" s="47" t="str">
        <f t="shared" si="32"/>
        <v/>
      </c>
      <c r="N282" s="47" t="str">
        <f t="shared" si="33"/>
        <v/>
      </c>
      <c r="O282" s="47" t="str">
        <f t="shared" si="34"/>
        <v>Within Tolerance</v>
      </c>
    </row>
    <row r="283" spans="1:15" s="9" customFormat="1" x14ac:dyDescent="0.3">
      <c r="A283" s="167">
        <v>46155</v>
      </c>
      <c r="B283" s="64">
        <v>46155.583333333299</v>
      </c>
      <c r="C283" s="142">
        <f t="shared" si="28"/>
        <v>46155.583333333299</v>
      </c>
      <c r="D283" s="19" t="s">
        <v>41</v>
      </c>
      <c r="E283" s="8" t="s">
        <v>10</v>
      </c>
      <c r="F283" s="7" t="s">
        <v>11</v>
      </c>
      <c r="G283" s="13" t="s">
        <v>93</v>
      </c>
      <c r="H283" s="106">
        <v>14</v>
      </c>
      <c r="I283" s="111">
        <v>14</v>
      </c>
      <c r="J283" s="11" t="str">
        <f t="shared" si="29"/>
        <v/>
      </c>
      <c r="K283" s="12" t="str">
        <f t="shared" si="30"/>
        <v/>
      </c>
      <c r="L283" s="125">
        <f t="shared" si="31"/>
        <v>0</v>
      </c>
      <c r="M283" s="47" t="str">
        <f t="shared" si="32"/>
        <v/>
      </c>
      <c r="N283" s="47" t="str">
        <f t="shared" si="33"/>
        <v/>
      </c>
      <c r="O283" s="47" t="str">
        <f t="shared" si="34"/>
        <v>Within Tolerance</v>
      </c>
    </row>
    <row r="284" spans="1:15" s="9" customFormat="1" x14ac:dyDescent="0.3">
      <c r="A284" s="166">
        <v>46155</v>
      </c>
      <c r="B284" s="64">
        <v>46155.666666666701</v>
      </c>
      <c r="C284" s="142">
        <f t="shared" si="28"/>
        <v>46155.666666666701</v>
      </c>
      <c r="D284" s="19" t="s">
        <v>41</v>
      </c>
      <c r="E284" s="8" t="s">
        <v>10</v>
      </c>
      <c r="F284" s="7" t="s">
        <v>11</v>
      </c>
      <c r="G284" s="13" t="s">
        <v>93</v>
      </c>
      <c r="H284" s="106">
        <v>14.1</v>
      </c>
      <c r="I284" s="111">
        <v>14</v>
      </c>
      <c r="J284" s="11" t="str">
        <f t="shared" si="29"/>
        <v/>
      </c>
      <c r="K284" s="12" t="str">
        <f t="shared" si="30"/>
        <v/>
      </c>
      <c r="L284" s="125">
        <f t="shared" si="31"/>
        <v>-9.9999999999999645E-2</v>
      </c>
      <c r="M284" s="47" t="str">
        <f t="shared" si="32"/>
        <v/>
      </c>
      <c r="N284" s="47" t="str">
        <f t="shared" si="33"/>
        <v/>
      </c>
      <c r="O284" s="47" t="str">
        <f t="shared" si="34"/>
        <v>Within Tolerance</v>
      </c>
    </row>
    <row r="285" spans="1:15" s="9" customFormat="1" x14ac:dyDescent="0.3">
      <c r="A285" s="167">
        <v>46155</v>
      </c>
      <c r="B285" s="64">
        <v>46155.75</v>
      </c>
      <c r="C285" s="142">
        <f t="shared" si="28"/>
        <v>46155.75</v>
      </c>
      <c r="D285" s="19" t="s">
        <v>41</v>
      </c>
      <c r="E285" s="8" t="s">
        <v>10</v>
      </c>
      <c r="F285" s="7" t="s">
        <v>11</v>
      </c>
      <c r="G285" s="13" t="s">
        <v>93</v>
      </c>
      <c r="H285" s="106">
        <v>14.2</v>
      </c>
      <c r="I285" s="111">
        <v>14</v>
      </c>
      <c r="J285" s="11" t="str">
        <f t="shared" si="29"/>
        <v/>
      </c>
      <c r="K285" s="12" t="str">
        <f t="shared" si="30"/>
        <v/>
      </c>
      <c r="L285" s="125">
        <f t="shared" si="31"/>
        <v>-0.19999999999999929</v>
      </c>
      <c r="M285" s="47" t="str">
        <f t="shared" si="32"/>
        <v/>
      </c>
      <c r="N285" s="47" t="str">
        <f t="shared" si="33"/>
        <v/>
      </c>
      <c r="O285" s="47" t="str">
        <f t="shared" si="34"/>
        <v>Within Tolerance</v>
      </c>
    </row>
    <row r="286" spans="1:15" s="9" customFormat="1" x14ac:dyDescent="0.3">
      <c r="A286" s="166">
        <v>46155</v>
      </c>
      <c r="B286" s="64">
        <v>46155.833333333299</v>
      </c>
      <c r="C286" s="142">
        <f t="shared" si="28"/>
        <v>46155.833333333299</v>
      </c>
      <c r="D286" s="19" t="s">
        <v>41</v>
      </c>
      <c r="E286" s="8" t="s">
        <v>10</v>
      </c>
      <c r="F286" s="7" t="s">
        <v>11</v>
      </c>
      <c r="G286" s="13" t="s">
        <v>93</v>
      </c>
      <c r="H286" s="106">
        <v>14</v>
      </c>
      <c r="I286" s="111">
        <v>13.9</v>
      </c>
      <c r="J286" s="11" t="str">
        <f t="shared" si="29"/>
        <v/>
      </c>
      <c r="K286" s="12" t="str">
        <f t="shared" si="30"/>
        <v/>
      </c>
      <c r="L286" s="125">
        <f t="shared" si="31"/>
        <v>-9.9999999999999645E-2</v>
      </c>
      <c r="M286" s="47" t="str">
        <f t="shared" si="32"/>
        <v/>
      </c>
      <c r="N286" s="47" t="str">
        <f t="shared" si="33"/>
        <v/>
      </c>
      <c r="O286" s="47" t="str">
        <f t="shared" si="34"/>
        <v>Within Tolerance</v>
      </c>
    </row>
    <row r="287" spans="1:15" s="9" customFormat="1" x14ac:dyDescent="0.3">
      <c r="A287" s="167">
        <v>46155</v>
      </c>
      <c r="B287" s="64">
        <v>46155.916666666701</v>
      </c>
      <c r="C287" s="142">
        <f t="shared" si="28"/>
        <v>46155.916666666701</v>
      </c>
      <c r="D287" s="19" t="s">
        <v>41</v>
      </c>
      <c r="E287" s="8" t="s">
        <v>10</v>
      </c>
      <c r="F287" s="7" t="s">
        <v>11</v>
      </c>
      <c r="G287" s="13" t="s">
        <v>93</v>
      </c>
      <c r="H287" s="106">
        <v>14.1</v>
      </c>
      <c r="I287" s="111">
        <v>14.1</v>
      </c>
      <c r="J287" s="11" t="str">
        <f t="shared" si="29"/>
        <v/>
      </c>
      <c r="K287" s="12" t="str">
        <f t="shared" si="30"/>
        <v/>
      </c>
      <c r="L287" s="125">
        <f t="shared" si="31"/>
        <v>0</v>
      </c>
      <c r="M287" s="47" t="str">
        <f t="shared" si="32"/>
        <v/>
      </c>
      <c r="N287" s="47" t="str">
        <f t="shared" si="33"/>
        <v/>
      </c>
      <c r="O287" s="47" t="str">
        <f t="shared" si="34"/>
        <v>Within Tolerance</v>
      </c>
    </row>
    <row r="288" spans="1:15" s="9" customFormat="1" x14ac:dyDescent="0.3">
      <c r="A288" s="166">
        <v>46156</v>
      </c>
      <c r="B288" s="64">
        <v>46156</v>
      </c>
      <c r="C288" s="142">
        <f t="shared" si="28"/>
        <v>46156</v>
      </c>
      <c r="D288" s="19" t="s">
        <v>41</v>
      </c>
      <c r="E288" s="8" t="s">
        <v>10</v>
      </c>
      <c r="F288" s="7" t="s">
        <v>11</v>
      </c>
      <c r="G288" s="13" t="s">
        <v>93</v>
      </c>
      <c r="H288" s="106">
        <v>14.1</v>
      </c>
      <c r="I288" s="111">
        <v>14.1</v>
      </c>
      <c r="J288" s="11" t="str">
        <f t="shared" si="29"/>
        <v/>
      </c>
      <c r="K288" s="12" t="str">
        <f t="shared" si="30"/>
        <v/>
      </c>
      <c r="L288" s="125">
        <f t="shared" si="31"/>
        <v>0</v>
      </c>
      <c r="M288" s="47" t="str">
        <f t="shared" si="32"/>
        <v/>
      </c>
      <c r="N288" s="47" t="str">
        <f t="shared" si="33"/>
        <v/>
      </c>
      <c r="O288" s="47" t="str">
        <f t="shared" si="34"/>
        <v>Within Tolerance</v>
      </c>
    </row>
    <row r="289" spans="1:15" s="9" customFormat="1" x14ac:dyDescent="0.3">
      <c r="A289" s="167">
        <v>46156</v>
      </c>
      <c r="B289" s="64">
        <v>46156.083333333299</v>
      </c>
      <c r="C289" s="142">
        <f t="shared" si="28"/>
        <v>46156.083333333299</v>
      </c>
      <c r="D289" s="19" t="s">
        <v>41</v>
      </c>
      <c r="E289" s="8" t="s">
        <v>10</v>
      </c>
      <c r="F289" s="7" t="s">
        <v>11</v>
      </c>
      <c r="G289" s="13" t="s">
        <v>93</v>
      </c>
      <c r="H289" s="106">
        <v>14.2</v>
      </c>
      <c r="I289" s="111">
        <v>14.2</v>
      </c>
      <c r="J289" s="11" t="str">
        <f t="shared" si="29"/>
        <v/>
      </c>
      <c r="K289" s="12" t="str">
        <f t="shared" si="30"/>
        <v/>
      </c>
      <c r="L289" s="125">
        <f t="shared" si="31"/>
        <v>0</v>
      </c>
      <c r="M289" s="47" t="str">
        <f t="shared" si="32"/>
        <v/>
      </c>
      <c r="N289" s="47" t="str">
        <f t="shared" si="33"/>
        <v/>
      </c>
      <c r="O289" s="47" t="str">
        <f t="shared" si="34"/>
        <v>Within Tolerance</v>
      </c>
    </row>
    <row r="290" spans="1:15" s="9" customFormat="1" x14ac:dyDescent="0.3">
      <c r="A290" s="166">
        <v>46156</v>
      </c>
      <c r="B290" s="64">
        <v>46156.166666666701</v>
      </c>
      <c r="C290" s="142">
        <f t="shared" si="28"/>
        <v>46156.166666666701</v>
      </c>
      <c r="D290" s="19" t="s">
        <v>41</v>
      </c>
      <c r="E290" s="8" t="s">
        <v>10</v>
      </c>
      <c r="F290" s="7" t="s">
        <v>11</v>
      </c>
      <c r="G290" s="13" t="s">
        <v>93</v>
      </c>
      <c r="H290" s="106">
        <v>14.2</v>
      </c>
      <c r="I290" s="111">
        <v>14.2</v>
      </c>
      <c r="J290" s="11" t="str">
        <f t="shared" si="29"/>
        <v/>
      </c>
      <c r="K290" s="12" t="str">
        <f t="shared" si="30"/>
        <v/>
      </c>
      <c r="L290" s="125">
        <f t="shared" si="31"/>
        <v>0</v>
      </c>
      <c r="M290" s="47" t="str">
        <f t="shared" si="32"/>
        <v/>
      </c>
      <c r="N290" s="47" t="str">
        <f t="shared" si="33"/>
        <v/>
      </c>
      <c r="O290" s="47" t="str">
        <f t="shared" si="34"/>
        <v>Within Tolerance</v>
      </c>
    </row>
    <row r="291" spans="1:15" s="9" customFormat="1" x14ac:dyDescent="0.3">
      <c r="A291" s="167">
        <v>46156</v>
      </c>
      <c r="B291" s="64">
        <v>46156.28125</v>
      </c>
      <c r="C291" s="142">
        <f t="shared" si="28"/>
        <v>46156.28125</v>
      </c>
      <c r="D291" s="19" t="s">
        <v>41</v>
      </c>
      <c r="E291" s="8" t="s">
        <v>10</v>
      </c>
      <c r="F291" s="7" t="s">
        <v>11</v>
      </c>
      <c r="G291" s="13" t="s">
        <v>93</v>
      </c>
      <c r="H291" s="106">
        <v>14.1</v>
      </c>
      <c r="I291" s="111">
        <v>14.3</v>
      </c>
      <c r="J291" s="11" t="str">
        <f t="shared" si="29"/>
        <v/>
      </c>
      <c r="K291" s="12" t="str">
        <f t="shared" si="30"/>
        <v/>
      </c>
      <c r="L291" s="125">
        <f t="shared" si="31"/>
        <v>0.20000000000000107</v>
      </c>
      <c r="M291" s="47" t="str">
        <f t="shared" si="32"/>
        <v/>
      </c>
      <c r="N291" s="47" t="str">
        <f t="shared" si="33"/>
        <v/>
      </c>
      <c r="O291" s="47" t="str">
        <f t="shared" si="34"/>
        <v>Out of Tolerance</v>
      </c>
    </row>
    <row r="292" spans="1:15" s="9" customFormat="1" x14ac:dyDescent="0.3">
      <c r="A292" s="166">
        <v>46155</v>
      </c>
      <c r="B292" s="64">
        <v>46155.333333333299</v>
      </c>
      <c r="C292" s="142">
        <f t="shared" si="28"/>
        <v>46155.333333333299</v>
      </c>
      <c r="D292" s="19" t="s">
        <v>41</v>
      </c>
      <c r="E292" s="8" t="s">
        <v>10</v>
      </c>
      <c r="F292" s="7" t="s">
        <v>15</v>
      </c>
      <c r="G292" s="13" t="s">
        <v>93</v>
      </c>
      <c r="H292" s="106">
        <v>14.3</v>
      </c>
      <c r="I292" s="111"/>
      <c r="J292" s="11" t="str">
        <f t="shared" si="29"/>
        <v/>
      </c>
      <c r="K292" s="12" t="str">
        <f t="shared" si="30"/>
        <v/>
      </c>
      <c r="L292" s="125" t="str">
        <f t="shared" si="31"/>
        <v/>
      </c>
      <c r="M292" s="47" t="str">
        <f t="shared" si="32"/>
        <v/>
      </c>
      <c r="N292" s="47" t="str">
        <f t="shared" si="33"/>
        <v/>
      </c>
      <c r="O292" s="47" t="str">
        <f t="shared" si="34"/>
        <v/>
      </c>
    </row>
    <row r="293" spans="1:15" s="9" customFormat="1" x14ac:dyDescent="0.3">
      <c r="A293" s="167">
        <v>46155</v>
      </c>
      <c r="B293" s="64">
        <v>46155.385416666701</v>
      </c>
      <c r="C293" s="142">
        <f t="shared" si="28"/>
        <v>46155.385416666701</v>
      </c>
      <c r="D293" s="19" t="s">
        <v>29</v>
      </c>
      <c r="E293" s="8" t="s">
        <v>10</v>
      </c>
      <c r="F293" s="7" t="s">
        <v>15</v>
      </c>
      <c r="G293" s="13" t="s">
        <v>93</v>
      </c>
      <c r="H293" s="106">
        <v>14.1</v>
      </c>
      <c r="I293" s="111"/>
      <c r="J293" s="11" t="str">
        <f t="shared" si="29"/>
        <v/>
      </c>
      <c r="K293" s="12" t="str">
        <f t="shared" si="30"/>
        <v/>
      </c>
      <c r="L293" s="125" t="str">
        <f t="shared" si="31"/>
        <v/>
      </c>
      <c r="M293" s="47" t="str">
        <f t="shared" si="32"/>
        <v/>
      </c>
      <c r="N293" s="47" t="str">
        <f t="shared" si="33"/>
        <v/>
      </c>
      <c r="O293" s="47" t="str">
        <f t="shared" si="34"/>
        <v/>
      </c>
    </row>
    <row r="294" spans="1:15" s="9" customFormat="1" x14ac:dyDescent="0.3">
      <c r="A294" s="166">
        <v>46155</v>
      </c>
      <c r="B294" s="64">
        <v>46155.416666666701</v>
      </c>
      <c r="C294" s="142">
        <f t="shared" si="28"/>
        <v>46155.416666666701</v>
      </c>
      <c r="D294" s="19" t="s">
        <v>29</v>
      </c>
      <c r="E294" s="8" t="s">
        <v>10</v>
      </c>
      <c r="F294" s="7" t="s">
        <v>15</v>
      </c>
      <c r="G294" s="13">
        <v>14.06</v>
      </c>
      <c r="H294" s="106">
        <v>14.1</v>
      </c>
      <c r="I294" s="111">
        <v>14.1</v>
      </c>
      <c r="J294" s="11">
        <f t="shared" si="29"/>
        <v>3.9999999999999147E-2</v>
      </c>
      <c r="K294" s="12">
        <f t="shared" si="30"/>
        <v>3.9999999999999147E-2</v>
      </c>
      <c r="L294" s="125">
        <f t="shared" si="31"/>
        <v>0</v>
      </c>
      <c r="M294" s="47" t="str">
        <f t="shared" si="32"/>
        <v>Within Tolerance</v>
      </c>
      <c r="N294" s="47" t="str">
        <f t="shared" si="33"/>
        <v>Within Tolerance</v>
      </c>
      <c r="O294" s="47" t="str">
        <f t="shared" si="34"/>
        <v>Within Tolerance</v>
      </c>
    </row>
    <row r="295" spans="1:15" s="9" customFormat="1" x14ac:dyDescent="0.3">
      <c r="A295" s="167">
        <v>46155</v>
      </c>
      <c r="B295" s="64">
        <v>46155.5</v>
      </c>
      <c r="C295" s="142">
        <f t="shared" si="28"/>
        <v>46155.5</v>
      </c>
      <c r="D295" s="19" t="s">
        <v>29</v>
      </c>
      <c r="E295" s="8" t="s">
        <v>10</v>
      </c>
      <c r="F295" s="7" t="s">
        <v>15</v>
      </c>
      <c r="G295" s="13" t="s">
        <v>93</v>
      </c>
      <c r="H295" s="106">
        <v>14.2</v>
      </c>
      <c r="I295" s="111">
        <v>14.3</v>
      </c>
      <c r="J295" s="11" t="str">
        <f t="shared" si="29"/>
        <v/>
      </c>
      <c r="K295" s="12" t="str">
        <f t="shared" si="30"/>
        <v/>
      </c>
      <c r="L295" s="125">
        <f t="shared" si="31"/>
        <v>0.10000000000000142</v>
      </c>
      <c r="M295" s="47" t="str">
        <f t="shared" si="32"/>
        <v/>
      </c>
      <c r="N295" s="47" t="str">
        <f t="shared" si="33"/>
        <v/>
      </c>
      <c r="O295" s="47" t="str">
        <f t="shared" si="34"/>
        <v>Within Tolerance</v>
      </c>
    </row>
    <row r="296" spans="1:15" s="9" customFormat="1" x14ac:dyDescent="0.3">
      <c r="A296" s="166">
        <v>46155</v>
      </c>
      <c r="B296" s="64">
        <v>46155.583333333299</v>
      </c>
      <c r="C296" s="142">
        <f t="shared" si="28"/>
        <v>46155.583333333299</v>
      </c>
      <c r="D296" s="19" t="s">
        <v>29</v>
      </c>
      <c r="E296" s="8" t="s">
        <v>10</v>
      </c>
      <c r="F296" s="7" t="s">
        <v>15</v>
      </c>
      <c r="G296" s="13" t="s">
        <v>93</v>
      </c>
      <c r="H296" s="106">
        <v>14.2</v>
      </c>
      <c r="I296" s="111">
        <v>14.2</v>
      </c>
      <c r="J296" s="11" t="str">
        <f t="shared" si="29"/>
        <v/>
      </c>
      <c r="K296" s="12" t="str">
        <f t="shared" si="30"/>
        <v/>
      </c>
      <c r="L296" s="125">
        <f t="shared" si="31"/>
        <v>0</v>
      </c>
      <c r="M296" s="47" t="str">
        <f t="shared" si="32"/>
        <v/>
      </c>
      <c r="N296" s="47" t="str">
        <f t="shared" si="33"/>
        <v/>
      </c>
      <c r="O296" s="47" t="str">
        <f t="shared" si="34"/>
        <v>Within Tolerance</v>
      </c>
    </row>
    <row r="297" spans="1:15" s="9" customFormat="1" x14ac:dyDescent="0.3">
      <c r="A297" s="167">
        <v>46155</v>
      </c>
      <c r="B297" s="64">
        <v>46155.666666666701</v>
      </c>
      <c r="C297" s="142">
        <f t="shared" si="28"/>
        <v>46155.666666666701</v>
      </c>
      <c r="D297" s="19" t="s">
        <v>29</v>
      </c>
      <c r="E297" s="8" t="s">
        <v>10</v>
      </c>
      <c r="F297" s="7" t="s">
        <v>15</v>
      </c>
      <c r="G297" s="13" t="s">
        <v>93</v>
      </c>
      <c r="H297" s="106">
        <v>14.2</v>
      </c>
      <c r="I297" s="111">
        <v>14.2</v>
      </c>
      <c r="J297" s="11" t="str">
        <f t="shared" si="29"/>
        <v/>
      </c>
      <c r="K297" s="12" t="str">
        <f t="shared" si="30"/>
        <v/>
      </c>
      <c r="L297" s="125">
        <f t="shared" si="31"/>
        <v>0</v>
      </c>
      <c r="M297" s="47" t="str">
        <f t="shared" si="32"/>
        <v/>
      </c>
      <c r="N297" s="47" t="str">
        <f t="shared" si="33"/>
        <v/>
      </c>
      <c r="O297" s="47" t="str">
        <f t="shared" si="34"/>
        <v>Within Tolerance</v>
      </c>
    </row>
    <row r="298" spans="1:15" s="9" customFormat="1" x14ac:dyDescent="0.3">
      <c r="A298" s="166">
        <v>46155</v>
      </c>
      <c r="B298" s="64">
        <v>46155.75</v>
      </c>
      <c r="C298" s="142">
        <f t="shared" si="28"/>
        <v>46155.75</v>
      </c>
      <c r="D298" s="19" t="s">
        <v>29</v>
      </c>
      <c r="E298" s="8" t="s">
        <v>10</v>
      </c>
      <c r="F298" s="7" t="s">
        <v>15</v>
      </c>
      <c r="G298" s="13" t="s">
        <v>93</v>
      </c>
      <c r="H298" s="106">
        <v>14.2</v>
      </c>
      <c r="I298" s="111">
        <v>14.1</v>
      </c>
      <c r="J298" s="11" t="str">
        <f t="shared" si="29"/>
        <v/>
      </c>
      <c r="K298" s="12" t="str">
        <f t="shared" si="30"/>
        <v/>
      </c>
      <c r="L298" s="125">
        <f t="shared" si="31"/>
        <v>-9.9999999999999645E-2</v>
      </c>
      <c r="M298" s="47" t="str">
        <f t="shared" si="32"/>
        <v/>
      </c>
      <c r="N298" s="47" t="str">
        <f t="shared" si="33"/>
        <v/>
      </c>
      <c r="O298" s="47" t="str">
        <f t="shared" si="34"/>
        <v>Within Tolerance</v>
      </c>
    </row>
    <row r="299" spans="1:15" s="9" customFormat="1" x14ac:dyDescent="0.3">
      <c r="A299" s="167">
        <v>46155</v>
      </c>
      <c r="B299" s="64">
        <v>46155.850694444402</v>
      </c>
      <c r="C299" s="142">
        <f t="shared" si="28"/>
        <v>46155.850694444402</v>
      </c>
      <c r="D299" s="19" t="s">
        <v>41</v>
      </c>
      <c r="E299" s="8" t="s">
        <v>10</v>
      </c>
      <c r="F299" s="7" t="s">
        <v>15</v>
      </c>
      <c r="G299" s="13" t="s">
        <v>93</v>
      </c>
      <c r="H299" s="106">
        <v>14</v>
      </c>
      <c r="I299" s="111">
        <v>13.9</v>
      </c>
      <c r="J299" s="11" t="str">
        <f t="shared" si="29"/>
        <v/>
      </c>
      <c r="K299" s="12" t="str">
        <f t="shared" si="30"/>
        <v/>
      </c>
      <c r="L299" s="125">
        <f t="shared" si="31"/>
        <v>-9.9999999999999645E-2</v>
      </c>
      <c r="M299" s="47" t="str">
        <f t="shared" si="32"/>
        <v/>
      </c>
      <c r="N299" s="47" t="str">
        <f t="shared" si="33"/>
        <v/>
      </c>
      <c r="O299" s="47" t="str">
        <f t="shared" si="34"/>
        <v>Within Tolerance</v>
      </c>
    </row>
    <row r="300" spans="1:15" s="9" customFormat="1" x14ac:dyDescent="0.3">
      <c r="A300" s="166">
        <v>46155</v>
      </c>
      <c r="B300" s="64">
        <v>46155.916666666701</v>
      </c>
      <c r="C300" s="142">
        <f t="shared" si="28"/>
        <v>46155.916666666701</v>
      </c>
      <c r="D300" s="19" t="s">
        <v>41</v>
      </c>
      <c r="E300" s="8" t="s">
        <v>10</v>
      </c>
      <c r="F300" s="7" t="s">
        <v>15</v>
      </c>
      <c r="G300" s="13" t="s">
        <v>93</v>
      </c>
      <c r="H300" s="106">
        <v>14.2</v>
      </c>
      <c r="I300" s="111">
        <v>14.1</v>
      </c>
      <c r="J300" s="11" t="str">
        <f t="shared" si="29"/>
        <v/>
      </c>
      <c r="K300" s="12" t="str">
        <f t="shared" si="30"/>
        <v/>
      </c>
      <c r="L300" s="125">
        <f t="shared" si="31"/>
        <v>-9.9999999999999645E-2</v>
      </c>
      <c r="M300" s="47" t="str">
        <f t="shared" si="32"/>
        <v/>
      </c>
      <c r="N300" s="47" t="str">
        <f t="shared" si="33"/>
        <v/>
      </c>
      <c r="O300" s="47" t="str">
        <f t="shared" si="34"/>
        <v>Within Tolerance</v>
      </c>
    </row>
    <row r="301" spans="1:15" s="9" customFormat="1" x14ac:dyDescent="0.3">
      <c r="A301" s="167">
        <v>46156</v>
      </c>
      <c r="B301" s="64">
        <v>46156</v>
      </c>
      <c r="C301" s="142">
        <f t="shared" si="28"/>
        <v>46156</v>
      </c>
      <c r="D301" s="19" t="s">
        <v>41</v>
      </c>
      <c r="E301" s="8" t="s">
        <v>10</v>
      </c>
      <c r="F301" s="7" t="s">
        <v>15</v>
      </c>
      <c r="G301" s="13" t="s">
        <v>93</v>
      </c>
      <c r="H301" s="106">
        <v>14.1</v>
      </c>
      <c r="I301" s="111">
        <v>14.1</v>
      </c>
      <c r="J301" s="11" t="str">
        <f t="shared" si="29"/>
        <v/>
      </c>
      <c r="K301" s="12" t="str">
        <f t="shared" si="30"/>
        <v/>
      </c>
      <c r="L301" s="125">
        <f t="shared" si="31"/>
        <v>0</v>
      </c>
      <c r="M301" s="47" t="str">
        <f t="shared" si="32"/>
        <v/>
      </c>
      <c r="N301" s="47" t="str">
        <f t="shared" si="33"/>
        <v/>
      </c>
      <c r="O301" s="47" t="str">
        <f t="shared" si="34"/>
        <v>Within Tolerance</v>
      </c>
    </row>
    <row r="302" spans="1:15" s="9" customFormat="1" x14ac:dyDescent="0.3">
      <c r="A302" s="166">
        <v>46156</v>
      </c>
      <c r="B302" s="64">
        <v>46156.083333333299</v>
      </c>
      <c r="C302" s="142">
        <f t="shared" si="28"/>
        <v>46156.083333333299</v>
      </c>
      <c r="D302" s="19" t="s">
        <v>41</v>
      </c>
      <c r="E302" s="8" t="s">
        <v>10</v>
      </c>
      <c r="F302" s="7" t="s">
        <v>15</v>
      </c>
      <c r="G302" s="13" t="s">
        <v>93</v>
      </c>
      <c r="H302" s="106">
        <v>14.2</v>
      </c>
      <c r="I302" s="111">
        <v>14.1</v>
      </c>
      <c r="J302" s="11" t="str">
        <f t="shared" si="29"/>
        <v/>
      </c>
      <c r="K302" s="12" t="str">
        <f t="shared" si="30"/>
        <v/>
      </c>
      <c r="L302" s="125">
        <f t="shared" si="31"/>
        <v>-9.9999999999999645E-2</v>
      </c>
      <c r="M302" s="47" t="str">
        <f t="shared" si="32"/>
        <v/>
      </c>
      <c r="N302" s="47" t="str">
        <f t="shared" si="33"/>
        <v/>
      </c>
      <c r="O302" s="47" t="str">
        <f t="shared" si="34"/>
        <v>Within Tolerance</v>
      </c>
    </row>
    <row r="303" spans="1:15" s="9" customFormat="1" x14ac:dyDescent="0.3">
      <c r="A303" s="167">
        <v>46156</v>
      </c>
      <c r="B303" s="64">
        <v>46156.166666666701</v>
      </c>
      <c r="C303" s="142">
        <f t="shared" si="28"/>
        <v>46156.166666666701</v>
      </c>
      <c r="D303" s="19" t="s">
        <v>41</v>
      </c>
      <c r="E303" s="8" t="s">
        <v>10</v>
      </c>
      <c r="F303" s="7" t="s">
        <v>15</v>
      </c>
      <c r="G303" s="13" t="s">
        <v>93</v>
      </c>
      <c r="H303" s="106">
        <v>14.3</v>
      </c>
      <c r="I303" s="111">
        <v>14.2</v>
      </c>
      <c r="J303" s="11" t="str">
        <f t="shared" si="29"/>
        <v/>
      </c>
      <c r="K303" s="12" t="str">
        <f t="shared" si="30"/>
        <v/>
      </c>
      <c r="L303" s="125">
        <f t="shared" si="31"/>
        <v>-0.10000000000000142</v>
      </c>
      <c r="M303" s="47" t="str">
        <f t="shared" si="32"/>
        <v/>
      </c>
      <c r="N303" s="47" t="str">
        <f t="shared" si="33"/>
        <v/>
      </c>
      <c r="O303" s="47" t="str">
        <f t="shared" si="34"/>
        <v>Within Tolerance</v>
      </c>
    </row>
    <row r="304" spans="1:15" s="9" customFormat="1" x14ac:dyDescent="0.3">
      <c r="A304" s="166">
        <v>46156</v>
      </c>
      <c r="B304" s="64">
        <v>46156.25</v>
      </c>
      <c r="C304" s="142">
        <f t="shared" si="28"/>
        <v>46156.25</v>
      </c>
      <c r="D304" s="19" t="s">
        <v>41</v>
      </c>
      <c r="E304" s="8" t="s">
        <v>10</v>
      </c>
      <c r="F304" s="7" t="s">
        <v>15</v>
      </c>
      <c r="G304" s="13" t="s">
        <v>93</v>
      </c>
      <c r="H304" s="106">
        <v>14.2</v>
      </c>
      <c r="I304" s="111">
        <v>14.2</v>
      </c>
      <c r="J304" s="11" t="str">
        <f t="shared" si="29"/>
        <v/>
      </c>
      <c r="K304" s="12" t="str">
        <f t="shared" si="30"/>
        <v/>
      </c>
      <c r="L304" s="125">
        <f t="shared" si="31"/>
        <v>0</v>
      </c>
      <c r="M304" s="47" t="str">
        <f t="shared" si="32"/>
        <v/>
      </c>
      <c r="N304" s="47" t="str">
        <f t="shared" si="33"/>
        <v/>
      </c>
      <c r="O304" s="47" t="str">
        <f t="shared" si="34"/>
        <v>Within Tolerance</v>
      </c>
    </row>
    <row r="305" spans="1:15" s="9" customFormat="1" x14ac:dyDescent="0.3">
      <c r="A305" s="167">
        <v>46155</v>
      </c>
      <c r="B305" s="64">
        <v>46155.423611111102</v>
      </c>
      <c r="C305" s="142">
        <f t="shared" si="28"/>
        <v>46155.423611111102</v>
      </c>
      <c r="D305" s="19" t="s">
        <v>55</v>
      </c>
      <c r="E305" s="13" t="s">
        <v>14</v>
      </c>
      <c r="F305" s="7" t="s">
        <v>19</v>
      </c>
      <c r="G305" s="13" t="s">
        <v>93</v>
      </c>
      <c r="H305" s="106">
        <v>14.1</v>
      </c>
      <c r="I305" s="111">
        <v>14.2</v>
      </c>
      <c r="J305" s="11" t="str">
        <f t="shared" si="29"/>
        <v/>
      </c>
      <c r="K305" s="12" t="str">
        <f t="shared" si="30"/>
        <v/>
      </c>
      <c r="L305" s="125">
        <f t="shared" si="31"/>
        <v>9.9999999999999645E-2</v>
      </c>
      <c r="M305" s="47" t="str">
        <f t="shared" si="32"/>
        <v/>
      </c>
      <c r="N305" s="47" t="str">
        <f t="shared" si="33"/>
        <v/>
      </c>
      <c r="O305" s="47" t="str">
        <f t="shared" si="34"/>
        <v>Within Tolerance</v>
      </c>
    </row>
    <row r="306" spans="1:15" s="9" customFormat="1" x14ac:dyDescent="0.3">
      <c r="A306" s="166">
        <v>46155</v>
      </c>
      <c r="B306" s="64">
        <v>46155.461805555598</v>
      </c>
      <c r="C306" s="142">
        <f t="shared" si="28"/>
        <v>46155.461805555598</v>
      </c>
      <c r="D306" s="19" t="s">
        <v>18</v>
      </c>
      <c r="E306" s="13" t="s">
        <v>14</v>
      </c>
      <c r="F306" s="7" t="s">
        <v>19</v>
      </c>
      <c r="G306" s="13" t="s">
        <v>93</v>
      </c>
      <c r="H306" s="106">
        <v>13.6</v>
      </c>
      <c r="I306" s="111">
        <v>13.7</v>
      </c>
      <c r="J306" s="11" t="str">
        <f t="shared" si="29"/>
        <v/>
      </c>
      <c r="K306" s="12" t="str">
        <f t="shared" si="30"/>
        <v/>
      </c>
      <c r="L306" s="125">
        <f t="shared" si="31"/>
        <v>9.9999999999999645E-2</v>
      </c>
      <c r="M306" s="47" t="str">
        <f t="shared" si="32"/>
        <v/>
      </c>
      <c r="N306" s="47" t="str">
        <f t="shared" si="33"/>
        <v/>
      </c>
      <c r="O306" s="47" t="str">
        <f t="shared" si="34"/>
        <v>Within Tolerance</v>
      </c>
    </row>
    <row r="307" spans="1:15" s="9" customFormat="1" x14ac:dyDescent="0.3">
      <c r="A307" s="167">
        <v>46155</v>
      </c>
      <c r="B307" s="64">
        <v>46155.604166666701</v>
      </c>
      <c r="C307" s="142">
        <f t="shared" si="28"/>
        <v>46155.604166666701</v>
      </c>
      <c r="D307" s="19" t="s">
        <v>20</v>
      </c>
      <c r="E307" s="13" t="s">
        <v>14</v>
      </c>
      <c r="F307" s="7" t="s">
        <v>19</v>
      </c>
      <c r="G307" s="13" t="s">
        <v>93</v>
      </c>
      <c r="H307" s="106">
        <v>14</v>
      </c>
      <c r="I307" s="111">
        <v>14.1</v>
      </c>
      <c r="J307" s="11" t="str">
        <f t="shared" si="29"/>
        <v/>
      </c>
      <c r="K307" s="12" t="str">
        <f t="shared" si="30"/>
        <v/>
      </c>
      <c r="L307" s="125">
        <f t="shared" si="31"/>
        <v>9.9999999999999645E-2</v>
      </c>
      <c r="M307" s="47" t="str">
        <f t="shared" si="32"/>
        <v/>
      </c>
      <c r="N307" s="47" t="str">
        <f t="shared" si="33"/>
        <v/>
      </c>
      <c r="O307" s="47" t="str">
        <f t="shared" si="34"/>
        <v>Within Tolerance</v>
      </c>
    </row>
    <row r="308" spans="1:15" s="9" customFormat="1" x14ac:dyDescent="0.3">
      <c r="A308" s="166">
        <v>46155</v>
      </c>
      <c r="B308" s="64">
        <v>46155.75</v>
      </c>
      <c r="C308" s="142">
        <f t="shared" si="28"/>
        <v>46155.75</v>
      </c>
      <c r="D308" s="19" t="s">
        <v>42</v>
      </c>
      <c r="E308" s="8" t="s">
        <v>10</v>
      </c>
      <c r="F308" s="7" t="s">
        <v>19</v>
      </c>
      <c r="G308" s="13" t="s">
        <v>93</v>
      </c>
      <c r="H308" s="106">
        <v>13.9</v>
      </c>
      <c r="I308" s="111">
        <v>13.7</v>
      </c>
      <c r="J308" s="11" t="str">
        <f t="shared" si="29"/>
        <v/>
      </c>
      <c r="K308" s="12" t="str">
        <f t="shared" si="30"/>
        <v/>
      </c>
      <c r="L308" s="125">
        <f t="shared" si="31"/>
        <v>-0.20000000000000107</v>
      </c>
      <c r="M308" s="47" t="str">
        <f t="shared" si="32"/>
        <v/>
      </c>
      <c r="N308" s="47" t="str">
        <f t="shared" si="33"/>
        <v/>
      </c>
      <c r="O308" s="47" t="str">
        <f t="shared" si="34"/>
        <v>Out of Tolerance</v>
      </c>
    </row>
    <row r="309" spans="1:15" s="9" customFormat="1" x14ac:dyDescent="0.3">
      <c r="A309" s="167">
        <v>46155</v>
      </c>
      <c r="B309" s="64">
        <v>46155.930555555598</v>
      </c>
      <c r="C309" s="142">
        <f t="shared" si="28"/>
        <v>46155.930555555598</v>
      </c>
      <c r="D309" s="19" t="s">
        <v>46</v>
      </c>
      <c r="E309" s="13" t="s">
        <v>14</v>
      </c>
      <c r="F309" s="7" t="s">
        <v>19</v>
      </c>
      <c r="G309" s="13" t="s">
        <v>93</v>
      </c>
      <c r="H309" s="106">
        <v>13.8</v>
      </c>
      <c r="I309" s="111">
        <v>13.8</v>
      </c>
      <c r="J309" s="11" t="str">
        <f t="shared" si="29"/>
        <v/>
      </c>
      <c r="K309" s="12" t="str">
        <f t="shared" si="30"/>
        <v/>
      </c>
      <c r="L309" s="125">
        <f t="shared" si="31"/>
        <v>0</v>
      </c>
      <c r="M309" s="47" t="str">
        <f t="shared" si="32"/>
        <v/>
      </c>
      <c r="N309" s="47" t="str">
        <f t="shared" si="33"/>
        <v/>
      </c>
      <c r="O309" s="47" t="str">
        <f t="shared" si="34"/>
        <v>Within Tolerance</v>
      </c>
    </row>
    <row r="310" spans="1:15" s="9" customFormat="1" x14ac:dyDescent="0.3">
      <c r="A310" s="166">
        <v>46155</v>
      </c>
      <c r="B310" s="64">
        <v>46155.472222222197</v>
      </c>
      <c r="C310" s="142">
        <f t="shared" si="28"/>
        <v>46155.472222222197</v>
      </c>
      <c r="D310" s="19" t="s">
        <v>51</v>
      </c>
      <c r="E310" s="8" t="s">
        <v>10</v>
      </c>
      <c r="F310" s="7" t="s">
        <v>24</v>
      </c>
      <c r="G310" s="13" t="s">
        <v>93</v>
      </c>
      <c r="H310" s="106">
        <v>14.1</v>
      </c>
      <c r="I310" s="111">
        <v>14</v>
      </c>
      <c r="J310" s="11" t="str">
        <f t="shared" si="29"/>
        <v/>
      </c>
      <c r="K310" s="12" t="str">
        <f t="shared" si="30"/>
        <v/>
      </c>
      <c r="L310" s="125">
        <f t="shared" si="31"/>
        <v>-9.9999999999999645E-2</v>
      </c>
      <c r="M310" s="47" t="str">
        <f t="shared" si="32"/>
        <v/>
      </c>
      <c r="N310" s="47" t="str">
        <f t="shared" si="33"/>
        <v/>
      </c>
      <c r="O310" s="47" t="str">
        <f t="shared" si="34"/>
        <v>Within Tolerance</v>
      </c>
    </row>
    <row r="311" spans="1:15" s="9" customFormat="1" x14ac:dyDescent="0.3">
      <c r="A311" s="167">
        <v>46155</v>
      </c>
      <c r="B311" s="64">
        <v>46155.586805555598</v>
      </c>
      <c r="C311" s="142">
        <f t="shared" si="28"/>
        <v>46155.586805555598</v>
      </c>
      <c r="D311" s="19" t="s">
        <v>50</v>
      </c>
      <c r="E311" s="8" t="s">
        <v>10</v>
      </c>
      <c r="F311" s="7" t="s">
        <v>24</v>
      </c>
      <c r="G311" s="13" t="s">
        <v>93</v>
      </c>
      <c r="H311" s="106">
        <v>14</v>
      </c>
      <c r="I311" s="111">
        <v>14</v>
      </c>
      <c r="J311" s="11" t="str">
        <f t="shared" si="29"/>
        <v/>
      </c>
      <c r="K311" s="12" t="str">
        <f t="shared" si="30"/>
        <v/>
      </c>
      <c r="L311" s="125">
        <f t="shared" si="31"/>
        <v>0</v>
      </c>
      <c r="M311" s="47" t="str">
        <f t="shared" si="32"/>
        <v/>
      </c>
      <c r="N311" s="47" t="str">
        <f t="shared" si="33"/>
        <v/>
      </c>
      <c r="O311" s="47" t="str">
        <f t="shared" si="34"/>
        <v>Within Tolerance</v>
      </c>
    </row>
    <row r="312" spans="1:15" s="9" customFormat="1" x14ac:dyDescent="0.3">
      <c r="A312" s="166">
        <v>46156</v>
      </c>
      <c r="B312" s="61">
        <v>46156.333333333299</v>
      </c>
      <c r="C312" s="138">
        <f t="shared" si="28"/>
        <v>46156.333333333299</v>
      </c>
      <c r="D312" s="19" t="s">
        <v>41</v>
      </c>
      <c r="E312" s="8" t="s">
        <v>10</v>
      </c>
      <c r="F312" s="7" t="s">
        <v>11</v>
      </c>
      <c r="G312" s="25">
        <v>13.9</v>
      </c>
      <c r="H312" s="107">
        <v>14.1</v>
      </c>
      <c r="I312" s="111">
        <v>14.2</v>
      </c>
      <c r="J312" s="11">
        <f t="shared" si="29"/>
        <v>0.19999999999999929</v>
      </c>
      <c r="K312" s="12">
        <f t="shared" si="30"/>
        <v>0.29999999999999893</v>
      </c>
      <c r="L312" s="125">
        <f t="shared" si="31"/>
        <v>9.9999999999999645E-2</v>
      </c>
      <c r="M312" s="47" t="str">
        <f t="shared" si="32"/>
        <v>Within Tolerance</v>
      </c>
      <c r="N312" s="47" t="str">
        <f t="shared" si="33"/>
        <v>Out of Tolerance</v>
      </c>
      <c r="O312" s="47" t="str">
        <f t="shared" si="34"/>
        <v>Within Tolerance</v>
      </c>
    </row>
    <row r="313" spans="1:15" s="9" customFormat="1" x14ac:dyDescent="0.3">
      <c r="A313" s="167">
        <v>46156</v>
      </c>
      <c r="B313" s="61">
        <v>46156.552083333299</v>
      </c>
      <c r="C313" s="138">
        <f t="shared" si="28"/>
        <v>46156.552083333299</v>
      </c>
      <c r="D313" s="19" t="s">
        <v>18</v>
      </c>
      <c r="E313" s="8" t="s">
        <v>14</v>
      </c>
      <c r="F313" s="7" t="s">
        <v>11</v>
      </c>
      <c r="G313" s="25" t="s">
        <v>93</v>
      </c>
      <c r="H313" s="107">
        <v>13.8</v>
      </c>
      <c r="I313" s="111"/>
      <c r="J313" s="11" t="str">
        <f t="shared" si="29"/>
        <v/>
      </c>
      <c r="K313" s="12" t="str">
        <f t="shared" si="30"/>
        <v/>
      </c>
      <c r="L313" s="125" t="str">
        <f t="shared" si="31"/>
        <v/>
      </c>
      <c r="M313" s="47" t="str">
        <f t="shared" si="32"/>
        <v/>
      </c>
      <c r="N313" s="47" t="str">
        <f t="shared" si="33"/>
        <v/>
      </c>
      <c r="O313" s="47" t="str">
        <f t="shared" si="34"/>
        <v/>
      </c>
    </row>
    <row r="314" spans="1:15" s="9" customFormat="1" x14ac:dyDescent="0.3">
      <c r="A314" s="166">
        <v>46156</v>
      </c>
      <c r="B314" s="61">
        <v>46156.576388888898</v>
      </c>
      <c r="C314" s="138">
        <f t="shared" si="28"/>
        <v>46156.576388888898</v>
      </c>
      <c r="D314" s="19" t="s">
        <v>18</v>
      </c>
      <c r="E314" s="8" t="s">
        <v>14</v>
      </c>
      <c r="F314" s="7" t="s">
        <v>11</v>
      </c>
      <c r="G314" s="25" t="s">
        <v>93</v>
      </c>
      <c r="H314" s="107">
        <v>13.8</v>
      </c>
      <c r="I314" s="111">
        <v>13.7</v>
      </c>
      <c r="J314" s="11" t="str">
        <f t="shared" si="29"/>
        <v/>
      </c>
      <c r="K314" s="12" t="str">
        <f t="shared" si="30"/>
        <v/>
      </c>
      <c r="L314" s="125">
        <f t="shared" si="31"/>
        <v>-0.10000000000000142</v>
      </c>
      <c r="M314" s="47" t="str">
        <f t="shared" si="32"/>
        <v/>
      </c>
      <c r="N314" s="47" t="str">
        <f t="shared" si="33"/>
        <v/>
      </c>
      <c r="O314" s="47" t="str">
        <f t="shared" si="34"/>
        <v>Within Tolerance</v>
      </c>
    </row>
    <row r="315" spans="1:15" s="9" customFormat="1" x14ac:dyDescent="0.3">
      <c r="A315" s="167">
        <v>46156</v>
      </c>
      <c r="B315" s="61">
        <v>46156.666666666701</v>
      </c>
      <c r="C315" s="138">
        <f t="shared" si="28"/>
        <v>46156.666666666701</v>
      </c>
      <c r="D315" s="19" t="s">
        <v>18</v>
      </c>
      <c r="E315" s="8" t="s">
        <v>14</v>
      </c>
      <c r="F315" s="7" t="s">
        <v>11</v>
      </c>
      <c r="G315" s="25">
        <v>13.46</v>
      </c>
      <c r="H315" s="107">
        <v>13.8</v>
      </c>
      <c r="I315" s="111">
        <v>13.8</v>
      </c>
      <c r="J315" s="11">
        <f t="shared" si="29"/>
        <v>0.33999999999999986</v>
      </c>
      <c r="K315" s="12">
        <f t="shared" si="30"/>
        <v>0.33999999999999986</v>
      </c>
      <c r="L315" s="125">
        <f t="shared" si="31"/>
        <v>0</v>
      </c>
      <c r="M315" s="47" t="str">
        <f t="shared" si="32"/>
        <v>Out of Tolerance</v>
      </c>
      <c r="N315" s="47" t="str">
        <f t="shared" si="33"/>
        <v>Out of Tolerance</v>
      </c>
      <c r="O315" s="47" t="str">
        <f t="shared" si="34"/>
        <v>Within Tolerance</v>
      </c>
    </row>
    <row r="316" spans="1:15" s="9" customFormat="1" x14ac:dyDescent="0.3">
      <c r="A316" s="166">
        <v>46156</v>
      </c>
      <c r="B316" s="61">
        <v>46156.75</v>
      </c>
      <c r="C316" s="138">
        <f t="shared" si="28"/>
        <v>46156.75</v>
      </c>
      <c r="D316" s="19" t="s">
        <v>18</v>
      </c>
      <c r="E316" s="8" t="s">
        <v>14</v>
      </c>
      <c r="F316" s="7" t="s">
        <v>11</v>
      </c>
      <c r="G316" s="25" t="s">
        <v>93</v>
      </c>
      <c r="H316" s="107">
        <v>13.7</v>
      </c>
      <c r="I316" s="111">
        <v>13.7</v>
      </c>
      <c r="J316" s="11" t="str">
        <f t="shared" si="29"/>
        <v/>
      </c>
      <c r="K316" s="12" t="str">
        <f t="shared" si="30"/>
        <v/>
      </c>
      <c r="L316" s="125">
        <f t="shared" si="31"/>
        <v>0</v>
      </c>
      <c r="M316" s="47" t="str">
        <f t="shared" si="32"/>
        <v/>
      </c>
      <c r="N316" s="47" t="str">
        <f t="shared" si="33"/>
        <v/>
      </c>
      <c r="O316" s="47" t="str">
        <f t="shared" si="34"/>
        <v>Within Tolerance</v>
      </c>
    </row>
    <row r="317" spans="1:15" s="9" customFormat="1" x14ac:dyDescent="0.3">
      <c r="A317" s="167">
        <v>46156</v>
      </c>
      <c r="B317" s="61">
        <v>46156.833333333299</v>
      </c>
      <c r="C317" s="138">
        <f t="shared" si="28"/>
        <v>46156.833333333299</v>
      </c>
      <c r="D317" s="19" t="s">
        <v>18</v>
      </c>
      <c r="E317" s="8" t="s">
        <v>14</v>
      </c>
      <c r="F317" s="7" t="s">
        <v>11</v>
      </c>
      <c r="G317" s="25" t="s">
        <v>93</v>
      </c>
      <c r="H317" s="107">
        <v>13.8</v>
      </c>
      <c r="I317" s="111">
        <v>13.8</v>
      </c>
      <c r="J317" s="11" t="str">
        <f t="shared" si="29"/>
        <v/>
      </c>
      <c r="K317" s="12" t="str">
        <f t="shared" si="30"/>
        <v/>
      </c>
      <c r="L317" s="125">
        <f t="shared" si="31"/>
        <v>0</v>
      </c>
      <c r="M317" s="47" t="str">
        <f t="shared" si="32"/>
        <v/>
      </c>
      <c r="N317" s="47" t="str">
        <f t="shared" si="33"/>
        <v/>
      </c>
      <c r="O317" s="47" t="str">
        <f t="shared" si="34"/>
        <v>Within Tolerance</v>
      </c>
    </row>
    <row r="318" spans="1:15" s="9" customFormat="1" x14ac:dyDescent="0.3">
      <c r="A318" s="166">
        <v>46156</v>
      </c>
      <c r="B318" s="61">
        <v>46156.916666666701</v>
      </c>
      <c r="C318" s="138">
        <f t="shared" si="28"/>
        <v>46156.916666666701</v>
      </c>
      <c r="D318" s="19" t="s">
        <v>18</v>
      </c>
      <c r="E318" s="8" t="s">
        <v>14</v>
      </c>
      <c r="F318" s="7" t="s">
        <v>11</v>
      </c>
      <c r="G318" s="25" t="s">
        <v>93</v>
      </c>
      <c r="H318" s="107">
        <v>13.9</v>
      </c>
      <c r="I318" s="111">
        <v>13.9</v>
      </c>
      <c r="J318" s="11" t="str">
        <f t="shared" si="29"/>
        <v/>
      </c>
      <c r="K318" s="12" t="str">
        <f t="shared" si="30"/>
        <v/>
      </c>
      <c r="L318" s="125">
        <f t="shared" si="31"/>
        <v>0</v>
      </c>
      <c r="M318" s="47" t="str">
        <f t="shared" si="32"/>
        <v/>
      </c>
      <c r="N318" s="47" t="str">
        <f t="shared" si="33"/>
        <v/>
      </c>
      <c r="O318" s="47" t="str">
        <f t="shared" si="34"/>
        <v>Within Tolerance</v>
      </c>
    </row>
    <row r="319" spans="1:15" s="9" customFormat="1" x14ac:dyDescent="0.3">
      <c r="A319" s="167">
        <v>46156</v>
      </c>
      <c r="B319" s="64">
        <v>46156</v>
      </c>
      <c r="C319" s="142">
        <f t="shared" si="28"/>
        <v>46156</v>
      </c>
      <c r="D319" s="19" t="s">
        <v>18</v>
      </c>
      <c r="E319" s="8" t="s">
        <v>14</v>
      </c>
      <c r="F319" s="7" t="s">
        <v>11</v>
      </c>
      <c r="G319" s="25" t="s">
        <v>93</v>
      </c>
      <c r="H319" s="107">
        <v>13.8</v>
      </c>
      <c r="I319" s="111">
        <v>14</v>
      </c>
      <c r="J319" s="11" t="str">
        <f t="shared" si="29"/>
        <v/>
      </c>
      <c r="K319" s="12" t="str">
        <f t="shared" si="30"/>
        <v/>
      </c>
      <c r="L319" s="125">
        <f t="shared" si="31"/>
        <v>0.19999999999999929</v>
      </c>
      <c r="M319" s="47" t="str">
        <f t="shared" si="32"/>
        <v/>
      </c>
      <c r="N319" s="47" t="str">
        <f t="shared" si="33"/>
        <v/>
      </c>
      <c r="O319" s="47" t="str">
        <f t="shared" si="34"/>
        <v>Within Tolerance</v>
      </c>
    </row>
    <row r="320" spans="1:15" s="9" customFormat="1" x14ac:dyDescent="0.3">
      <c r="A320" s="166">
        <v>46156</v>
      </c>
      <c r="B320" s="64">
        <v>46156.083333333299</v>
      </c>
      <c r="C320" s="142">
        <f t="shared" si="28"/>
        <v>46156.083333333299</v>
      </c>
      <c r="D320" s="19" t="s">
        <v>18</v>
      </c>
      <c r="E320" s="8" t="s">
        <v>14</v>
      </c>
      <c r="F320" s="7" t="s">
        <v>11</v>
      </c>
      <c r="G320" s="25" t="s">
        <v>93</v>
      </c>
      <c r="H320" s="107">
        <v>13.8</v>
      </c>
      <c r="I320" s="111">
        <v>13.8</v>
      </c>
      <c r="J320" s="11" t="str">
        <f t="shared" si="29"/>
        <v/>
      </c>
      <c r="K320" s="12" t="str">
        <f t="shared" si="30"/>
        <v/>
      </c>
      <c r="L320" s="125">
        <f t="shared" si="31"/>
        <v>0</v>
      </c>
      <c r="M320" s="47" t="str">
        <f t="shared" si="32"/>
        <v/>
      </c>
      <c r="N320" s="47" t="str">
        <f t="shared" si="33"/>
        <v/>
      </c>
      <c r="O320" s="47" t="str">
        <f t="shared" si="34"/>
        <v>Within Tolerance</v>
      </c>
    </row>
    <row r="321" spans="1:15" s="9" customFormat="1" x14ac:dyDescent="0.3">
      <c r="A321" s="167">
        <v>46157</v>
      </c>
      <c r="B321" s="64">
        <v>46156.166666666701</v>
      </c>
      <c r="C321" s="142">
        <f t="shared" si="28"/>
        <v>46157.166666666701</v>
      </c>
      <c r="D321" s="19" t="s">
        <v>18</v>
      </c>
      <c r="E321" s="8" t="s">
        <v>14</v>
      </c>
      <c r="F321" s="7" t="s">
        <v>11</v>
      </c>
      <c r="G321" s="25" t="s">
        <v>93</v>
      </c>
      <c r="H321" s="107">
        <v>13.9</v>
      </c>
      <c r="I321" s="111">
        <v>13.9</v>
      </c>
      <c r="J321" s="11" t="str">
        <f t="shared" si="29"/>
        <v/>
      </c>
      <c r="K321" s="12" t="str">
        <f t="shared" si="30"/>
        <v/>
      </c>
      <c r="L321" s="125">
        <f t="shared" si="31"/>
        <v>0</v>
      </c>
      <c r="M321" s="47" t="str">
        <f t="shared" si="32"/>
        <v/>
      </c>
      <c r="N321" s="47" t="str">
        <f t="shared" si="33"/>
        <v/>
      </c>
      <c r="O321" s="47" t="str">
        <f t="shared" si="34"/>
        <v>Within Tolerance</v>
      </c>
    </row>
    <row r="322" spans="1:15" s="9" customFormat="1" x14ac:dyDescent="0.3">
      <c r="A322" s="166">
        <v>46157</v>
      </c>
      <c r="B322" s="64">
        <v>46156.239583333336</v>
      </c>
      <c r="C322" s="142">
        <f t="shared" ref="C322:C385" si="35">A322+MOD(B322,1)</f>
        <v>46157.239583333336</v>
      </c>
      <c r="D322" s="19" t="s">
        <v>18</v>
      </c>
      <c r="E322" s="8" t="s">
        <v>14</v>
      </c>
      <c r="F322" s="7" t="s">
        <v>11</v>
      </c>
      <c r="G322" s="25" t="s">
        <v>93</v>
      </c>
      <c r="H322" s="107">
        <v>13.9</v>
      </c>
      <c r="I322" s="111">
        <v>13.8</v>
      </c>
      <c r="J322" s="11" t="str">
        <f t="shared" si="29"/>
        <v/>
      </c>
      <c r="K322" s="12" t="str">
        <f t="shared" si="30"/>
        <v/>
      </c>
      <c r="L322" s="125">
        <f t="shared" si="31"/>
        <v>-9.9999999999999645E-2</v>
      </c>
      <c r="M322" s="47" t="str">
        <f t="shared" si="32"/>
        <v/>
      </c>
      <c r="N322" s="47" t="str">
        <f t="shared" si="33"/>
        <v/>
      </c>
      <c r="O322" s="47" t="str">
        <f t="shared" si="34"/>
        <v>Within Tolerance</v>
      </c>
    </row>
    <row r="323" spans="1:15" s="9" customFormat="1" x14ac:dyDescent="0.3">
      <c r="A323" s="167">
        <v>46157</v>
      </c>
      <c r="B323" s="61">
        <v>46157.28125</v>
      </c>
      <c r="C323" s="138">
        <f t="shared" si="35"/>
        <v>46157.28125</v>
      </c>
      <c r="D323" s="19" t="s">
        <v>13</v>
      </c>
      <c r="E323" s="8" t="s">
        <v>14</v>
      </c>
      <c r="F323" s="7" t="s">
        <v>11</v>
      </c>
      <c r="G323" s="25" t="s">
        <v>93</v>
      </c>
      <c r="H323" s="107">
        <v>13.4</v>
      </c>
      <c r="I323" s="111">
        <v>13.5</v>
      </c>
      <c r="J323" s="11" t="str">
        <f t="shared" ref="J323:J386" si="36">IF(OR(H323="",G323=""),"",H323-G323)</f>
        <v/>
      </c>
      <c r="K323" s="12" t="str">
        <f t="shared" ref="K323:K386" si="37">IF(OR(TRIM(G323&amp;"")="",TRIM(I323&amp;"")="",G323="-",I323="-"),"",I323-G323)</f>
        <v/>
      </c>
      <c r="L323" s="125">
        <f t="shared" ref="L323:L386" si="38">IF(OR(TRIM(H323&amp;"")="",TRIM(I323&amp;"")="",H323="-",I323="-"),"",I323-H323)</f>
        <v>9.9999999999999645E-2</v>
      </c>
      <c r="M323" s="47" t="str">
        <f t="shared" ref="M323:M386" si="39">IF(J323="","",IF(ABS(J323)&lt;=0.2,"Within Tolerance","Out of Tolerance"))</f>
        <v/>
      </c>
      <c r="N323" s="47" t="str">
        <f t="shared" ref="N323:N386" si="40">IF(K323="","",IF(ABS(K323)&lt;=0.2,"Within Tolerance","Out of Tolerance"))</f>
        <v/>
      </c>
      <c r="O323" s="47" t="str">
        <f t="shared" ref="O323:O386" si="41">IF(L323="","",IF(ABS(L323)&lt;=0.2,"Within Tolerance","Out of Tolerance"))</f>
        <v>Within Tolerance</v>
      </c>
    </row>
    <row r="324" spans="1:15" s="9" customFormat="1" x14ac:dyDescent="0.3">
      <c r="A324" s="166">
        <v>46157</v>
      </c>
      <c r="B324" s="61">
        <v>46157.305555555598</v>
      </c>
      <c r="C324" s="138">
        <f t="shared" si="35"/>
        <v>46157.305555555598</v>
      </c>
      <c r="D324" s="19" t="s">
        <v>13</v>
      </c>
      <c r="E324" s="8" t="s">
        <v>14</v>
      </c>
      <c r="F324" s="7" t="s">
        <v>11</v>
      </c>
      <c r="G324" s="25" t="s">
        <v>93</v>
      </c>
      <c r="H324" s="107">
        <v>13.7</v>
      </c>
      <c r="I324" s="111"/>
      <c r="J324" s="11" t="str">
        <f t="shared" si="36"/>
        <v/>
      </c>
      <c r="K324" s="12" t="str">
        <f t="shared" si="37"/>
        <v/>
      </c>
      <c r="L324" s="125" t="str">
        <f t="shared" si="38"/>
        <v/>
      </c>
      <c r="M324" s="47" t="str">
        <f t="shared" si="39"/>
        <v/>
      </c>
      <c r="N324" s="47" t="str">
        <f t="shared" si="40"/>
        <v/>
      </c>
      <c r="O324" s="47" t="str">
        <f t="shared" si="41"/>
        <v/>
      </c>
    </row>
    <row r="325" spans="1:15" s="9" customFormat="1" x14ac:dyDescent="0.3">
      <c r="A325" s="167">
        <v>46156</v>
      </c>
      <c r="B325" s="61">
        <v>46156.381944444402</v>
      </c>
      <c r="C325" s="138">
        <f t="shared" si="35"/>
        <v>46156.381944444402</v>
      </c>
      <c r="D325" s="19" t="s">
        <v>40</v>
      </c>
      <c r="E325" s="8" t="s">
        <v>17</v>
      </c>
      <c r="F325" s="7" t="s">
        <v>15</v>
      </c>
      <c r="G325" s="25" t="s">
        <v>93</v>
      </c>
      <c r="H325" s="107">
        <v>14.3</v>
      </c>
      <c r="I325" s="111">
        <v>14.4</v>
      </c>
      <c r="J325" s="11" t="str">
        <f t="shared" si="36"/>
        <v/>
      </c>
      <c r="K325" s="12" t="str">
        <f t="shared" si="37"/>
        <v/>
      </c>
      <c r="L325" s="125">
        <f t="shared" si="38"/>
        <v>9.9999999999999645E-2</v>
      </c>
      <c r="M325" s="47" t="str">
        <f t="shared" si="39"/>
        <v/>
      </c>
      <c r="N325" s="47" t="str">
        <f t="shared" si="40"/>
        <v/>
      </c>
      <c r="O325" s="47" t="str">
        <f t="shared" si="41"/>
        <v>Within Tolerance</v>
      </c>
    </row>
    <row r="326" spans="1:15" s="9" customFormat="1" x14ac:dyDescent="0.3">
      <c r="A326" s="166">
        <v>46156</v>
      </c>
      <c r="B326" s="61">
        <v>46156.458333333299</v>
      </c>
      <c r="C326" s="138">
        <f t="shared" si="35"/>
        <v>46156.458333333299</v>
      </c>
      <c r="D326" s="19" t="s">
        <v>40</v>
      </c>
      <c r="E326" s="8" t="s">
        <v>17</v>
      </c>
      <c r="F326" s="7" t="s">
        <v>15</v>
      </c>
      <c r="G326" s="25">
        <v>14.26</v>
      </c>
      <c r="H326" s="107">
        <v>14.4</v>
      </c>
      <c r="I326" s="111">
        <v>14.4</v>
      </c>
      <c r="J326" s="11">
        <f t="shared" si="36"/>
        <v>0.14000000000000057</v>
      </c>
      <c r="K326" s="12">
        <f t="shared" si="37"/>
        <v>0.14000000000000057</v>
      </c>
      <c r="L326" s="125">
        <f t="shared" si="38"/>
        <v>0</v>
      </c>
      <c r="M326" s="47" t="str">
        <f t="shared" si="39"/>
        <v>Within Tolerance</v>
      </c>
      <c r="N326" s="47" t="str">
        <f t="shared" si="40"/>
        <v>Within Tolerance</v>
      </c>
      <c r="O326" s="47" t="str">
        <f t="shared" si="41"/>
        <v>Within Tolerance</v>
      </c>
    </row>
    <row r="327" spans="1:15" s="9" customFormat="1" x14ac:dyDescent="0.3">
      <c r="A327" s="167">
        <v>46156</v>
      </c>
      <c r="B327" s="61">
        <v>46156.5625</v>
      </c>
      <c r="C327" s="138">
        <f t="shared" si="35"/>
        <v>46156.5625</v>
      </c>
      <c r="D327" s="19" t="s">
        <v>40</v>
      </c>
      <c r="E327" s="8" t="s">
        <v>17</v>
      </c>
      <c r="F327" s="7" t="s">
        <v>15</v>
      </c>
      <c r="G327" s="25" t="s">
        <v>93</v>
      </c>
      <c r="H327" s="107">
        <v>14.3</v>
      </c>
      <c r="I327" s="111">
        <v>14.1</v>
      </c>
      <c r="J327" s="11" t="str">
        <f t="shared" si="36"/>
        <v/>
      </c>
      <c r="K327" s="12" t="str">
        <f t="shared" si="37"/>
        <v/>
      </c>
      <c r="L327" s="125">
        <f t="shared" si="38"/>
        <v>-0.20000000000000107</v>
      </c>
      <c r="M327" s="47" t="str">
        <f t="shared" si="39"/>
        <v/>
      </c>
      <c r="N327" s="47" t="str">
        <f t="shared" si="40"/>
        <v/>
      </c>
      <c r="O327" s="47" t="str">
        <f t="shared" si="41"/>
        <v>Out of Tolerance</v>
      </c>
    </row>
    <row r="328" spans="1:15" s="9" customFormat="1" x14ac:dyDescent="0.3">
      <c r="A328" s="166">
        <v>46156</v>
      </c>
      <c r="B328" s="61">
        <v>46156.729166666701</v>
      </c>
      <c r="C328" s="138">
        <f t="shared" si="35"/>
        <v>46156.729166666701</v>
      </c>
      <c r="D328" s="19" t="s">
        <v>40</v>
      </c>
      <c r="E328" s="8" t="s">
        <v>17</v>
      </c>
      <c r="F328" s="7" t="s">
        <v>15</v>
      </c>
      <c r="G328" s="25" t="s">
        <v>93</v>
      </c>
      <c r="H328" s="107">
        <v>14.3</v>
      </c>
      <c r="I328" s="111">
        <v>14.2</v>
      </c>
      <c r="J328" s="11" t="str">
        <f t="shared" si="36"/>
        <v/>
      </c>
      <c r="K328" s="12" t="str">
        <f t="shared" si="37"/>
        <v/>
      </c>
      <c r="L328" s="125">
        <f t="shared" si="38"/>
        <v>-0.10000000000000142</v>
      </c>
      <c r="M328" s="47" t="str">
        <f t="shared" si="39"/>
        <v/>
      </c>
      <c r="N328" s="47" t="str">
        <f t="shared" si="40"/>
        <v/>
      </c>
      <c r="O328" s="47" t="str">
        <f t="shared" si="41"/>
        <v>Within Tolerance</v>
      </c>
    </row>
    <row r="329" spans="1:15" s="9" customFormat="1" x14ac:dyDescent="0.3">
      <c r="A329" s="167">
        <v>46156</v>
      </c>
      <c r="B329" s="61">
        <v>46156.833333333299</v>
      </c>
      <c r="C329" s="138">
        <f t="shared" si="35"/>
        <v>46156.833333333299</v>
      </c>
      <c r="D329" s="19" t="s">
        <v>40</v>
      </c>
      <c r="E329" s="8" t="s">
        <v>17</v>
      </c>
      <c r="F329" s="7" t="s">
        <v>15</v>
      </c>
      <c r="G329" s="25" t="s">
        <v>93</v>
      </c>
      <c r="H329" s="107">
        <v>14.2</v>
      </c>
      <c r="I329" s="111">
        <v>14.2</v>
      </c>
      <c r="J329" s="11" t="str">
        <f t="shared" si="36"/>
        <v/>
      </c>
      <c r="K329" s="12" t="str">
        <f t="shared" si="37"/>
        <v/>
      </c>
      <c r="L329" s="125">
        <f t="shared" si="38"/>
        <v>0</v>
      </c>
      <c r="M329" s="47" t="str">
        <f t="shared" si="39"/>
        <v/>
      </c>
      <c r="N329" s="47" t="str">
        <f t="shared" si="40"/>
        <v/>
      </c>
      <c r="O329" s="47" t="str">
        <f t="shared" si="41"/>
        <v>Within Tolerance</v>
      </c>
    </row>
    <row r="330" spans="1:15" s="9" customFormat="1" x14ac:dyDescent="0.3">
      <c r="A330" s="166">
        <v>46156</v>
      </c>
      <c r="B330" s="61">
        <v>46156.916666666701</v>
      </c>
      <c r="C330" s="138">
        <f t="shared" si="35"/>
        <v>46156.916666666701</v>
      </c>
      <c r="D330" s="19" t="s">
        <v>40</v>
      </c>
      <c r="E330" s="8" t="s">
        <v>17</v>
      </c>
      <c r="F330" s="7" t="s">
        <v>15</v>
      </c>
      <c r="G330" s="25" t="s">
        <v>93</v>
      </c>
      <c r="H330" s="107">
        <v>14.3</v>
      </c>
      <c r="I330" s="111">
        <v>14.2</v>
      </c>
      <c r="J330" s="11" t="str">
        <f t="shared" si="36"/>
        <v/>
      </c>
      <c r="K330" s="12" t="str">
        <f t="shared" si="37"/>
        <v/>
      </c>
      <c r="L330" s="125">
        <f t="shared" si="38"/>
        <v>-0.10000000000000142</v>
      </c>
      <c r="M330" s="47" t="str">
        <f t="shared" si="39"/>
        <v/>
      </c>
      <c r="N330" s="47" t="str">
        <f t="shared" si="40"/>
        <v/>
      </c>
      <c r="O330" s="47" t="str">
        <f t="shared" si="41"/>
        <v>Within Tolerance</v>
      </c>
    </row>
    <row r="331" spans="1:15" s="9" customFormat="1" x14ac:dyDescent="0.3">
      <c r="A331" s="167">
        <v>46156</v>
      </c>
      <c r="B331" s="61">
        <v>46156.961805555598</v>
      </c>
      <c r="C331" s="138">
        <f t="shared" si="35"/>
        <v>46156.961805555598</v>
      </c>
      <c r="D331" s="19" t="s">
        <v>29</v>
      </c>
      <c r="E331" s="8" t="s">
        <v>10</v>
      </c>
      <c r="F331" s="7" t="s">
        <v>15</v>
      </c>
      <c r="G331" s="25" t="s">
        <v>93</v>
      </c>
      <c r="H331" s="107">
        <v>14.1</v>
      </c>
      <c r="I331" s="111"/>
      <c r="J331" s="11" t="str">
        <f t="shared" si="36"/>
        <v/>
      </c>
      <c r="K331" s="12" t="str">
        <f t="shared" si="37"/>
        <v/>
      </c>
      <c r="L331" s="125" t="str">
        <f t="shared" si="38"/>
        <v/>
      </c>
      <c r="M331" s="47" t="str">
        <f t="shared" si="39"/>
        <v/>
      </c>
      <c r="N331" s="47" t="str">
        <f t="shared" si="40"/>
        <v/>
      </c>
      <c r="O331" s="47" t="str">
        <f t="shared" si="41"/>
        <v/>
      </c>
    </row>
    <row r="332" spans="1:15" s="9" customFormat="1" x14ac:dyDescent="0.3">
      <c r="A332" s="166">
        <v>46156</v>
      </c>
      <c r="B332" s="61">
        <v>46157</v>
      </c>
      <c r="C332" s="138">
        <f t="shared" si="35"/>
        <v>46156</v>
      </c>
      <c r="D332" s="19" t="s">
        <v>29</v>
      </c>
      <c r="E332" s="8" t="s">
        <v>10</v>
      </c>
      <c r="F332" s="7" t="s">
        <v>15</v>
      </c>
      <c r="G332" s="25" t="s">
        <v>93</v>
      </c>
      <c r="H332" s="107">
        <v>14</v>
      </c>
      <c r="I332" s="111">
        <v>14.1</v>
      </c>
      <c r="J332" s="11" t="str">
        <f t="shared" si="36"/>
        <v/>
      </c>
      <c r="K332" s="12" t="str">
        <f t="shared" si="37"/>
        <v/>
      </c>
      <c r="L332" s="125">
        <f t="shared" si="38"/>
        <v>9.9999999999999645E-2</v>
      </c>
      <c r="M332" s="47" t="str">
        <f t="shared" si="39"/>
        <v/>
      </c>
      <c r="N332" s="47" t="str">
        <f t="shared" si="40"/>
        <v/>
      </c>
      <c r="O332" s="47" t="str">
        <f t="shared" si="41"/>
        <v>Within Tolerance</v>
      </c>
    </row>
    <row r="333" spans="1:15" s="9" customFormat="1" x14ac:dyDescent="0.3">
      <c r="A333" s="167">
        <v>46157</v>
      </c>
      <c r="B333" s="61">
        <v>46157.083333333299</v>
      </c>
      <c r="C333" s="138">
        <f t="shared" si="35"/>
        <v>46157.083333333299</v>
      </c>
      <c r="D333" s="19" t="s">
        <v>29</v>
      </c>
      <c r="E333" s="8" t="s">
        <v>10</v>
      </c>
      <c r="F333" s="7" t="s">
        <v>15</v>
      </c>
      <c r="G333" s="25" t="s">
        <v>93</v>
      </c>
      <c r="H333" s="107">
        <v>14.2</v>
      </c>
      <c r="I333" s="111">
        <v>14.3</v>
      </c>
      <c r="J333" s="11" t="str">
        <f t="shared" si="36"/>
        <v/>
      </c>
      <c r="K333" s="12" t="str">
        <f t="shared" si="37"/>
        <v/>
      </c>
      <c r="L333" s="125">
        <f t="shared" si="38"/>
        <v>0.10000000000000142</v>
      </c>
      <c r="M333" s="47" t="str">
        <f t="shared" si="39"/>
        <v/>
      </c>
      <c r="N333" s="47" t="str">
        <f t="shared" si="40"/>
        <v/>
      </c>
      <c r="O333" s="47" t="str">
        <f t="shared" si="41"/>
        <v>Within Tolerance</v>
      </c>
    </row>
    <row r="334" spans="1:15" s="9" customFormat="1" x14ac:dyDescent="0.3">
      <c r="A334" s="166">
        <v>46157</v>
      </c>
      <c r="B334" s="61">
        <v>46157.166666666701</v>
      </c>
      <c r="C334" s="138">
        <f t="shared" si="35"/>
        <v>46157.166666666701</v>
      </c>
      <c r="D334" s="19" t="s">
        <v>29</v>
      </c>
      <c r="E334" s="8" t="s">
        <v>10</v>
      </c>
      <c r="F334" s="7" t="s">
        <v>15</v>
      </c>
      <c r="G334" s="25" t="s">
        <v>93</v>
      </c>
      <c r="H334" s="107">
        <v>14.1</v>
      </c>
      <c r="I334" s="111">
        <v>14.3</v>
      </c>
      <c r="J334" s="11" t="str">
        <f t="shared" si="36"/>
        <v/>
      </c>
      <c r="K334" s="12" t="str">
        <f t="shared" si="37"/>
        <v/>
      </c>
      <c r="L334" s="125">
        <f t="shared" si="38"/>
        <v>0.20000000000000107</v>
      </c>
      <c r="M334" s="47" t="str">
        <f t="shared" si="39"/>
        <v/>
      </c>
      <c r="N334" s="47" t="str">
        <f t="shared" si="40"/>
        <v/>
      </c>
      <c r="O334" s="47" t="str">
        <f t="shared" si="41"/>
        <v>Out of Tolerance</v>
      </c>
    </row>
    <row r="335" spans="1:15" s="9" customFormat="1" x14ac:dyDescent="0.3">
      <c r="A335" s="167">
        <v>46157</v>
      </c>
      <c r="B335" s="61">
        <v>46157.25</v>
      </c>
      <c r="C335" s="138">
        <f t="shared" si="35"/>
        <v>46157.25</v>
      </c>
      <c r="D335" s="19" t="s">
        <v>29</v>
      </c>
      <c r="E335" s="8" t="s">
        <v>10</v>
      </c>
      <c r="F335" s="7" t="s">
        <v>15</v>
      </c>
      <c r="G335" s="25" t="s">
        <v>93</v>
      </c>
      <c r="H335" s="107">
        <v>14.2</v>
      </c>
      <c r="I335" s="111">
        <v>14.2</v>
      </c>
      <c r="J335" s="11" t="str">
        <f t="shared" si="36"/>
        <v/>
      </c>
      <c r="K335" s="12" t="str">
        <f t="shared" si="37"/>
        <v/>
      </c>
      <c r="L335" s="125">
        <f t="shared" si="38"/>
        <v>0</v>
      </c>
      <c r="M335" s="47" t="str">
        <f t="shared" si="39"/>
        <v/>
      </c>
      <c r="N335" s="47" t="str">
        <f t="shared" si="40"/>
        <v/>
      </c>
      <c r="O335" s="47" t="str">
        <f t="shared" si="41"/>
        <v>Within Tolerance</v>
      </c>
    </row>
    <row r="336" spans="1:15" s="9" customFormat="1" x14ac:dyDescent="0.3">
      <c r="A336" s="166">
        <v>46156</v>
      </c>
      <c r="B336" s="65">
        <v>46156.475694444445</v>
      </c>
      <c r="C336" s="143">
        <f t="shared" si="35"/>
        <v>46156.475694444445</v>
      </c>
      <c r="D336" s="23" t="s">
        <v>55</v>
      </c>
      <c r="E336" s="8" t="s">
        <v>14</v>
      </c>
      <c r="F336" s="7" t="s">
        <v>19</v>
      </c>
      <c r="G336" s="25" t="s">
        <v>93</v>
      </c>
      <c r="H336" s="107">
        <v>14</v>
      </c>
      <c r="I336" s="111">
        <v>14.1</v>
      </c>
      <c r="J336" s="11" t="str">
        <f t="shared" si="36"/>
        <v/>
      </c>
      <c r="K336" s="12" t="str">
        <f t="shared" si="37"/>
        <v/>
      </c>
      <c r="L336" s="125">
        <f t="shared" si="38"/>
        <v>9.9999999999999645E-2</v>
      </c>
      <c r="M336" s="47" t="str">
        <f t="shared" si="39"/>
        <v/>
      </c>
      <c r="N336" s="47" t="str">
        <f t="shared" si="40"/>
        <v/>
      </c>
      <c r="O336" s="47" t="str">
        <f t="shared" si="41"/>
        <v>Within Tolerance</v>
      </c>
    </row>
    <row r="337" spans="1:15" s="9" customFormat="1" x14ac:dyDescent="0.3">
      <c r="A337" s="167">
        <v>46156</v>
      </c>
      <c r="B337" s="66">
        <v>46156.565972222197</v>
      </c>
      <c r="C337" s="144">
        <f t="shared" si="35"/>
        <v>46156.565972222197</v>
      </c>
      <c r="D337" s="19" t="s">
        <v>18</v>
      </c>
      <c r="E337" s="8" t="s">
        <v>14</v>
      </c>
      <c r="F337" s="7" t="s">
        <v>19</v>
      </c>
      <c r="G337" s="25">
        <v>13.54</v>
      </c>
      <c r="H337" s="107">
        <v>13.6</v>
      </c>
      <c r="I337" s="111">
        <v>13.7</v>
      </c>
      <c r="J337" s="11">
        <f t="shared" si="36"/>
        <v>6.0000000000000497E-2</v>
      </c>
      <c r="K337" s="12">
        <f t="shared" si="37"/>
        <v>0.16000000000000014</v>
      </c>
      <c r="L337" s="125">
        <f t="shared" si="38"/>
        <v>9.9999999999999645E-2</v>
      </c>
      <c r="M337" s="47" t="str">
        <f t="shared" si="39"/>
        <v>Within Tolerance</v>
      </c>
      <c r="N337" s="47" t="str">
        <f t="shared" si="40"/>
        <v>Within Tolerance</v>
      </c>
      <c r="O337" s="47" t="str">
        <f t="shared" si="41"/>
        <v>Within Tolerance</v>
      </c>
    </row>
    <row r="338" spans="1:15" s="9" customFormat="1" x14ac:dyDescent="0.3">
      <c r="A338" s="166">
        <v>46156</v>
      </c>
      <c r="B338" s="67">
        <v>46156.819444444402</v>
      </c>
      <c r="C338" s="145">
        <f t="shared" si="35"/>
        <v>46156.819444444402</v>
      </c>
      <c r="D338" s="19" t="s">
        <v>42</v>
      </c>
      <c r="E338" s="8" t="s">
        <v>10</v>
      </c>
      <c r="F338" s="7" t="s">
        <v>19</v>
      </c>
      <c r="G338" s="25" t="s">
        <v>93</v>
      </c>
      <c r="H338" s="107">
        <v>14</v>
      </c>
      <c r="I338" s="111">
        <v>13.7</v>
      </c>
      <c r="J338" s="11" t="str">
        <f t="shared" si="36"/>
        <v/>
      </c>
      <c r="K338" s="12" t="str">
        <f t="shared" si="37"/>
        <v/>
      </c>
      <c r="L338" s="125">
        <f t="shared" si="38"/>
        <v>-0.30000000000000071</v>
      </c>
      <c r="M338" s="47" t="str">
        <f t="shared" si="39"/>
        <v/>
      </c>
      <c r="N338" s="47" t="str">
        <f t="shared" si="40"/>
        <v/>
      </c>
      <c r="O338" s="47" t="str">
        <f t="shared" si="41"/>
        <v>Out of Tolerance</v>
      </c>
    </row>
    <row r="339" spans="1:15" s="9" customFormat="1" x14ac:dyDescent="0.3">
      <c r="A339" s="167">
        <v>46156</v>
      </c>
      <c r="B339" s="68">
        <v>46156.857638888898</v>
      </c>
      <c r="C339" s="146">
        <f t="shared" si="35"/>
        <v>46156.857638888898</v>
      </c>
      <c r="D339" s="19" t="s">
        <v>34</v>
      </c>
      <c r="E339" s="8" t="s">
        <v>14</v>
      </c>
      <c r="F339" s="7" t="s">
        <v>19</v>
      </c>
      <c r="G339" s="25" t="s">
        <v>93</v>
      </c>
      <c r="H339" s="107">
        <v>13.7</v>
      </c>
      <c r="I339" s="111">
        <v>13.8</v>
      </c>
      <c r="J339" s="11" t="str">
        <f t="shared" si="36"/>
        <v/>
      </c>
      <c r="K339" s="12" t="str">
        <f t="shared" si="37"/>
        <v/>
      </c>
      <c r="L339" s="125">
        <f t="shared" si="38"/>
        <v>0.10000000000000142</v>
      </c>
      <c r="M339" s="47" t="str">
        <f t="shared" si="39"/>
        <v/>
      </c>
      <c r="N339" s="47" t="str">
        <f t="shared" si="40"/>
        <v/>
      </c>
      <c r="O339" s="47" t="str">
        <f t="shared" si="41"/>
        <v>Within Tolerance</v>
      </c>
    </row>
    <row r="340" spans="1:15" s="9" customFormat="1" x14ac:dyDescent="0.3">
      <c r="A340" s="166">
        <v>46156</v>
      </c>
      <c r="B340" s="66">
        <v>46156.888888888898</v>
      </c>
      <c r="C340" s="144">
        <f t="shared" si="35"/>
        <v>46156.888888888898</v>
      </c>
      <c r="D340" s="19" t="s">
        <v>20</v>
      </c>
      <c r="E340" s="8" t="s">
        <v>14</v>
      </c>
      <c r="F340" s="7" t="s">
        <v>19</v>
      </c>
      <c r="G340" s="25" t="s">
        <v>93</v>
      </c>
      <c r="H340" s="107">
        <v>13.7</v>
      </c>
      <c r="I340" s="111">
        <v>13.7</v>
      </c>
      <c r="J340" s="11" t="str">
        <f t="shared" si="36"/>
        <v/>
      </c>
      <c r="K340" s="12" t="str">
        <f t="shared" si="37"/>
        <v/>
      </c>
      <c r="L340" s="125">
        <f t="shared" si="38"/>
        <v>0</v>
      </c>
      <c r="M340" s="47" t="str">
        <f t="shared" si="39"/>
        <v/>
      </c>
      <c r="N340" s="47" t="str">
        <f t="shared" si="40"/>
        <v/>
      </c>
      <c r="O340" s="47" t="str">
        <f t="shared" si="41"/>
        <v>Within Tolerance</v>
      </c>
    </row>
    <row r="341" spans="1:15" s="9" customFormat="1" x14ac:dyDescent="0.3">
      <c r="A341" s="167">
        <v>46156</v>
      </c>
      <c r="B341" s="67">
        <v>46156.440972222197</v>
      </c>
      <c r="C341" s="147">
        <f t="shared" si="35"/>
        <v>46156.440972222197</v>
      </c>
      <c r="D341" s="27" t="s">
        <v>51</v>
      </c>
      <c r="E341" s="8" t="s">
        <v>10</v>
      </c>
      <c r="F341" s="7" t="s">
        <v>24</v>
      </c>
      <c r="G341" s="25" t="s">
        <v>93</v>
      </c>
      <c r="H341" s="107">
        <v>13.9</v>
      </c>
      <c r="I341" s="111">
        <v>13.7</v>
      </c>
      <c r="J341" s="11" t="str">
        <f t="shared" si="36"/>
        <v/>
      </c>
      <c r="K341" s="12" t="str">
        <f t="shared" si="37"/>
        <v/>
      </c>
      <c r="L341" s="125">
        <f t="shared" si="38"/>
        <v>-0.20000000000000107</v>
      </c>
      <c r="M341" s="47" t="str">
        <f t="shared" si="39"/>
        <v/>
      </c>
      <c r="N341" s="47" t="str">
        <f t="shared" si="40"/>
        <v/>
      </c>
      <c r="O341" s="47" t="str">
        <f t="shared" si="41"/>
        <v>Out of Tolerance</v>
      </c>
    </row>
    <row r="342" spans="1:15" s="9" customFormat="1" x14ac:dyDescent="0.3">
      <c r="A342" s="166">
        <v>46156</v>
      </c>
      <c r="B342" s="68">
        <v>46156.520833333299</v>
      </c>
      <c r="C342" s="147">
        <f t="shared" si="35"/>
        <v>46156.520833333299</v>
      </c>
      <c r="D342" s="23" t="s">
        <v>50</v>
      </c>
      <c r="E342" s="8" t="s">
        <v>10</v>
      </c>
      <c r="F342" s="7" t="s">
        <v>24</v>
      </c>
      <c r="G342" s="25" t="s">
        <v>93</v>
      </c>
      <c r="H342" s="107">
        <v>13.8</v>
      </c>
      <c r="I342" s="111">
        <v>13.8</v>
      </c>
      <c r="J342" s="11" t="str">
        <f t="shared" si="36"/>
        <v/>
      </c>
      <c r="K342" s="12" t="str">
        <f t="shared" si="37"/>
        <v/>
      </c>
      <c r="L342" s="125">
        <f t="shared" si="38"/>
        <v>0</v>
      </c>
      <c r="M342" s="47" t="str">
        <f t="shared" si="39"/>
        <v/>
      </c>
      <c r="N342" s="47" t="str">
        <f t="shared" si="40"/>
        <v/>
      </c>
      <c r="O342" s="47" t="str">
        <f t="shared" si="41"/>
        <v>Within Tolerance</v>
      </c>
    </row>
    <row r="343" spans="1:15" s="9" customFormat="1" x14ac:dyDescent="0.3">
      <c r="A343" s="167">
        <v>46156</v>
      </c>
      <c r="B343" s="66">
        <v>46156.579861111102</v>
      </c>
      <c r="C343" s="148">
        <f t="shared" si="35"/>
        <v>46156.579861111102</v>
      </c>
      <c r="D343" s="23" t="s">
        <v>49</v>
      </c>
      <c r="E343" s="8" t="s">
        <v>10</v>
      </c>
      <c r="F343" s="7" t="s">
        <v>24</v>
      </c>
      <c r="G343" s="25" t="s">
        <v>93</v>
      </c>
      <c r="H343" s="107">
        <v>13.8</v>
      </c>
      <c r="I343" s="111">
        <v>13.8</v>
      </c>
      <c r="J343" s="11" t="str">
        <f t="shared" si="36"/>
        <v/>
      </c>
      <c r="K343" s="12" t="str">
        <f t="shared" si="37"/>
        <v/>
      </c>
      <c r="L343" s="125">
        <f t="shared" si="38"/>
        <v>0</v>
      </c>
      <c r="M343" s="47" t="str">
        <f t="shared" si="39"/>
        <v/>
      </c>
      <c r="N343" s="47" t="str">
        <f t="shared" si="40"/>
        <v/>
      </c>
      <c r="O343" s="47" t="str">
        <f t="shared" si="41"/>
        <v>Within Tolerance</v>
      </c>
    </row>
    <row r="344" spans="1:15" s="9" customFormat="1" x14ac:dyDescent="0.3">
      <c r="A344" s="166">
        <v>46157</v>
      </c>
      <c r="B344" s="61">
        <v>46157.354166666701</v>
      </c>
      <c r="C344" s="138">
        <f t="shared" si="35"/>
        <v>46157.354166666701</v>
      </c>
      <c r="D344" s="19" t="s">
        <v>13</v>
      </c>
      <c r="E344" s="8" t="s">
        <v>14</v>
      </c>
      <c r="F344" s="7" t="s">
        <v>11</v>
      </c>
      <c r="G344" s="25">
        <v>13.78</v>
      </c>
      <c r="H344" s="107">
        <v>13.8</v>
      </c>
      <c r="I344" s="111">
        <v>13.8</v>
      </c>
      <c r="J344" s="11">
        <f t="shared" si="36"/>
        <v>2.000000000000135E-2</v>
      </c>
      <c r="K344" s="12">
        <f t="shared" si="37"/>
        <v>2.000000000000135E-2</v>
      </c>
      <c r="L344" s="125">
        <f t="shared" si="38"/>
        <v>0</v>
      </c>
      <c r="M344" s="47" t="str">
        <f t="shared" si="39"/>
        <v>Within Tolerance</v>
      </c>
      <c r="N344" s="47" t="str">
        <f t="shared" si="40"/>
        <v>Within Tolerance</v>
      </c>
      <c r="O344" s="47" t="str">
        <f t="shared" si="41"/>
        <v>Within Tolerance</v>
      </c>
    </row>
    <row r="345" spans="1:15" s="9" customFormat="1" x14ac:dyDescent="0.3">
      <c r="A345" s="167">
        <v>46157</v>
      </c>
      <c r="B345" s="61">
        <v>46157.524305555598</v>
      </c>
      <c r="C345" s="138">
        <f t="shared" si="35"/>
        <v>46157.524305555598</v>
      </c>
      <c r="D345" s="19" t="s">
        <v>13</v>
      </c>
      <c r="E345" s="8" t="s">
        <v>14</v>
      </c>
      <c r="F345" s="7" t="s">
        <v>11</v>
      </c>
      <c r="G345" s="25" t="s">
        <v>93</v>
      </c>
      <c r="H345" s="107">
        <v>14</v>
      </c>
      <c r="I345" s="111">
        <v>13.9</v>
      </c>
      <c r="J345" s="11" t="str">
        <f t="shared" si="36"/>
        <v/>
      </c>
      <c r="K345" s="12" t="str">
        <f t="shared" si="37"/>
        <v/>
      </c>
      <c r="L345" s="125">
        <f t="shared" si="38"/>
        <v>-9.9999999999999645E-2</v>
      </c>
      <c r="M345" s="47" t="str">
        <f t="shared" si="39"/>
        <v/>
      </c>
      <c r="N345" s="47" t="str">
        <f t="shared" si="40"/>
        <v/>
      </c>
      <c r="O345" s="47" t="str">
        <f t="shared" si="41"/>
        <v>Within Tolerance</v>
      </c>
    </row>
    <row r="346" spans="1:15" s="9" customFormat="1" x14ac:dyDescent="0.3">
      <c r="A346" s="166">
        <v>46157</v>
      </c>
      <c r="B346" s="61">
        <v>46157.541666666701</v>
      </c>
      <c r="C346" s="138">
        <f t="shared" si="35"/>
        <v>46157.541666666701</v>
      </c>
      <c r="D346" s="19" t="s">
        <v>13</v>
      </c>
      <c r="E346" s="8" t="s">
        <v>14</v>
      </c>
      <c r="F346" s="7" t="s">
        <v>11</v>
      </c>
      <c r="G346" s="25" t="s">
        <v>93</v>
      </c>
      <c r="H346" s="107">
        <v>13.8</v>
      </c>
      <c r="I346" s="111">
        <v>13.9</v>
      </c>
      <c r="J346" s="11" t="str">
        <f t="shared" si="36"/>
        <v/>
      </c>
      <c r="K346" s="12" t="str">
        <f t="shared" si="37"/>
        <v/>
      </c>
      <c r="L346" s="125">
        <f t="shared" si="38"/>
        <v>9.9999999999999645E-2</v>
      </c>
      <c r="M346" s="47" t="str">
        <f t="shared" si="39"/>
        <v/>
      </c>
      <c r="N346" s="47" t="str">
        <f t="shared" si="40"/>
        <v/>
      </c>
      <c r="O346" s="47" t="str">
        <f t="shared" si="41"/>
        <v>Within Tolerance</v>
      </c>
    </row>
    <row r="347" spans="1:15" s="9" customFormat="1" x14ac:dyDescent="0.3">
      <c r="A347" s="167">
        <v>46157</v>
      </c>
      <c r="B347" s="61">
        <v>46157.604166666701</v>
      </c>
      <c r="C347" s="138">
        <f t="shared" si="35"/>
        <v>46157.604166666701</v>
      </c>
      <c r="D347" s="19" t="s">
        <v>13</v>
      </c>
      <c r="E347" s="8" t="s">
        <v>14</v>
      </c>
      <c r="F347" s="7" t="s">
        <v>11</v>
      </c>
      <c r="G347" s="25" t="s">
        <v>93</v>
      </c>
      <c r="H347" s="107">
        <v>13.8</v>
      </c>
      <c r="I347" s="111">
        <v>13.8</v>
      </c>
      <c r="J347" s="11" t="str">
        <f t="shared" si="36"/>
        <v/>
      </c>
      <c r="K347" s="12" t="str">
        <f t="shared" si="37"/>
        <v/>
      </c>
      <c r="L347" s="125">
        <f t="shared" si="38"/>
        <v>0</v>
      </c>
      <c r="M347" s="47" t="str">
        <f t="shared" si="39"/>
        <v/>
      </c>
      <c r="N347" s="47" t="str">
        <f t="shared" si="40"/>
        <v/>
      </c>
      <c r="O347" s="47" t="str">
        <f t="shared" si="41"/>
        <v>Within Tolerance</v>
      </c>
    </row>
    <row r="348" spans="1:15" s="9" customFormat="1" x14ac:dyDescent="0.3">
      <c r="A348" s="166">
        <v>46157</v>
      </c>
      <c r="B348" s="61">
        <v>46157.666666666701</v>
      </c>
      <c r="C348" s="138">
        <f t="shared" si="35"/>
        <v>46157.666666666701</v>
      </c>
      <c r="D348" s="19" t="s">
        <v>13</v>
      </c>
      <c r="E348" s="8" t="s">
        <v>14</v>
      </c>
      <c r="F348" s="7" t="s">
        <v>11</v>
      </c>
      <c r="G348" s="25" t="s">
        <v>93</v>
      </c>
      <c r="H348" s="107">
        <v>14.4</v>
      </c>
      <c r="I348" s="111">
        <v>14.4</v>
      </c>
      <c r="J348" s="11" t="str">
        <f t="shared" si="36"/>
        <v/>
      </c>
      <c r="K348" s="12" t="str">
        <f t="shared" si="37"/>
        <v/>
      </c>
      <c r="L348" s="125">
        <f t="shared" si="38"/>
        <v>0</v>
      </c>
      <c r="M348" s="47" t="str">
        <f t="shared" si="39"/>
        <v/>
      </c>
      <c r="N348" s="47" t="str">
        <f t="shared" si="40"/>
        <v/>
      </c>
      <c r="O348" s="47" t="str">
        <f t="shared" si="41"/>
        <v>Within Tolerance</v>
      </c>
    </row>
    <row r="349" spans="1:15" s="9" customFormat="1" x14ac:dyDescent="0.3">
      <c r="A349" s="167">
        <v>46157</v>
      </c>
      <c r="B349" s="61">
        <v>46157.875</v>
      </c>
      <c r="C349" s="138">
        <f t="shared" si="35"/>
        <v>46157.875</v>
      </c>
      <c r="D349" s="19" t="s">
        <v>13</v>
      </c>
      <c r="E349" s="8" t="s">
        <v>14</v>
      </c>
      <c r="F349" s="7" t="s">
        <v>11</v>
      </c>
      <c r="G349" s="25" t="s">
        <v>93</v>
      </c>
      <c r="H349" s="107">
        <v>14.3</v>
      </c>
      <c r="I349" s="111"/>
      <c r="J349" s="11" t="str">
        <f t="shared" si="36"/>
        <v/>
      </c>
      <c r="K349" s="12" t="str">
        <f t="shared" si="37"/>
        <v/>
      </c>
      <c r="L349" s="125" t="str">
        <f t="shared" si="38"/>
        <v/>
      </c>
      <c r="M349" s="47" t="str">
        <f t="shared" si="39"/>
        <v/>
      </c>
      <c r="N349" s="47" t="str">
        <f t="shared" si="40"/>
        <v/>
      </c>
      <c r="O349" s="47" t="str">
        <f t="shared" si="41"/>
        <v/>
      </c>
    </row>
    <row r="350" spans="1:15" s="9" customFormat="1" x14ac:dyDescent="0.3">
      <c r="A350" s="166">
        <v>46157</v>
      </c>
      <c r="B350" s="61">
        <v>46157.895833333299</v>
      </c>
      <c r="C350" s="138">
        <f t="shared" si="35"/>
        <v>46157.895833333299</v>
      </c>
      <c r="D350" s="19" t="s">
        <v>13</v>
      </c>
      <c r="E350" s="8" t="s">
        <v>14</v>
      </c>
      <c r="F350" s="7" t="s">
        <v>11</v>
      </c>
      <c r="G350" s="25" t="s">
        <v>93</v>
      </c>
      <c r="H350" s="107">
        <v>14.2</v>
      </c>
      <c r="I350" s="111">
        <v>14.3</v>
      </c>
      <c r="J350" s="11" t="str">
        <f t="shared" si="36"/>
        <v/>
      </c>
      <c r="K350" s="12" t="str">
        <f t="shared" si="37"/>
        <v/>
      </c>
      <c r="L350" s="125">
        <f t="shared" si="38"/>
        <v>0.10000000000000142</v>
      </c>
      <c r="M350" s="47" t="str">
        <f t="shared" si="39"/>
        <v/>
      </c>
      <c r="N350" s="47" t="str">
        <f t="shared" si="40"/>
        <v/>
      </c>
      <c r="O350" s="47" t="str">
        <f t="shared" si="41"/>
        <v>Within Tolerance</v>
      </c>
    </row>
    <row r="351" spans="1:15" s="9" customFormat="1" x14ac:dyDescent="0.3">
      <c r="A351" s="167">
        <v>46157</v>
      </c>
      <c r="B351" s="61">
        <v>46158</v>
      </c>
      <c r="C351" s="138">
        <f t="shared" si="35"/>
        <v>46157</v>
      </c>
      <c r="D351" s="19" t="s">
        <v>13</v>
      </c>
      <c r="E351" s="8" t="s">
        <v>14</v>
      </c>
      <c r="F351" s="7" t="s">
        <v>11</v>
      </c>
      <c r="G351" s="25" t="s">
        <v>93</v>
      </c>
      <c r="H351" s="107">
        <v>13.8</v>
      </c>
      <c r="I351" s="111">
        <v>13.9</v>
      </c>
      <c r="J351" s="11" t="str">
        <f t="shared" si="36"/>
        <v/>
      </c>
      <c r="K351" s="12" t="str">
        <f t="shared" si="37"/>
        <v/>
      </c>
      <c r="L351" s="125">
        <f t="shared" si="38"/>
        <v>9.9999999999999645E-2</v>
      </c>
      <c r="M351" s="47" t="str">
        <f t="shared" si="39"/>
        <v/>
      </c>
      <c r="N351" s="47" t="str">
        <f t="shared" si="40"/>
        <v/>
      </c>
      <c r="O351" s="47" t="str">
        <f t="shared" si="41"/>
        <v>Within Tolerance</v>
      </c>
    </row>
    <row r="352" spans="1:15" s="9" customFormat="1" x14ac:dyDescent="0.3">
      <c r="A352" s="166">
        <v>46158</v>
      </c>
      <c r="B352" s="61">
        <v>46158.083333333299</v>
      </c>
      <c r="C352" s="138">
        <f t="shared" si="35"/>
        <v>46158.083333333299</v>
      </c>
      <c r="D352" s="19" t="s">
        <v>13</v>
      </c>
      <c r="E352" s="8" t="s">
        <v>14</v>
      </c>
      <c r="F352" s="7" t="s">
        <v>11</v>
      </c>
      <c r="G352" s="25" t="s">
        <v>93</v>
      </c>
      <c r="H352" s="107">
        <v>13.8</v>
      </c>
      <c r="I352" s="111">
        <v>13.7</v>
      </c>
      <c r="J352" s="11" t="str">
        <f t="shared" si="36"/>
        <v/>
      </c>
      <c r="K352" s="12" t="str">
        <f t="shared" si="37"/>
        <v/>
      </c>
      <c r="L352" s="125">
        <f t="shared" si="38"/>
        <v>-0.10000000000000142</v>
      </c>
      <c r="M352" s="47" t="str">
        <f t="shared" si="39"/>
        <v/>
      </c>
      <c r="N352" s="47" t="str">
        <f t="shared" si="40"/>
        <v/>
      </c>
      <c r="O352" s="47" t="str">
        <f t="shared" si="41"/>
        <v>Within Tolerance</v>
      </c>
    </row>
    <row r="353" spans="1:15" s="9" customFormat="1" x14ac:dyDescent="0.3">
      <c r="A353" s="167">
        <v>46158</v>
      </c>
      <c r="B353" s="61">
        <v>46158.204861111102</v>
      </c>
      <c r="C353" s="138">
        <f t="shared" si="35"/>
        <v>46158.204861111102</v>
      </c>
      <c r="D353" s="19" t="s">
        <v>35</v>
      </c>
      <c r="E353" s="8" t="s">
        <v>14</v>
      </c>
      <c r="F353" s="7" t="s">
        <v>11</v>
      </c>
      <c r="G353" s="25" t="s">
        <v>93</v>
      </c>
      <c r="H353" s="107">
        <v>14</v>
      </c>
      <c r="I353" s="111">
        <v>14</v>
      </c>
      <c r="J353" s="11" t="str">
        <f t="shared" si="36"/>
        <v/>
      </c>
      <c r="K353" s="12" t="str">
        <f t="shared" si="37"/>
        <v/>
      </c>
      <c r="L353" s="125">
        <f t="shared" si="38"/>
        <v>0</v>
      </c>
      <c r="M353" s="47" t="str">
        <f t="shared" si="39"/>
        <v/>
      </c>
      <c r="N353" s="47" t="str">
        <f t="shared" si="40"/>
        <v/>
      </c>
      <c r="O353" s="47" t="str">
        <f t="shared" si="41"/>
        <v>Within Tolerance</v>
      </c>
    </row>
    <row r="354" spans="1:15" s="9" customFormat="1" x14ac:dyDescent="0.3">
      <c r="A354" s="166">
        <v>46158</v>
      </c>
      <c r="B354" s="61">
        <v>46158.270833333299</v>
      </c>
      <c r="C354" s="138">
        <f t="shared" si="35"/>
        <v>46158.270833333299</v>
      </c>
      <c r="D354" s="19" t="s">
        <v>35</v>
      </c>
      <c r="E354" s="8" t="s">
        <v>14</v>
      </c>
      <c r="F354" s="7" t="s">
        <v>11</v>
      </c>
      <c r="G354" s="25" t="s">
        <v>93</v>
      </c>
      <c r="H354" s="107">
        <v>14</v>
      </c>
      <c r="I354" s="111">
        <v>14</v>
      </c>
      <c r="J354" s="11" t="str">
        <f t="shared" si="36"/>
        <v/>
      </c>
      <c r="K354" s="12" t="str">
        <f t="shared" si="37"/>
        <v/>
      </c>
      <c r="L354" s="125">
        <f t="shared" si="38"/>
        <v>0</v>
      </c>
      <c r="M354" s="47" t="str">
        <f t="shared" si="39"/>
        <v/>
      </c>
      <c r="N354" s="47" t="str">
        <f t="shared" si="40"/>
        <v/>
      </c>
      <c r="O354" s="47" t="str">
        <f t="shared" si="41"/>
        <v>Within Tolerance</v>
      </c>
    </row>
    <row r="355" spans="1:15" s="9" customFormat="1" x14ac:dyDescent="0.3">
      <c r="A355" s="167">
        <v>46157</v>
      </c>
      <c r="B355" s="61">
        <v>46157.333333333299</v>
      </c>
      <c r="C355" s="138">
        <f t="shared" si="35"/>
        <v>46157.333333333299</v>
      </c>
      <c r="D355" s="19" t="s">
        <v>29</v>
      </c>
      <c r="E355" s="8" t="s">
        <v>10</v>
      </c>
      <c r="F355" s="7" t="s">
        <v>15</v>
      </c>
      <c r="G355" s="25" t="s">
        <v>93</v>
      </c>
      <c r="H355" s="107">
        <v>14.2</v>
      </c>
      <c r="I355" s="111">
        <v>14.2</v>
      </c>
      <c r="J355" s="11" t="str">
        <f t="shared" si="36"/>
        <v/>
      </c>
      <c r="K355" s="12" t="str">
        <f t="shared" si="37"/>
        <v/>
      </c>
      <c r="L355" s="125">
        <f t="shared" si="38"/>
        <v>0</v>
      </c>
      <c r="M355" s="47" t="str">
        <f t="shared" si="39"/>
        <v/>
      </c>
      <c r="N355" s="47" t="str">
        <f t="shared" si="40"/>
        <v/>
      </c>
      <c r="O355" s="47" t="str">
        <f t="shared" si="41"/>
        <v>Within Tolerance</v>
      </c>
    </row>
    <row r="356" spans="1:15" s="9" customFormat="1" x14ac:dyDescent="0.3">
      <c r="A356" s="166">
        <v>46157</v>
      </c>
      <c r="B356" s="61">
        <v>46157.770833333299</v>
      </c>
      <c r="C356" s="138">
        <f t="shared" si="35"/>
        <v>46157.770833333299</v>
      </c>
      <c r="D356" s="19" t="s">
        <v>29</v>
      </c>
      <c r="E356" s="8" t="s">
        <v>10</v>
      </c>
      <c r="F356" s="7" t="s">
        <v>15</v>
      </c>
      <c r="G356" s="25" t="s">
        <v>93</v>
      </c>
      <c r="H356" s="107">
        <v>14.1</v>
      </c>
      <c r="I356" s="111">
        <v>14</v>
      </c>
      <c r="J356" s="11" t="str">
        <f t="shared" si="36"/>
        <v/>
      </c>
      <c r="K356" s="12" t="str">
        <f t="shared" si="37"/>
        <v/>
      </c>
      <c r="L356" s="125">
        <f t="shared" si="38"/>
        <v>-9.9999999999999645E-2</v>
      </c>
      <c r="M356" s="47" t="str">
        <f t="shared" si="39"/>
        <v/>
      </c>
      <c r="N356" s="47" t="str">
        <f t="shared" si="40"/>
        <v/>
      </c>
      <c r="O356" s="47" t="str">
        <f t="shared" si="41"/>
        <v>Within Tolerance</v>
      </c>
    </row>
    <row r="357" spans="1:15" s="9" customFormat="1" x14ac:dyDescent="0.3">
      <c r="A357" s="167">
        <v>46157</v>
      </c>
      <c r="B357" s="61">
        <v>46157.784722222197</v>
      </c>
      <c r="C357" s="138">
        <f t="shared" si="35"/>
        <v>46157.784722222197</v>
      </c>
      <c r="D357" s="19" t="s">
        <v>29</v>
      </c>
      <c r="E357" s="8" t="s">
        <v>10</v>
      </c>
      <c r="F357" s="7" t="s">
        <v>15</v>
      </c>
      <c r="G357" s="25" t="s">
        <v>93</v>
      </c>
      <c r="H357" s="107">
        <v>14</v>
      </c>
      <c r="I357" s="111">
        <v>14</v>
      </c>
      <c r="J357" s="11" t="str">
        <f t="shared" si="36"/>
        <v/>
      </c>
      <c r="K357" s="12" t="str">
        <f t="shared" si="37"/>
        <v/>
      </c>
      <c r="L357" s="125">
        <f t="shared" si="38"/>
        <v>0</v>
      </c>
      <c r="M357" s="47" t="str">
        <f t="shared" si="39"/>
        <v/>
      </c>
      <c r="N357" s="47" t="str">
        <f t="shared" si="40"/>
        <v/>
      </c>
      <c r="O357" s="47" t="str">
        <f t="shared" si="41"/>
        <v>Within Tolerance</v>
      </c>
    </row>
    <row r="358" spans="1:15" s="9" customFormat="1" x14ac:dyDescent="0.3">
      <c r="A358" s="166">
        <v>46157</v>
      </c>
      <c r="B358" s="61">
        <v>46157.833333333299</v>
      </c>
      <c r="C358" s="138">
        <f t="shared" si="35"/>
        <v>46157.833333333299</v>
      </c>
      <c r="D358" s="19" t="s">
        <v>29</v>
      </c>
      <c r="E358" s="8" t="s">
        <v>10</v>
      </c>
      <c r="F358" s="7" t="s">
        <v>15</v>
      </c>
      <c r="G358" s="25" t="s">
        <v>93</v>
      </c>
      <c r="H358" s="107">
        <v>14</v>
      </c>
      <c r="I358" s="111">
        <v>14</v>
      </c>
      <c r="J358" s="11" t="str">
        <f t="shared" si="36"/>
        <v/>
      </c>
      <c r="K358" s="12" t="str">
        <f t="shared" si="37"/>
        <v/>
      </c>
      <c r="L358" s="125">
        <f t="shared" si="38"/>
        <v>0</v>
      </c>
      <c r="M358" s="47" t="str">
        <f t="shared" si="39"/>
        <v/>
      </c>
      <c r="N358" s="47" t="str">
        <f t="shared" si="40"/>
        <v/>
      </c>
      <c r="O358" s="47" t="str">
        <f t="shared" si="41"/>
        <v>Within Tolerance</v>
      </c>
    </row>
    <row r="359" spans="1:15" s="9" customFormat="1" x14ac:dyDescent="0.3">
      <c r="A359" s="167">
        <v>46157</v>
      </c>
      <c r="B359" s="61">
        <v>46157.916666666701</v>
      </c>
      <c r="C359" s="138">
        <f t="shared" si="35"/>
        <v>46157.916666666701</v>
      </c>
      <c r="D359" s="19" t="s">
        <v>29</v>
      </c>
      <c r="E359" s="8" t="s">
        <v>10</v>
      </c>
      <c r="F359" s="7" t="s">
        <v>15</v>
      </c>
      <c r="G359" s="25" t="s">
        <v>93</v>
      </c>
      <c r="H359" s="107">
        <v>14.2</v>
      </c>
      <c r="I359" s="111">
        <v>14.2</v>
      </c>
      <c r="J359" s="11" t="str">
        <f t="shared" si="36"/>
        <v/>
      </c>
      <c r="K359" s="12" t="str">
        <f t="shared" si="37"/>
        <v/>
      </c>
      <c r="L359" s="125">
        <f t="shared" si="38"/>
        <v>0</v>
      </c>
      <c r="M359" s="47" t="str">
        <f t="shared" si="39"/>
        <v/>
      </c>
      <c r="N359" s="47" t="str">
        <f t="shared" si="40"/>
        <v/>
      </c>
      <c r="O359" s="47" t="str">
        <f t="shared" si="41"/>
        <v>Within Tolerance</v>
      </c>
    </row>
    <row r="360" spans="1:15" s="9" customFormat="1" x14ac:dyDescent="0.3">
      <c r="A360" s="166">
        <v>46157</v>
      </c>
      <c r="B360" s="61">
        <v>46158</v>
      </c>
      <c r="C360" s="138">
        <f t="shared" si="35"/>
        <v>46157</v>
      </c>
      <c r="D360" s="19" t="s">
        <v>29</v>
      </c>
      <c r="E360" s="8" t="s">
        <v>10</v>
      </c>
      <c r="F360" s="7" t="s">
        <v>15</v>
      </c>
      <c r="G360" s="25" t="s">
        <v>93</v>
      </c>
      <c r="H360" s="107">
        <v>14.1</v>
      </c>
      <c r="I360" s="111">
        <v>14.2</v>
      </c>
      <c r="J360" s="11" t="str">
        <f t="shared" si="36"/>
        <v/>
      </c>
      <c r="K360" s="12" t="str">
        <f t="shared" si="37"/>
        <v/>
      </c>
      <c r="L360" s="125">
        <f t="shared" si="38"/>
        <v>9.9999999999999645E-2</v>
      </c>
      <c r="M360" s="47" t="str">
        <f t="shared" si="39"/>
        <v/>
      </c>
      <c r="N360" s="47" t="str">
        <f t="shared" si="40"/>
        <v/>
      </c>
      <c r="O360" s="47" t="str">
        <f t="shared" si="41"/>
        <v>Within Tolerance</v>
      </c>
    </row>
    <row r="361" spans="1:15" s="9" customFormat="1" x14ac:dyDescent="0.3">
      <c r="A361" s="167">
        <v>46158</v>
      </c>
      <c r="B361" s="61">
        <v>46158.083333333299</v>
      </c>
      <c r="C361" s="138">
        <f t="shared" si="35"/>
        <v>46158.083333333299</v>
      </c>
      <c r="D361" s="19" t="s">
        <v>29</v>
      </c>
      <c r="E361" s="8" t="s">
        <v>10</v>
      </c>
      <c r="F361" s="7" t="s">
        <v>15</v>
      </c>
      <c r="G361" s="25" t="s">
        <v>93</v>
      </c>
      <c r="H361" s="107">
        <v>14.1</v>
      </c>
      <c r="I361" s="111">
        <v>14.1</v>
      </c>
      <c r="J361" s="11" t="str">
        <f t="shared" si="36"/>
        <v/>
      </c>
      <c r="K361" s="12" t="str">
        <f t="shared" si="37"/>
        <v/>
      </c>
      <c r="L361" s="125">
        <f t="shared" si="38"/>
        <v>0</v>
      </c>
      <c r="M361" s="47" t="str">
        <f t="shared" si="39"/>
        <v/>
      </c>
      <c r="N361" s="47" t="str">
        <f t="shared" si="40"/>
        <v/>
      </c>
      <c r="O361" s="47" t="str">
        <f t="shared" si="41"/>
        <v>Within Tolerance</v>
      </c>
    </row>
    <row r="362" spans="1:15" s="9" customFormat="1" x14ac:dyDescent="0.3">
      <c r="A362" s="166">
        <v>46158</v>
      </c>
      <c r="B362" s="61">
        <v>46158.166666666701</v>
      </c>
      <c r="C362" s="138">
        <f t="shared" si="35"/>
        <v>46158.166666666701</v>
      </c>
      <c r="D362" s="19" t="s">
        <v>29</v>
      </c>
      <c r="E362" s="8" t="s">
        <v>10</v>
      </c>
      <c r="F362" s="7" t="s">
        <v>15</v>
      </c>
      <c r="G362" s="25" t="s">
        <v>93</v>
      </c>
      <c r="H362" s="107">
        <v>14</v>
      </c>
      <c r="I362" s="111">
        <v>14.1</v>
      </c>
      <c r="J362" s="11" t="str">
        <f t="shared" si="36"/>
        <v/>
      </c>
      <c r="K362" s="12" t="str">
        <f t="shared" si="37"/>
        <v/>
      </c>
      <c r="L362" s="125">
        <f t="shared" si="38"/>
        <v>9.9999999999999645E-2</v>
      </c>
      <c r="M362" s="47" t="str">
        <f t="shared" si="39"/>
        <v/>
      </c>
      <c r="N362" s="47" t="str">
        <f t="shared" si="40"/>
        <v/>
      </c>
      <c r="O362" s="47" t="str">
        <f t="shared" si="41"/>
        <v>Within Tolerance</v>
      </c>
    </row>
    <row r="363" spans="1:15" s="9" customFormat="1" x14ac:dyDescent="0.3">
      <c r="A363" s="167">
        <v>46158</v>
      </c>
      <c r="B363" s="61">
        <v>46158.267361111102</v>
      </c>
      <c r="C363" s="138">
        <f t="shared" si="35"/>
        <v>46158.267361111102</v>
      </c>
      <c r="D363" s="19" t="s">
        <v>52</v>
      </c>
      <c r="E363" s="8" t="s">
        <v>17</v>
      </c>
      <c r="F363" s="7" t="s">
        <v>15</v>
      </c>
      <c r="G363" s="25" t="s">
        <v>93</v>
      </c>
      <c r="H363" s="107">
        <v>13.2</v>
      </c>
      <c r="I363" s="111">
        <v>13.9</v>
      </c>
      <c r="J363" s="11" t="str">
        <f t="shared" si="36"/>
        <v/>
      </c>
      <c r="K363" s="12" t="str">
        <f t="shared" si="37"/>
        <v/>
      </c>
      <c r="L363" s="125">
        <f t="shared" si="38"/>
        <v>0.70000000000000107</v>
      </c>
      <c r="M363" s="47" t="str">
        <f t="shared" si="39"/>
        <v/>
      </c>
      <c r="N363" s="47" t="str">
        <f t="shared" si="40"/>
        <v/>
      </c>
      <c r="O363" s="47" t="str">
        <f t="shared" si="41"/>
        <v>Out of Tolerance</v>
      </c>
    </row>
    <row r="364" spans="1:15" s="9" customFormat="1" x14ac:dyDescent="0.3">
      <c r="A364" s="166">
        <v>46157</v>
      </c>
      <c r="B364" s="69">
        <v>46157.520833333299</v>
      </c>
      <c r="C364" s="141">
        <f t="shared" si="35"/>
        <v>46157.520833333299</v>
      </c>
      <c r="D364" s="27" t="s">
        <v>55</v>
      </c>
      <c r="E364" s="8" t="s">
        <v>14</v>
      </c>
      <c r="F364" s="15" t="s">
        <v>19</v>
      </c>
      <c r="G364" s="16"/>
      <c r="H364" s="106">
        <v>13.8</v>
      </c>
      <c r="I364" s="111">
        <v>13.8</v>
      </c>
      <c r="J364" s="11" t="str">
        <f t="shared" si="36"/>
        <v/>
      </c>
      <c r="K364" s="12" t="str">
        <f t="shared" si="37"/>
        <v/>
      </c>
      <c r="L364" s="125">
        <f t="shared" si="38"/>
        <v>0</v>
      </c>
      <c r="M364" s="47" t="str">
        <f t="shared" si="39"/>
        <v/>
      </c>
      <c r="N364" s="47" t="str">
        <f t="shared" si="40"/>
        <v/>
      </c>
      <c r="O364" s="47" t="str">
        <f t="shared" si="41"/>
        <v>Within Tolerance</v>
      </c>
    </row>
    <row r="365" spans="1:15" s="9" customFormat="1" x14ac:dyDescent="0.3">
      <c r="A365" s="167">
        <v>46157</v>
      </c>
      <c r="B365" s="70">
        <v>46157.555555555598</v>
      </c>
      <c r="C365" s="149">
        <f t="shared" si="35"/>
        <v>46157.555555555598</v>
      </c>
      <c r="D365" s="28" t="s">
        <v>18</v>
      </c>
      <c r="E365" s="8" t="s">
        <v>14</v>
      </c>
      <c r="F365" s="15" t="s">
        <v>19</v>
      </c>
      <c r="G365" s="16"/>
      <c r="H365" s="106">
        <v>13.4</v>
      </c>
      <c r="I365" s="111">
        <v>13.5</v>
      </c>
      <c r="J365" s="11" t="str">
        <f t="shared" si="36"/>
        <v/>
      </c>
      <c r="K365" s="12" t="str">
        <f t="shared" si="37"/>
        <v/>
      </c>
      <c r="L365" s="125">
        <f t="shared" si="38"/>
        <v>9.9999999999999645E-2</v>
      </c>
      <c r="M365" s="47" t="str">
        <f t="shared" si="39"/>
        <v/>
      </c>
      <c r="N365" s="47" t="str">
        <f t="shared" si="40"/>
        <v/>
      </c>
      <c r="O365" s="47" t="str">
        <f t="shared" si="41"/>
        <v>Within Tolerance</v>
      </c>
    </row>
    <row r="366" spans="1:15" s="9" customFormat="1" x14ac:dyDescent="0.3">
      <c r="A366" s="166">
        <v>46157</v>
      </c>
      <c r="B366" s="71">
        <v>46157.451388888898</v>
      </c>
      <c r="C366" s="150">
        <f t="shared" si="35"/>
        <v>46157.451388888898</v>
      </c>
      <c r="D366" s="22" t="s">
        <v>49</v>
      </c>
      <c r="E366" s="8" t="s">
        <v>10</v>
      </c>
      <c r="F366" s="7" t="s">
        <v>24</v>
      </c>
      <c r="G366" s="8"/>
      <c r="H366" s="107">
        <v>13.9</v>
      </c>
      <c r="I366" s="111">
        <v>13.8</v>
      </c>
      <c r="J366" s="11" t="str">
        <f t="shared" si="36"/>
        <v/>
      </c>
      <c r="K366" s="12" t="str">
        <f t="shared" si="37"/>
        <v/>
      </c>
      <c r="L366" s="125">
        <f t="shared" si="38"/>
        <v>-9.9999999999999645E-2</v>
      </c>
      <c r="M366" s="47" t="str">
        <f t="shared" si="39"/>
        <v/>
      </c>
      <c r="N366" s="47" t="str">
        <f t="shared" si="40"/>
        <v/>
      </c>
      <c r="O366" s="47" t="str">
        <f t="shared" si="41"/>
        <v>Within Tolerance</v>
      </c>
    </row>
    <row r="367" spans="1:15" s="9" customFormat="1" x14ac:dyDescent="0.3">
      <c r="A367" s="167">
        <v>46157</v>
      </c>
      <c r="B367" s="72">
        <v>46157.479166666701</v>
      </c>
      <c r="C367" s="151">
        <f t="shared" si="35"/>
        <v>46157.479166666701</v>
      </c>
      <c r="D367" s="29" t="s">
        <v>51</v>
      </c>
      <c r="E367" s="8" t="s">
        <v>10</v>
      </c>
      <c r="F367" s="7" t="s">
        <v>24</v>
      </c>
      <c r="G367" s="8"/>
      <c r="H367" s="107">
        <v>13.9</v>
      </c>
      <c r="I367" s="111">
        <v>13.7</v>
      </c>
      <c r="J367" s="11" t="str">
        <f t="shared" si="36"/>
        <v/>
      </c>
      <c r="K367" s="12" t="str">
        <f t="shared" si="37"/>
        <v/>
      </c>
      <c r="L367" s="125">
        <f t="shared" si="38"/>
        <v>-0.20000000000000107</v>
      </c>
      <c r="M367" s="47" t="str">
        <f t="shared" si="39"/>
        <v/>
      </c>
      <c r="N367" s="47" t="str">
        <f t="shared" si="40"/>
        <v/>
      </c>
      <c r="O367" s="47" t="str">
        <f t="shared" si="41"/>
        <v>Out of Tolerance</v>
      </c>
    </row>
    <row r="368" spans="1:15" s="9" customFormat="1" x14ac:dyDescent="0.3">
      <c r="A368" s="166">
        <v>46157</v>
      </c>
      <c r="B368" s="73">
        <v>46157.715277777803</v>
      </c>
      <c r="C368" s="152">
        <f t="shared" si="35"/>
        <v>46157.715277777803</v>
      </c>
      <c r="D368" s="23" t="s">
        <v>50</v>
      </c>
      <c r="E368" s="8" t="s">
        <v>10</v>
      </c>
      <c r="F368" s="7" t="s">
        <v>24</v>
      </c>
      <c r="G368" s="8"/>
      <c r="H368" s="106">
        <v>13.8</v>
      </c>
      <c r="I368" s="111">
        <v>13.8</v>
      </c>
      <c r="J368" s="11" t="str">
        <f t="shared" si="36"/>
        <v/>
      </c>
      <c r="K368" s="12" t="str">
        <f t="shared" si="37"/>
        <v/>
      </c>
      <c r="L368" s="125">
        <f t="shared" si="38"/>
        <v>0</v>
      </c>
      <c r="M368" s="47" t="str">
        <f t="shared" si="39"/>
        <v/>
      </c>
      <c r="N368" s="47" t="str">
        <f t="shared" si="40"/>
        <v/>
      </c>
      <c r="O368" s="47" t="str">
        <f t="shared" si="41"/>
        <v>Within Tolerance</v>
      </c>
    </row>
    <row r="369" spans="1:15" s="9" customFormat="1" x14ac:dyDescent="0.3">
      <c r="A369" s="167">
        <v>46158</v>
      </c>
      <c r="B369" s="74">
        <v>46158.333333333299</v>
      </c>
      <c r="C369" s="139">
        <f t="shared" si="35"/>
        <v>46158.333333333299</v>
      </c>
      <c r="D369" s="19" t="s">
        <v>35</v>
      </c>
      <c r="E369" s="8" t="s">
        <v>14</v>
      </c>
      <c r="F369" s="7" t="s">
        <v>11</v>
      </c>
      <c r="G369" s="25">
        <v>13.89</v>
      </c>
      <c r="H369" s="107">
        <v>14</v>
      </c>
      <c r="I369" s="111">
        <v>13.9</v>
      </c>
      <c r="J369" s="11">
        <f t="shared" si="36"/>
        <v>0.10999999999999943</v>
      </c>
      <c r="K369" s="12">
        <f t="shared" si="37"/>
        <v>9.9999999999997868E-3</v>
      </c>
      <c r="L369" s="125">
        <f t="shared" si="38"/>
        <v>-9.9999999999999645E-2</v>
      </c>
      <c r="M369" s="47" t="str">
        <f t="shared" si="39"/>
        <v>Within Tolerance</v>
      </c>
      <c r="N369" s="47" t="str">
        <f t="shared" si="40"/>
        <v>Within Tolerance</v>
      </c>
      <c r="O369" s="47" t="str">
        <f t="shared" si="41"/>
        <v>Within Tolerance</v>
      </c>
    </row>
    <row r="370" spans="1:15" s="9" customFormat="1" x14ac:dyDescent="0.3">
      <c r="A370" s="166">
        <v>46158</v>
      </c>
      <c r="B370" s="74">
        <v>46158.416666666701</v>
      </c>
      <c r="C370" s="139">
        <f t="shared" si="35"/>
        <v>46158.416666666701</v>
      </c>
      <c r="D370" s="19" t="s">
        <v>35</v>
      </c>
      <c r="E370" s="8" t="s">
        <v>14</v>
      </c>
      <c r="F370" s="7" t="s">
        <v>11</v>
      </c>
      <c r="G370" s="25" t="s">
        <v>93</v>
      </c>
      <c r="H370" s="107">
        <v>14.1</v>
      </c>
      <c r="I370" s="111">
        <v>14.1</v>
      </c>
      <c r="J370" s="11" t="str">
        <f t="shared" si="36"/>
        <v/>
      </c>
      <c r="K370" s="12" t="str">
        <f t="shared" si="37"/>
        <v/>
      </c>
      <c r="L370" s="125">
        <f t="shared" si="38"/>
        <v>0</v>
      </c>
      <c r="M370" s="47" t="str">
        <f t="shared" si="39"/>
        <v/>
      </c>
      <c r="N370" s="47" t="str">
        <f t="shared" si="40"/>
        <v/>
      </c>
      <c r="O370" s="47" t="str">
        <f t="shared" si="41"/>
        <v>Within Tolerance</v>
      </c>
    </row>
    <row r="371" spans="1:15" s="9" customFormat="1" x14ac:dyDescent="0.3">
      <c r="A371" s="167">
        <v>46158</v>
      </c>
      <c r="B371" s="74">
        <v>46158.5</v>
      </c>
      <c r="C371" s="139">
        <f t="shared" si="35"/>
        <v>46158.5</v>
      </c>
      <c r="D371" s="19" t="s">
        <v>35</v>
      </c>
      <c r="E371" s="8" t="s">
        <v>14</v>
      </c>
      <c r="F371" s="7" t="s">
        <v>11</v>
      </c>
      <c r="G371" s="25" t="s">
        <v>93</v>
      </c>
      <c r="H371" s="107">
        <v>14</v>
      </c>
      <c r="I371" s="111">
        <v>14.1</v>
      </c>
      <c r="J371" s="11" t="str">
        <f t="shared" si="36"/>
        <v/>
      </c>
      <c r="K371" s="12" t="str">
        <f t="shared" si="37"/>
        <v/>
      </c>
      <c r="L371" s="125">
        <f t="shared" si="38"/>
        <v>9.9999999999999645E-2</v>
      </c>
      <c r="M371" s="47" t="str">
        <f t="shared" si="39"/>
        <v/>
      </c>
      <c r="N371" s="47" t="str">
        <f t="shared" si="40"/>
        <v/>
      </c>
      <c r="O371" s="47" t="str">
        <f t="shared" si="41"/>
        <v>Within Tolerance</v>
      </c>
    </row>
    <row r="372" spans="1:15" s="9" customFormat="1" x14ac:dyDescent="0.3">
      <c r="A372" s="166">
        <v>46158</v>
      </c>
      <c r="B372" s="74">
        <v>46158.583333333299</v>
      </c>
      <c r="C372" s="139">
        <f t="shared" si="35"/>
        <v>46158.583333333299</v>
      </c>
      <c r="D372" s="19" t="s">
        <v>35</v>
      </c>
      <c r="E372" s="8" t="s">
        <v>14</v>
      </c>
      <c r="F372" s="7" t="s">
        <v>11</v>
      </c>
      <c r="G372" s="25" t="s">
        <v>93</v>
      </c>
      <c r="H372" s="107">
        <v>14</v>
      </c>
      <c r="I372" s="111">
        <v>14.1</v>
      </c>
      <c r="J372" s="11" t="str">
        <f t="shared" si="36"/>
        <v/>
      </c>
      <c r="K372" s="12" t="str">
        <f t="shared" si="37"/>
        <v/>
      </c>
      <c r="L372" s="125">
        <f t="shared" si="38"/>
        <v>9.9999999999999645E-2</v>
      </c>
      <c r="M372" s="47" t="str">
        <f t="shared" si="39"/>
        <v/>
      </c>
      <c r="N372" s="47" t="str">
        <f t="shared" si="40"/>
        <v/>
      </c>
      <c r="O372" s="47" t="str">
        <f t="shared" si="41"/>
        <v>Within Tolerance</v>
      </c>
    </row>
    <row r="373" spans="1:15" s="9" customFormat="1" x14ac:dyDescent="0.3">
      <c r="A373" s="167">
        <v>46158</v>
      </c>
      <c r="B373" s="74">
        <v>46158.708333333299</v>
      </c>
      <c r="C373" s="139">
        <f t="shared" si="35"/>
        <v>46158.708333333299</v>
      </c>
      <c r="D373" s="19" t="s">
        <v>37</v>
      </c>
      <c r="E373" s="8" t="s">
        <v>14</v>
      </c>
      <c r="F373" s="7" t="s">
        <v>11</v>
      </c>
      <c r="G373" s="25" t="s">
        <v>93</v>
      </c>
      <c r="H373" s="107">
        <v>13.8</v>
      </c>
      <c r="I373" s="111">
        <v>13.5</v>
      </c>
      <c r="J373" s="11" t="str">
        <f t="shared" si="36"/>
        <v/>
      </c>
      <c r="K373" s="12" t="str">
        <f t="shared" si="37"/>
        <v/>
      </c>
      <c r="L373" s="125">
        <f t="shared" si="38"/>
        <v>-0.30000000000000071</v>
      </c>
      <c r="M373" s="47" t="str">
        <f t="shared" si="39"/>
        <v/>
      </c>
      <c r="N373" s="47" t="str">
        <f t="shared" si="40"/>
        <v/>
      </c>
      <c r="O373" s="47" t="str">
        <f t="shared" si="41"/>
        <v>Out of Tolerance</v>
      </c>
    </row>
    <row r="374" spans="1:15" s="9" customFormat="1" x14ac:dyDescent="0.3">
      <c r="A374" s="166">
        <v>46158</v>
      </c>
      <c r="B374" s="74">
        <v>46158.770833333299</v>
      </c>
      <c r="C374" s="139">
        <f t="shared" si="35"/>
        <v>46158.770833333299</v>
      </c>
      <c r="D374" s="19" t="s">
        <v>37</v>
      </c>
      <c r="E374" s="8" t="s">
        <v>14</v>
      </c>
      <c r="F374" s="7" t="s">
        <v>11</v>
      </c>
      <c r="G374" s="25">
        <v>13.56</v>
      </c>
      <c r="H374" s="107">
        <v>13.7</v>
      </c>
      <c r="I374" s="111">
        <v>13.5</v>
      </c>
      <c r="J374" s="11">
        <f t="shared" si="36"/>
        <v>0.13999999999999879</v>
      </c>
      <c r="K374" s="12">
        <f t="shared" si="37"/>
        <v>-6.0000000000000497E-2</v>
      </c>
      <c r="L374" s="125">
        <f t="shared" si="38"/>
        <v>-0.19999999999999929</v>
      </c>
      <c r="M374" s="47" t="str">
        <f t="shared" si="39"/>
        <v>Within Tolerance</v>
      </c>
      <c r="N374" s="47" t="str">
        <f t="shared" si="40"/>
        <v>Within Tolerance</v>
      </c>
      <c r="O374" s="47" t="str">
        <f t="shared" si="41"/>
        <v>Within Tolerance</v>
      </c>
    </row>
    <row r="375" spans="1:15" s="9" customFormat="1" x14ac:dyDescent="0.3">
      <c r="A375" s="167">
        <v>46158</v>
      </c>
      <c r="B375" s="74">
        <v>46158.833333333299</v>
      </c>
      <c r="C375" s="139">
        <f t="shared" si="35"/>
        <v>46158.833333333299</v>
      </c>
      <c r="D375" s="19" t="s">
        <v>37</v>
      </c>
      <c r="E375" s="8" t="s">
        <v>14</v>
      </c>
      <c r="F375" s="7" t="s">
        <v>11</v>
      </c>
      <c r="G375" s="25" t="s">
        <v>93</v>
      </c>
      <c r="H375" s="107">
        <v>13.9</v>
      </c>
      <c r="I375" s="111">
        <v>13.7</v>
      </c>
      <c r="J375" s="11" t="str">
        <f t="shared" si="36"/>
        <v/>
      </c>
      <c r="K375" s="12" t="str">
        <f t="shared" si="37"/>
        <v/>
      </c>
      <c r="L375" s="125">
        <f t="shared" si="38"/>
        <v>-0.20000000000000107</v>
      </c>
      <c r="M375" s="47" t="str">
        <f t="shared" si="39"/>
        <v/>
      </c>
      <c r="N375" s="47" t="str">
        <f t="shared" si="40"/>
        <v/>
      </c>
      <c r="O375" s="47" t="str">
        <f t="shared" si="41"/>
        <v>Out of Tolerance</v>
      </c>
    </row>
    <row r="376" spans="1:15" s="9" customFormat="1" x14ac:dyDescent="0.3">
      <c r="A376" s="166">
        <v>46158</v>
      </c>
      <c r="B376" s="74">
        <v>46158.895833333299</v>
      </c>
      <c r="C376" s="139">
        <f t="shared" si="35"/>
        <v>46158.895833333299</v>
      </c>
      <c r="D376" s="19" t="s">
        <v>37</v>
      </c>
      <c r="E376" s="8" t="s">
        <v>14</v>
      </c>
      <c r="F376" s="7" t="s">
        <v>11</v>
      </c>
      <c r="G376" s="25" t="s">
        <v>93</v>
      </c>
      <c r="H376" s="107">
        <v>13.8</v>
      </c>
      <c r="I376" s="111">
        <v>13.5</v>
      </c>
      <c r="J376" s="11" t="str">
        <f t="shared" si="36"/>
        <v/>
      </c>
      <c r="K376" s="12" t="str">
        <f t="shared" si="37"/>
        <v/>
      </c>
      <c r="L376" s="125">
        <f t="shared" si="38"/>
        <v>-0.30000000000000071</v>
      </c>
      <c r="M376" s="47" t="str">
        <f t="shared" si="39"/>
        <v/>
      </c>
      <c r="N376" s="47" t="str">
        <f t="shared" si="40"/>
        <v/>
      </c>
      <c r="O376" s="47" t="str">
        <f t="shared" si="41"/>
        <v>Out of Tolerance</v>
      </c>
    </row>
    <row r="377" spans="1:15" s="9" customFormat="1" x14ac:dyDescent="0.3">
      <c r="A377" s="167">
        <v>46158</v>
      </c>
      <c r="B377" s="74">
        <v>46159</v>
      </c>
      <c r="C377" s="139">
        <f t="shared" si="35"/>
        <v>46158</v>
      </c>
      <c r="D377" s="19" t="s">
        <v>37</v>
      </c>
      <c r="E377" s="8" t="s">
        <v>14</v>
      </c>
      <c r="F377" s="7" t="s">
        <v>11</v>
      </c>
      <c r="G377" s="25">
        <v>13.78</v>
      </c>
      <c r="H377" s="107">
        <v>13.9</v>
      </c>
      <c r="I377" s="111">
        <v>13.7</v>
      </c>
      <c r="J377" s="11">
        <f t="shared" si="36"/>
        <v>0.12000000000000099</v>
      </c>
      <c r="K377" s="12">
        <f t="shared" si="37"/>
        <v>-8.0000000000000071E-2</v>
      </c>
      <c r="L377" s="125">
        <f t="shared" si="38"/>
        <v>-0.20000000000000107</v>
      </c>
      <c r="M377" s="47" t="str">
        <f t="shared" si="39"/>
        <v>Within Tolerance</v>
      </c>
      <c r="N377" s="47" t="str">
        <f t="shared" si="40"/>
        <v>Within Tolerance</v>
      </c>
      <c r="O377" s="47" t="str">
        <f t="shared" si="41"/>
        <v>Out of Tolerance</v>
      </c>
    </row>
    <row r="378" spans="1:15" s="9" customFormat="1" x14ac:dyDescent="0.3">
      <c r="A378" s="166">
        <v>46159</v>
      </c>
      <c r="B378" s="74">
        <v>46159.083333333299</v>
      </c>
      <c r="C378" s="139">
        <f t="shared" si="35"/>
        <v>46159.083333333299</v>
      </c>
      <c r="D378" s="19" t="s">
        <v>37</v>
      </c>
      <c r="E378" s="8" t="s">
        <v>14</v>
      </c>
      <c r="F378" s="7" t="s">
        <v>11</v>
      </c>
      <c r="G378" s="25" t="s">
        <v>93</v>
      </c>
      <c r="H378" s="107">
        <v>13.8</v>
      </c>
      <c r="I378" s="111">
        <v>13.7</v>
      </c>
      <c r="J378" s="11" t="str">
        <f t="shared" si="36"/>
        <v/>
      </c>
      <c r="K378" s="12" t="str">
        <f t="shared" si="37"/>
        <v/>
      </c>
      <c r="L378" s="125">
        <f t="shared" si="38"/>
        <v>-0.10000000000000142</v>
      </c>
      <c r="M378" s="47" t="str">
        <f t="shared" si="39"/>
        <v/>
      </c>
      <c r="N378" s="47" t="str">
        <f t="shared" si="40"/>
        <v/>
      </c>
      <c r="O378" s="47" t="str">
        <f t="shared" si="41"/>
        <v>Within Tolerance</v>
      </c>
    </row>
    <row r="379" spans="1:15" s="9" customFormat="1" x14ac:dyDescent="0.3">
      <c r="A379" s="167">
        <v>46159</v>
      </c>
      <c r="B379" s="74">
        <v>46159.256944444402</v>
      </c>
      <c r="C379" s="139">
        <f t="shared" si="35"/>
        <v>46159.256944444402</v>
      </c>
      <c r="D379" s="19" t="s">
        <v>41</v>
      </c>
      <c r="E379" s="8" t="s">
        <v>10</v>
      </c>
      <c r="F379" s="8" t="s">
        <v>11</v>
      </c>
      <c r="G379" s="25" t="s">
        <v>93</v>
      </c>
      <c r="H379" s="107">
        <v>14</v>
      </c>
      <c r="I379" s="111">
        <v>14.1</v>
      </c>
      <c r="J379" s="11" t="str">
        <f t="shared" si="36"/>
        <v/>
      </c>
      <c r="K379" s="12" t="str">
        <f t="shared" si="37"/>
        <v/>
      </c>
      <c r="L379" s="125">
        <f t="shared" si="38"/>
        <v>9.9999999999999645E-2</v>
      </c>
      <c r="M379" s="47" t="str">
        <f t="shared" si="39"/>
        <v/>
      </c>
      <c r="N379" s="47" t="str">
        <f t="shared" si="40"/>
        <v/>
      </c>
      <c r="O379" s="47" t="str">
        <f t="shared" si="41"/>
        <v>Within Tolerance</v>
      </c>
    </row>
    <row r="380" spans="1:15" s="9" customFormat="1" x14ac:dyDescent="0.3">
      <c r="A380" s="166">
        <v>46158</v>
      </c>
      <c r="B380" s="61">
        <v>46158.333333333299</v>
      </c>
      <c r="C380" s="138">
        <f t="shared" si="35"/>
        <v>46158.333333333299</v>
      </c>
      <c r="D380" s="19" t="s">
        <v>52</v>
      </c>
      <c r="E380" s="8" t="s">
        <v>17</v>
      </c>
      <c r="F380" s="7" t="s">
        <v>15</v>
      </c>
      <c r="G380" s="25">
        <v>14.06</v>
      </c>
      <c r="H380" s="107">
        <v>14.1</v>
      </c>
      <c r="I380" s="111">
        <v>14</v>
      </c>
      <c r="J380" s="11">
        <f t="shared" si="36"/>
        <v>3.9999999999999147E-2</v>
      </c>
      <c r="K380" s="12">
        <f t="shared" si="37"/>
        <v>-6.0000000000000497E-2</v>
      </c>
      <c r="L380" s="125">
        <f t="shared" si="38"/>
        <v>-9.9999999999999645E-2</v>
      </c>
      <c r="M380" s="47" t="str">
        <f t="shared" si="39"/>
        <v>Within Tolerance</v>
      </c>
      <c r="N380" s="47" t="str">
        <f t="shared" si="40"/>
        <v>Within Tolerance</v>
      </c>
      <c r="O380" s="47" t="str">
        <f t="shared" si="41"/>
        <v>Within Tolerance</v>
      </c>
    </row>
    <row r="381" spans="1:15" s="9" customFormat="1" x14ac:dyDescent="0.3">
      <c r="A381" s="167">
        <v>46158</v>
      </c>
      <c r="B381" s="61">
        <v>46158.40625</v>
      </c>
      <c r="C381" s="138">
        <f t="shared" si="35"/>
        <v>46158.40625</v>
      </c>
      <c r="D381" s="19" t="s">
        <v>40</v>
      </c>
      <c r="E381" s="8" t="s">
        <v>17</v>
      </c>
      <c r="F381" s="7" t="s">
        <v>15</v>
      </c>
      <c r="G381" s="25" t="s">
        <v>93</v>
      </c>
      <c r="H381" s="107">
        <v>14.1</v>
      </c>
      <c r="I381" s="111">
        <v>13.9</v>
      </c>
      <c r="J381" s="11" t="str">
        <f t="shared" si="36"/>
        <v/>
      </c>
      <c r="K381" s="12" t="str">
        <f t="shared" si="37"/>
        <v/>
      </c>
      <c r="L381" s="125">
        <f t="shared" si="38"/>
        <v>-0.19999999999999929</v>
      </c>
      <c r="M381" s="47" t="str">
        <f t="shared" si="39"/>
        <v/>
      </c>
      <c r="N381" s="47" t="str">
        <f t="shared" si="40"/>
        <v/>
      </c>
      <c r="O381" s="47" t="str">
        <f t="shared" si="41"/>
        <v>Within Tolerance</v>
      </c>
    </row>
    <row r="382" spans="1:15" s="9" customFormat="1" x14ac:dyDescent="0.3">
      <c r="A382" s="166">
        <v>46158</v>
      </c>
      <c r="B382" s="61">
        <v>46158.5</v>
      </c>
      <c r="C382" s="138">
        <f t="shared" si="35"/>
        <v>46158.5</v>
      </c>
      <c r="D382" s="19" t="s">
        <v>40</v>
      </c>
      <c r="E382" s="8" t="s">
        <v>17</v>
      </c>
      <c r="F382" s="7" t="s">
        <v>15</v>
      </c>
      <c r="G382" s="25" t="s">
        <v>93</v>
      </c>
      <c r="H382" s="107">
        <v>14.2</v>
      </c>
      <c r="I382" s="111">
        <v>14.1</v>
      </c>
      <c r="J382" s="11" t="str">
        <f t="shared" si="36"/>
        <v/>
      </c>
      <c r="K382" s="12" t="str">
        <f t="shared" si="37"/>
        <v/>
      </c>
      <c r="L382" s="125">
        <f t="shared" si="38"/>
        <v>-9.9999999999999645E-2</v>
      </c>
      <c r="M382" s="47" t="str">
        <f t="shared" si="39"/>
        <v/>
      </c>
      <c r="N382" s="47" t="str">
        <f t="shared" si="40"/>
        <v/>
      </c>
      <c r="O382" s="47" t="str">
        <f t="shared" si="41"/>
        <v>Within Tolerance</v>
      </c>
    </row>
    <row r="383" spans="1:15" s="9" customFormat="1" x14ac:dyDescent="0.3">
      <c r="A383" s="167">
        <v>46158</v>
      </c>
      <c r="B383" s="61">
        <v>46158.583333333299</v>
      </c>
      <c r="C383" s="138">
        <f t="shared" si="35"/>
        <v>46158.583333333299</v>
      </c>
      <c r="D383" s="19" t="s">
        <v>40</v>
      </c>
      <c r="E383" s="8" t="s">
        <v>17</v>
      </c>
      <c r="F383" s="7" t="s">
        <v>15</v>
      </c>
      <c r="G383" s="25" t="s">
        <v>93</v>
      </c>
      <c r="H383" s="107">
        <v>14.2</v>
      </c>
      <c r="I383" s="111">
        <v>14.1</v>
      </c>
      <c r="J383" s="11" t="str">
        <f t="shared" si="36"/>
        <v/>
      </c>
      <c r="K383" s="12" t="str">
        <f t="shared" si="37"/>
        <v/>
      </c>
      <c r="L383" s="125">
        <f t="shared" si="38"/>
        <v>-9.9999999999999645E-2</v>
      </c>
      <c r="M383" s="47" t="str">
        <f t="shared" si="39"/>
        <v/>
      </c>
      <c r="N383" s="47" t="str">
        <f t="shared" si="40"/>
        <v/>
      </c>
      <c r="O383" s="47" t="str">
        <f t="shared" si="41"/>
        <v>Within Tolerance</v>
      </c>
    </row>
    <row r="384" spans="1:15" s="9" customFormat="1" x14ac:dyDescent="0.3">
      <c r="A384" s="166">
        <v>46158</v>
      </c>
      <c r="B384" s="61">
        <v>46158.680555555598</v>
      </c>
      <c r="C384" s="138">
        <f t="shared" si="35"/>
        <v>46158.680555555598</v>
      </c>
      <c r="D384" s="19" t="s">
        <v>40</v>
      </c>
      <c r="E384" s="8" t="s">
        <v>17</v>
      </c>
      <c r="F384" s="7" t="s">
        <v>15</v>
      </c>
      <c r="G384" s="25" t="s">
        <v>93</v>
      </c>
      <c r="H384" s="107">
        <v>14.3</v>
      </c>
      <c r="I384" s="111">
        <v>14.2</v>
      </c>
      <c r="J384" s="11" t="str">
        <f t="shared" si="36"/>
        <v/>
      </c>
      <c r="K384" s="12" t="str">
        <f t="shared" si="37"/>
        <v/>
      </c>
      <c r="L384" s="125">
        <f t="shared" si="38"/>
        <v>-0.10000000000000142</v>
      </c>
      <c r="M384" s="47" t="str">
        <f t="shared" si="39"/>
        <v/>
      </c>
      <c r="N384" s="47" t="str">
        <f t="shared" si="40"/>
        <v/>
      </c>
      <c r="O384" s="47" t="str">
        <f t="shared" si="41"/>
        <v>Within Tolerance</v>
      </c>
    </row>
    <row r="385" spans="1:15" s="9" customFormat="1" x14ac:dyDescent="0.3">
      <c r="A385" s="167">
        <v>46158</v>
      </c>
      <c r="B385" s="61">
        <v>46158.784722222197</v>
      </c>
      <c r="C385" s="138">
        <f t="shared" si="35"/>
        <v>46158.784722222197</v>
      </c>
      <c r="D385" s="19" t="s">
        <v>16</v>
      </c>
      <c r="E385" s="8" t="s">
        <v>17</v>
      </c>
      <c r="F385" s="7" t="s">
        <v>15</v>
      </c>
      <c r="G385" s="25" t="s">
        <v>93</v>
      </c>
      <c r="H385" s="107">
        <v>13.8</v>
      </c>
      <c r="I385" s="111">
        <v>13.8</v>
      </c>
      <c r="J385" s="11" t="str">
        <f t="shared" si="36"/>
        <v/>
      </c>
      <c r="K385" s="12" t="str">
        <f t="shared" si="37"/>
        <v/>
      </c>
      <c r="L385" s="125">
        <f t="shared" si="38"/>
        <v>0</v>
      </c>
      <c r="M385" s="47" t="str">
        <f t="shared" si="39"/>
        <v/>
      </c>
      <c r="N385" s="47" t="str">
        <f t="shared" si="40"/>
        <v/>
      </c>
      <c r="O385" s="47" t="str">
        <f t="shared" si="41"/>
        <v>Within Tolerance</v>
      </c>
    </row>
    <row r="386" spans="1:15" s="9" customFormat="1" x14ac:dyDescent="0.3">
      <c r="A386" s="166">
        <v>46158</v>
      </c>
      <c r="B386" s="61">
        <v>46158.833333333299</v>
      </c>
      <c r="C386" s="138">
        <f t="shared" ref="C386:C449" si="42">A386+MOD(B386,1)</f>
        <v>46158.833333333299</v>
      </c>
      <c r="D386" s="19" t="s">
        <v>16</v>
      </c>
      <c r="E386" s="8" t="s">
        <v>17</v>
      </c>
      <c r="F386" s="7" t="s">
        <v>15</v>
      </c>
      <c r="G386" s="25">
        <v>13.47</v>
      </c>
      <c r="H386" s="107">
        <v>13.7</v>
      </c>
      <c r="I386" s="111">
        <v>13.7</v>
      </c>
      <c r="J386" s="11">
        <f t="shared" si="36"/>
        <v>0.22999999999999865</v>
      </c>
      <c r="K386" s="12">
        <f t="shared" si="37"/>
        <v>0.22999999999999865</v>
      </c>
      <c r="L386" s="125">
        <f t="shared" si="38"/>
        <v>0</v>
      </c>
      <c r="M386" s="47" t="str">
        <f t="shared" si="39"/>
        <v>Out of Tolerance</v>
      </c>
      <c r="N386" s="47" t="str">
        <f t="shared" si="40"/>
        <v>Out of Tolerance</v>
      </c>
      <c r="O386" s="47" t="str">
        <f t="shared" si="41"/>
        <v>Within Tolerance</v>
      </c>
    </row>
    <row r="387" spans="1:15" s="9" customFormat="1" x14ac:dyDescent="0.3">
      <c r="A387" s="167">
        <v>46158</v>
      </c>
      <c r="B387" s="61">
        <v>46158.916666666701</v>
      </c>
      <c r="C387" s="138">
        <f t="shared" si="42"/>
        <v>46158.916666666701</v>
      </c>
      <c r="D387" s="19" t="s">
        <v>16</v>
      </c>
      <c r="E387" s="8" t="s">
        <v>17</v>
      </c>
      <c r="F387" s="7" t="s">
        <v>15</v>
      </c>
      <c r="G387" s="25" t="s">
        <v>93</v>
      </c>
      <c r="H387" s="107">
        <v>14</v>
      </c>
      <c r="I387" s="111">
        <v>14.1</v>
      </c>
      <c r="J387" s="11" t="str">
        <f t="shared" ref="J387:J450" si="43">IF(OR(H387="",G387=""),"",H387-G387)</f>
        <v/>
      </c>
      <c r="K387" s="12" t="str">
        <f t="shared" ref="K387:K450" si="44">IF(OR(TRIM(G387&amp;"")="",TRIM(I387&amp;"")="",G387="-",I387="-"),"",I387-G387)</f>
        <v/>
      </c>
      <c r="L387" s="125">
        <f t="shared" ref="L387:L450" si="45">IF(OR(TRIM(H387&amp;"")="",TRIM(I387&amp;"")="",H387="-",I387="-"),"",I387-H387)</f>
        <v>9.9999999999999645E-2</v>
      </c>
      <c r="M387" s="47" t="str">
        <f t="shared" ref="M387:M450" si="46">IF(J387="","",IF(ABS(J387)&lt;=0.2,"Within Tolerance","Out of Tolerance"))</f>
        <v/>
      </c>
      <c r="N387" s="47" t="str">
        <f t="shared" ref="N387:N450" si="47">IF(K387="","",IF(ABS(K387)&lt;=0.2,"Within Tolerance","Out of Tolerance"))</f>
        <v/>
      </c>
      <c r="O387" s="47" t="str">
        <f t="shared" ref="O387:O450" si="48">IF(L387="","",IF(ABS(L387)&lt;=0.2,"Within Tolerance","Out of Tolerance"))</f>
        <v>Within Tolerance</v>
      </c>
    </row>
    <row r="388" spans="1:15" s="9" customFormat="1" x14ac:dyDescent="0.3">
      <c r="A388" s="166">
        <v>46158</v>
      </c>
      <c r="B388" s="61">
        <v>46159</v>
      </c>
      <c r="C388" s="138">
        <f t="shared" si="42"/>
        <v>46158</v>
      </c>
      <c r="D388" s="19" t="s">
        <v>16</v>
      </c>
      <c r="E388" s="8" t="s">
        <v>17</v>
      </c>
      <c r="F388" s="7" t="s">
        <v>15</v>
      </c>
      <c r="G388" s="16"/>
      <c r="H388" s="107">
        <v>13.9</v>
      </c>
      <c r="I388" s="111">
        <v>14.1</v>
      </c>
      <c r="J388" s="11" t="str">
        <f t="shared" si="43"/>
        <v/>
      </c>
      <c r="K388" s="12" t="str">
        <f t="shared" si="44"/>
        <v/>
      </c>
      <c r="L388" s="125">
        <f t="shared" si="45"/>
        <v>0.19999999999999929</v>
      </c>
      <c r="M388" s="47" t="str">
        <f t="shared" si="46"/>
        <v/>
      </c>
      <c r="N388" s="47" t="str">
        <f t="shared" si="47"/>
        <v/>
      </c>
      <c r="O388" s="47" t="str">
        <f t="shared" si="48"/>
        <v>Within Tolerance</v>
      </c>
    </row>
    <row r="389" spans="1:15" s="9" customFormat="1" x14ac:dyDescent="0.3">
      <c r="A389" s="167">
        <v>46159</v>
      </c>
      <c r="B389" s="61">
        <v>46159.083333333299</v>
      </c>
      <c r="C389" s="138">
        <f t="shared" si="42"/>
        <v>46159.083333333299</v>
      </c>
      <c r="D389" s="19" t="s">
        <v>41</v>
      </c>
      <c r="E389" s="8" t="s">
        <v>10</v>
      </c>
      <c r="F389" s="7" t="s">
        <v>15</v>
      </c>
      <c r="G389" s="25" t="s">
        <v>93</v>
      </c>
      <c r="H389" s="107">
        <v>14</v>
      </c>
      <c r="I389" s="111">
        <v>14</v>
      </c>
      <c r="J389" s="11" t="str">
        <f t="shared" si="43"/>
        <v/>
      </c>
      <c r="K389" s="12" t="str">
        <f t="shared" si="44"/>
        <v/>
      </c>
      <c r="L389" s="125">
        <f t="shared" si="45"/>
        <v>0</v>
      </c>
      <c r="M389" s="47" t="str">
        <f t="shared" si="46"/>
        <v/>
      </c>
      <c r="N389" s="47" t="str">
        <f t="shared" si="47"/>
        <v/>
      </c>
      <c r="O389" s="47" t="str">
        <f t="shared" si="48"/>
        <v>Within Tolerance</v>
      </c>
    </row>
    <row r="390" spans="1:15" s="9" customFormat="1" x14ac:dyDescent="0.3">
      <c r="A390" s="166">
        <v>46159</v>
      </c>
      <c r="B390" s="61">
        <v>46159.125</v>
      </c>
      <c r="C390" s="138">
        <f t="shared" si="42"/>
        <v>46159.125</v>
      </c>
      <c r="D390" s="19" t="s">
        <v>41</v>
      </c>
      <c r="E390" s="8" t="s">
        <v>10</v>
      </c>
      <c r="F390" s="7" t="s">
        <v>15</v>
      </c>
      <c r="G390" s="25" t="s">
        <v>93</v>
      </c>
      <c r="H390" s="107">
        <v>13.9</v>
      </c>
      <c r="I390" s="111">
        <v>14</v>
      </c>
      <c r="J390" s="11" t="str">
        <f t="shared" si="43"/>
        <v/>
      </c>
      <c r="K390" s="12" t="str">
        <f t="shared" si="44"/>
        <v/>
      </c>
      <c r="L390" s="125">
        <f t="shared" si="45"/>
        <v>9.9999999999999645E-2</v>
      </c>
      <c r="M390" s="47" t="str">
        <f t="shared" si="46"/>
        <v/>
      </c>
      <c r="N390" s="47" t="str">
        <f t="shared" si="47"/>
        <v/>
      </c>
      <c r="O390" s="47" t="str">
        <f t="shared" si="48"/>
        <v>Within Tolerance</v>
      </c>
    </row>
    <row r="391" spans="1:15" s="9" customFormat="1" x14ac:dyDescent="0.3">
      <c r="A391" s="167">
        <v>46159</v>
      </c>
      <c r="B391" s="61">
        <v>46159.166666666701</v>
      </c>
      <c r="C391" s="138">
        <f t="shared" si="42"/>
        <v>46159.166666666701</v>
      </c>
      <c r="D391" s="19" t="s">
        <v>41</v>
      </c>
      <c r="E391" s="8" t="s">
        <v>10</v>
      </c>
      <c r="F391" s="7" t="s">
        <v>15</v>
      </c>
      <c r="G391" s="25" t="s">
        <v>93</v>
      </c>
      <c r="H391" s="107">
        <v>14.1</v>
      </c>
      <c r="I391" s="111">
        <v>14.1</v>
      </c>
      <c r="J391" s="11" t="str">
        <f t="shared" si="43"/>
        <v/>
      </c>
      <c r="K391" s="12" t="str">
        <f t="shared" si="44"/>
        <v/>
      </c>
      <c r="L391" s="125">
        <f t="shared" si="45"/>
        <v>0</v>
      </c>
      <c r="M391" s="47" t="str">
        <f t="shared" si="46"/>
        <v/>
      </c>
      <c r="N391" s="47" t="str">
        <f t="shared" si="47"/>
        <v/>
      </c>
      <c r="O391" s="47" t="str">
        <f t="shared" si="48"/>
        <v>Within Tolerance</v>
      </c>
    </row>
    <row r="392" spans="1:15" s="9" customFormat="1" x14ac:dyDescent="0.3">
      <c r="A392" s="166">
        <v>46159</v>
      </c>
      <c r="B392" s="61">
        <v>46159.25</v>
      </c>
      <c r="C392" s="138">
        <f t="shared" si="42"/>
        <v>46159.25</v>
      </c>
      <c r="D392" s="19" t="s">
        <v>41</v>
      </c>
      <c r="E392" s="8" t="s">
        <v>10</v>
      </c>
      <c r="F392" s="7" t="s">
        <v>15</v>
      </c>
      <c r="G392" s="25" t="s">
        <v>93</v>
      </c>
      <c r="H392" s="107">
        <v>14.2</v>
      </c>
      <c r="I392" s="111">
        <v>14.2</v>
      </c>
      <c r="J392" s="11" t="str">
        <f t="shared" si="43"/>
        <v/>
      </c>
      <c r="K392" s="12" t="str">
        <f t="shared" si="44"/>
        <v/>
      </c>
      <c r="L392" s="125">
        <f t="shared" si="45"/>
        <v>0</v>
      </c>
      <c r="M392" s="47" t="str">
        <f t="shared" si="46"/>
        <v/>
      </c>
      <c r="N392" s="47" t="str">
        <f t="shared" si="47"/>
        <v/>
      </c>
      <c r="O392" s="47" t="str">
        <f t="shared" si="48"/>
        <v>Within Tolerance</v>
      </c>
    </row>
    <row r="393" spans="1:15" s="9" customFormat="1" x14ac:dyDescent="0.3">
      <c r="A393" s="167">
        <v>46158</v>
      </c>
      <c r="B393" s="75">
        <v>46158.399305555598</v>
      </c>
      <c r="C393" s="153">
        <f t="shared" si="42"/>
        <v>46158.399305555598</v>
      </c>
      <c r="D393" s="30" t="s">
        <v>55</v>
      </c>
      <c r="E393" s="8" t="s">
        <v>14</v>
      </c>
      <c r="F393" s="15" t="s">
        <v>19</v>
      </c>
      <c r="G393" s="25" t="s">
        <v>93</v>
      </c>
      <c r="H393" s="107">
        <v>13.9</v>
      </c>
      <c r="I393" s="111">
        <v>13.9</v>
      </c>
      <c r="J393" s="11" t="str">
        <f t="shared" si="43"/>
        <v/>
      </c>
      <c r="K393" s="12" t="str">
        <f t="shared" si="44"/>
        <v/>
      </c>
      <c r="L393" s="125">
        <f t="shared" si="45"/>
        <v>0</v>
      </c>
      <c r="M393" s="47" t="str">
        <f t="shared" si="46"/>
        <v/>
      </c>
      <c r="N393" s="47" t="str">
        <f t="shared" si="47"/>
        <v/>
      </c>
      <c r="O393" s="47" t="str">
        <f t="shared" si="48"/>
        <v>Within Tolerance</v>
      </c>
    </row>
    <row r="394" spans="1:15" s="9" customFormat="1" x14ac:dyDescent="0.3">
      <c r="A394" s="166">
        <v>46158</v>
      </c>
      <c r="B394" s="76">
        <v>46158.458333333299</v>
      </c>
      <c r="C394" s="154">
        <f t="shared" si="42"/>
        <v>46158.458333333299</v>
      </c>
      <c r="D394" s="31" t="s">
        <v>20</v>
      </c>
      <c r="E394" s="8" t="s">
        <v>14</v>
      </c>
      <c r="F394" s="15" t="s">
        <v>19</v>
      </c>
      <c r="G394" s="16"/>
      <c r="H394" s="107">
        <v>13.9</v>
      </c>
      <c r="I394" s="111">
        <v>13.8</v>
      </c>
      <c r="J394" s="11" t="str">
        <f t="shared" si="43"/>
        <v/>
      </c>
      <c r="K394" s="12" t="str">
        <f t="shared" si="44"/>
        <v/>
      </c>
      <c r="L394" s="125">
        <f t="shared" si="45"/>
        <v>-9.9999999999999645E-2</v>
      </c>
      <c r="M394" s="47" t="str">
        <f t="shared" si="46"/>
        <v/>
      </c>
      <c r="N394" s="47" t="str">
        <f t="shared" si="47"/>
        <v/>
      </c>
      <c r="O394" s="47" t="str">
        <f t="shared" si="48"/>
        <v>Within Tolerance</v>
      </c>
    </row>
    <row r="395" spans="1:15" s="9" customFormat="1" x14ac:dyDescent="0.3">
      <c r="A395" s="167">
        <v>46158</v>
      </c>
      <c r="B395" s="77">
        <v>46158.482638888898</v>
      </c>
      <c r="C395" s="155">
        <f t="shared" si="42"/>
        <v>46158.482638888898</v>
      </c>
      <c r="D395" s="32" t="s">
        <v>21</v>
      </c>
      <c r="E395" s="8" t="s">
        <v>10</v>
      </c>
      <c r="F395" s="15" t="s">
        <v>19</v>
      </c>
      <c r="G395" s="25" t="s">
        <v>93</v>
      </c>
      <c r="H395" s="107">
        <v>14</v>
      </c>
      <c r="I395" s="111">
        <v>13.8</v>
      </c>
      <c r="J395" s="11" t="str">
        <f t="shared" si="43"/>
        <v/>
      </c>
      <c r="K395" s="12" t="str">
        <f t="shared" si="44"/>
        <v/>
      </c>
      <c r="L395" s="125">
        <f t="shared" si="45"/>
        <v>-0.19999999999999929</v>
      </c>
      <c r="M395" s="47" t="str">
        <f t="shared" si="46"/>
        <v/>
      </c>
      <c r="N395" s="47" t="str">
        <f t="shared" si="47"/>
        <v/>
      </c>
      <c r="O395" s="47" t="str">
        <f t="shared" si="48"/>
        <v>Within Tolerance</v>
      </c>
    </row>
    <row r="396" spans="1:15" s="9" customFormat="1" x14ac:dyDescent="0.3">
      <c r="A396" s="166">
        <v>46158</v>
      </c>
      <c r="B396" s="73">
        <v>46158.736111111102</v>
      </c>
      <c r="C396" s="156">
        <f t="shared" si="42"/>
        <v>46158.736111111102</v>
      </c>
      <c r="D396" s="7" t="s">
        <v>27</v>
      </c>
      <c r="E396" s="8" t="s">
        <v>10</v>
      </c>
      <c r="F396" s="15" t="s">
        <v>19</v>
      </c>
      <c r="G396" s="25" t="s">
        <v>93</v>
      </c>
      <c r="H396" s="107">
        <v>14</v>
      </c>
      <c r="I396" s="111">
        <v>14</v>
      </c>
      <c r="J396" s="11" t="str">
        <f t="shared" si="43"/>
        <v/>
      </c>
      <c r="K396" s="12" t="str">
        <f t="shared" si="44"/>
        <v/>
      </c>
      <c r="L396" s="125">
        <f t="shared" si="45"/>
        <v>0</v>
      </c>
      <c r="M396" s="47" t="str">
        <f t="shared" si="46"/>
        <v/>
      </c>
      <c r="N396" s="47" t="str">
        <f t="shared" si="47"/>
        <v/>
      </c>
      <c r="O396" s="47" t="str">
        <f t="shared" si="48"/>
        <v>Within Tolerance</v>
      </c>
    </row>
    <row r="397" spans="1:15" s="9" customFormat="1" x14ac:dyDescent="0.3">
      <c r="A397" s="167">
        <v>46158</v>
      </c>
      <c r="B397" s="78">
        <v>46158.430555555598</v>
      </c>
      <c r="C397" s="157">
        <f t="shared" si="42"/>
        <v>46158.430555555598</v>
      </c>
      <c r="D397" s="29" t="s">
        <v>51</v>
      </c>
      <c r="E397" s="8" t="s">
        <v>10</v>
      </c>
      <c r="F397" s="7" t="s">
        <v>24</v>
      </c>
      <c r="G397" s="25" t="s">
        <v>93</v>
      </c>
      <c r="H397" s="107">
        <v>13.9</v>
      </c>
      <c r="I397" s="111">
        <v>13.7</v>
      </c>
      <c r="J397" s="11" t="str">
        <f t="shared" si="43"/>
        <v/>
      </c>
      <c r="K397" s="12" t="str">
        <f t="shared" si="44"/>
        <v/>
      </c>
      <c r="L397" s="125">
        <f t="shared" si="45"/>
        <v>-0.20000000000000107</v>
      </c>
      <c r="M397" s="47" t="str">
        <f t="shared" si="46"/>
        <v/>
      </c>
      <c r="N397" s="47" t="str">
        <f t="shared" si="47"/>
        <v/>
      </c>
      <c r="O397" s="47" t="str">
        <f t="shared" si="48"/>
        <v>Out of Tolerance</v>
      </c>
    </row>
    <row r="398" spans="1:15" s="9" customFormat="1" x14ac:dyDescent="0.3">
      <c r="A398" s="166">
        <v>46158</v>
      </c>
      <c r="B398" s="79">
        <v>46158.5</v>
      </c>
      <c r="C398" s="141">
        <f t="shared" si="42"/>
        <v>46158.5</v>
      </c>
      <c r="D398" s="23" t="s">
        <v>50</v>
      </c>
      <c r="E398" s="8" t="s">
        <v>10</v>
      </c>
      <c r="F398" s="7" t="s">
        <v>24</v>
      </c>
      <c r="G398" s="25" t="s">
        <v>93</v>
      </c>
      <c r="H398" s="107">
        <v>13.9</v>
      </c>
      <c r="I398" s="111">
        <v>13.8</v>
      </c>
      <c r="J398" s="11" t="str">
        <f t="shared" si="43"/>
        <v/>
      </c>
      <c r="K398" s="12" t="str">
        <f t="shared" si="44"/>
        <v/>
      </c>
      <c r="L398" s="125">
        <f t="shared" si="45"/>
        <v>-9.9999999999999645E-2</v>
      </c>
      <c r="M398" s="47" t="str">
        <f t="shared" si="46"/>
        <v/>
      </c>
      <c r="N398" s="47" t="str">
        <f t="shared" si="47"/>
        <v/>
      </c>
      <c r="O398" s="47" t="str">
        <f t="shared" si="48"/>
        <v>Within Tolerance</v>
      </c>
    </row>
    <row r="399" spans="1:15" s="9" customFormat="1" x14ac:dyDescent="0.3">
      <c r="A399" s="167">
        <v>46159</v>
      </c>
      <c r="B399" s="70">
        <v>46158.569444444402</v>
      </c>
      <c r="C399" s="157">
        <f t="shared" si="42"/>
        <v>46159.569444444402</v>
      </c>
      <c r="D399" s="22" t="s">
        <v>49</v>
      </c>
      <c r="E399" s="8" t="s">
        <v>10</v>
      </c>
      <c r="F399" s="7" t="s">
        <v>24</v>
      </c>
      <c r="G399" s="25" t="s">
        <v>93</v>
      </c>
      <c r="H399" s="107">
        <v>13.7</v>
      </c>
      <c r="I399" s="111">
        <v>13.8</v>
      </c>
      <c r="J399" s="11" t="str">
        <f t="shared" si="43"/>
        <v/>
      </c>
      <c r="K399" s="12" t="str">
        <f t="shared" si="44"/>
        <v/>
      </c>
      <c r="L399" s="125">
        <f t="shared" si="45"/>
        <v>0.10000000000000142</v>
      </c>
      <c r="M399" s="47" t="str">
        <f t="shared" si="46"/>
        <v/>
      </c>
      <c r="N399" s="47" t="str">
        <f t="shared" si="47"/>
        <v/>
      </c>
      <c r="O399" s="47" t="str">
        <f t="shared" si="48"/>
        <v>Within Tolerance</v>
      </c>
    </row>
    <row r="400" spans="1:15" s="9" customFormat="1" x14ac:dyDescent="0.3">
      <c r="A400" s="166">
        <v>46159</v>
      </c>
      <c r="B400" s="61">
        <v>46159.333333333299</v>
      </c>
      <c r="C400" s="138">
        <f t="shared" si="42"/>
        <v>46159.333333333299</v>
      </c>
      <c r="D400" s="19" t="s">
        <v>41</v>
      </c>
      <c r="E400" s="8" t="s">
        <v>10</v>
      </c>
      <c r="F400" s="7" t="s">
        <v>11</v>
      </c>
      <c r="G400" s="25">
        <v>14.12</v>
      </c>
      <c r="H400" s="107">
        <v>14.2</v>
      </c>
      <c r="I400" s="111">
        <v>14.3</v>
      </c>
      <c r="J400" s="11">
        <f t="shared" si="43"/>
        <v>8.0000000000000071E-2</v>
      </c>
      <c r="K400" s="12">
        <f t="shared" si="44"/>
        <v>0.18000000000000149</v>
      </c>
      <c r="L400" s="125">
        <f t="shared" si="45"/>
        <v>0.10000000000000142</v>
      </c>
      <c r="M400" s="47" t="str">
        <f t="shared" si="46"/>
        <v>Within Tolerance</v>
      </c>
      <c r="N400" s="47" t="str">
        <f t="shared" si="47"/>
        <v>Within Tolerance</v>
      </c>
      <c r="O400" s="47" t="str">
        <f t="shared" si="48"/>
        <v>Within Tolerance</v>
      </c>
    </row>
    <row r="401" spans="1:15" s="9" customFormat="1" x14ac:dyDescent="0.3">
      <c r="A401" s="167">
        <v>46159</v>
      </c>
      <c r="B401" s="61">
        <v>46159.416666666701</v>
      </c>
      <c r="C401" s="138">
        <f t="shared" si="42"/>
        <v>46159.416666666701</v>
      </c>
      <c r="D401" s="19" t="s">
        <v>41</v>
      </c>
      <c r="E401" s="8" t="s">
        <v>10</v>
      </c>
      <c r="F401" s="7" t="s">
        <v>11</v>
      </c>
      <c r="G401" s="25" t="s">
        <v>93</v>
      </c>
      <c r="H401" s="107">
        <v>14.1</v>
      </c>
      <c r="I401" s="111">
        <v>14.3</v>
      </c>
      <c r="J401" s="11" t="str">
        <f t="shared" si="43"/>
        <v/>
      </c>
      <c r="K401" s="12" t="str">
        <f t="shared" si="44"/>
        <v/>
      </c>
      <c r="L401" s="125">
        <f t="shared" si="45"/>
        <v>0.20000000000000107</v>
      </c>
      <c r="M401" s="47" t="str">
        <f t="shared" si="46"/>
        <v/>
      </c>
      <c r="N401" s="47" t="str">
        <f t="shared" si="47"/>
        <v/>
      </c>
      <c r="O401" s="47" t="str">
        <f t="shared" si="48"/>
        <v>Out of Tolerance</v>
      </c>
    </row>
    <row r="402" spans="1:15" s="9" customFormat="1" x14ac:dyDescent="0.3">
      <c r="A402" s="166">
        <v>46159</v>
      </c>
      <c r="B402" s="61">
        <v>46159.5</v>
      </c>
      <c r="C402" s="138">
        <f t="shared" si="42"/>
        <v>46159.5</v>
      </c>
      <c r="D402" s="19" t="s">
        <v>41</v>
      </c>
      <c r="E402" s="8" t="s">
        <v>10</v>
      </c>
      <c r="F402" s="7" t="s">
        <v>11</v>
      </c>
      <c r="G402" s="25" t="s">
        <v>93</v>
      </c>
      <c r="H402" s="107">
        <v>14.2</v>
      </c>
      <c r="I402" s="111">
        <v>14.3</v>
      </c>
      <c r="J402" s="11" t="str">
        <f t="shared" si="43"/>
        <v/>
      </c>
      <c r="K402" s="12" t="str">
        <f t="shared" si="44"/>
        <v/>
      </c>
      <c r="L402" s="125">
        <f t="shared" si="45"/>
        <v>0.10000000000000142</v>
      </c>
      <c r="M402" s="47" t="str">
        <f t="shared" si="46"/>
        <v/>
      </c>
      <c r="N402" s="47" t="str">
        <f t="shared" si="47"/>
        <v/>
      </c>
      <c r="O402" s="47" t="str">
        <f t="shared" si="48"/>
        <v>Within Tolerance</v>
      </c>
    </row>
    <row r="403" spans="1:15" s="9" customFormat="1" x14ac:dyDescent="0.3">
      <c r="A403" s="167">
        <v>46159</v>
      </c>
      <c r="B403" s="61">
        <v>46159.583333333299</v>
      </c>
      <c r="C403" s="138">
        <f t="shared" si="42"/>
        <v>46159.583333333299</v>
      </c>
      <c r="D403" s="19" t="s">
        <v>41</v>
      </c>
      <c r="E403" s="8" t="s">
        <v>10</v>
      </c>
      <c r="F403" s="7" t="s">
        <v>11</v>
      </c>
      <c r="G403" s="25" t="s">
        <v>93</v>
      </c>
      <c r="H403" s="107">
        <v>14.2</v>
      </c>
      <c r="I403" s="111">
        <v>14.2</v>
      </c>
      <c r="J403" s="11" t="str">
        <f t="shared" si="43"/>
        <v/>
      </c>
      <c r="K403" s="12" t="str">
        <f t="shared" si="44"/>
        <v/>
      </c>
      <c r="L403" s="125">
        <f t="shared" si="45"/>
        <v>0</v>
      </c>
      <c r="M403" s="47" t="str">
        <f t="shared" si="46"/>
        <v/>
      </c>
      <c r="N403" s="47" t="str">
        <f t="shared" si="47"/>
        <v/>
      </c>
      <c r="O403" s="47" t="str">
        <f t="shared" si="48"/>
        <v>Within Tolerance</v>
      </c>
    </row>
    <row r="404" spans="1:15" s="9" customFormat="1" x14ac:dyDescent="0.3">
      <c r="A404" s="166">
        <v>46159</v>
      </c>
      <c r="B404" s="61">
        <v>46159.666666666701</v>
      </c>
      <c r="C404" s="138">
        <f t="shared" si="42"/>
        <v>46159.666666666701</v>
      </c>
      <c r="D404" s="19" t="s">
        <v>41</v>
      </c>
      <c r="E404" s="8" t="s">
        <v>10</v>
      </c>
      <c r="F404" s="7" t="s">
        <v>11</v>
      </c>
      <c r="G404" s="25" t="s">
        <v>93</v>
      </c>
      <c r="H404" s="107">
        <v>14.1</v>
      </c>
      <c r="I404" s="111">
        <v>14.1</v>
      </c>
      <c r="J404" s="11" t="str">
        <f t="shared" si="43"/>
        <v/>
      </c>
      <c r="K404" s="12" t="str">
        <f t="shared" si="44"/>
        <v/>
      </c>
      <c r="L404" s="125">
        <f t="shared" si="45"/>
        <v>0</v>
      </c>
      <c r="M404" s="47" t="str">
        <f t="shared" si="46"/>
        <v/>
      </c>
      <c r="N404" s="47" t="str">
        <f t="shared" si="47"/>
        <v/>
      </c>
      <c r="O404" s="47" t="str">
        <f t="shared" si="48"/>
        <v>Within Tolerance</v>
      </c>
    </row>
    <row r="405" spans="1:15" s="9" customFormat="1" x14ac:dyDescent="0.3">
      <c r="A405" s="167">
        <v>46159</v>
      </c>
      <c r="B405" s="61">
        <v>46159.75</v>
      </c>
      <c r="C405" s="138">
        <f t="shared" si="42"/>
        <v>46159.75</v>
      </c>
      <c r="D405" s="19" t="s">
        <v>41</v>
      </c>
      <c r="E405" s="8" t="s">
        <v>10</v>
      </c>
      <c r="F405" s="7" t="s">
        <v>11</v>
      </c>
      <c r="G405" s="25" t="s">
        <v>93</v>
      </c>
      <c r="H405" s="107">
        <v>14.1</v>
      </c>
      <c r="I405" s="111">
        <v>14.2</v>
      </c>
      <c r="J405" s="11" t="str">
        <f t="shared" si="43"/>
        <v/>
      </c>
      <c r="K405" s="12" t="str">
        <f t="shared" si="44"/>
        <v/>
      </c>
      <c r="L405" s="125">
        <f t="shared" si="45"/>
        <v>9.9999999999999645E-2</v>
      </c>
      <c r="M405" s="47" t="str">
        <f t="shared" si="46"/>
        <v/>
      </c>
      <c r="N405" s="47" t="str">
        <f t="shared" si="47"/>
        <v/>
      </c>
      <c r="O405" s="47" t="str">
        <f t="shared" si="48"/>
        <v>Within Tolerance</v>
      </c>
    </row>
    <row r="406" spans="1:15" s="9" customFormat="1" x14ac:dyDescent="0.3">
      <c r="A406" s="166">
        <v>46159</v>
      </c>
      <c r="B406" s="61">
        <v>46159.333333333299</v>
      </c>
      <c r="C406" s="138">
        <f t="shared" si="42"/>
        <v>46159.333333333299</v>
      </c>
      <c r="D406" s="19" t="s">
        <v>41</v>
      </c>
      <c r="E406" s="8" t="s">
        <v>10</v>
      </c>
      <c r="F406" s="7" t="s">
        <v>15</v>
      </c>
      <c r="G406" s="25">
        <v>14.49</v>
      </c>
      <c r="H406" s="107">
        <v>14.2</v>
      </c>
      <c r="I406" s="111">
        <v>14.3</v>
      </c>
      <c r="J406" s="11">
        <f t="shared" si="43"/>
        <v>-0.29000000000000092</v>
      </c>
      <c r="K406" s="12">
        <f t="shared" si="44"/>
        <v>-0.1899999999999995</v>
      </c>
      <c r="L406" s="125">
        <f t="shared" si="45"/>
        <v>0.10000000000000142</v>
      </c>
      <c r="M406" s="47" t="str">
        <f t="shared" si="46"/>
        <v>Out of Tolerance</v>
      </c>
      <c r="N406" s="47" t="str">
        <f t="shared" si="47"/>
        <v>Within Tolerance</v>
      </c>
      <c r="O406" s="47" t="str">
        <f t="shared" si="48"/>
        <v>Within Tolerance</v>
      </c>
    </row>
    <row r="407" spans="1:15" s="9" customFormat="1" x14ac:dyDescent="0.3">
      <c r="A407" s="167">
        <v>46159</v>
      </c>
      <c r="B407" s="61">
        <v>46159.416666666701</v>
      </c>
      <c r="C407" s="138">
        <f t="shared" si="42"/>
        <v>46159.416666666701</v>
      </c>
      <c r="D407" s="19" t="s">
        <v>41</v>
      </c>
      <c r="E407" s="8" t="s">
        <v>10</v>
      </c>
      <c r="F407" s="7" t="s">
        <v>15</v>
      </c>
      <c r="G407" s="25" t="s">
        <v>93</v>
      </c>
      <c r="H407" s="107">
        <v>14.2</v>
      </c>
      <c r="I407" s="111">
        <v>14.3</v>
      </c>
      <c r="J407" s="11" t="str">
        <f t="shared" si="43"/>
        <v/>
      </c>
      <c r="K407" s="12" t="str">
        <f t="shared" si="44"/>
        <v/>
      </c>
      <c r="L407" s="125">
        <f t="shared" si="45"/>
        <v>0.10000000000000142</v>
      </c>
      <c r="M407" s="47" t="str">
        <f t="shared" si="46"/>
        <v/>
      </c>
      <c r="N407" s="47" t="str">
        <f t="shared" si="47"/>
        <v/>
      </c>
      <c r="O407" s="47" t="str">
        <f t="shared" si="48"/>
        <v>Within Tolerance</v>
      </c>
    </row>
    <row r="408" spans="1:15" s="9" customFormat="1" x14ac:dyDescent="0.3">
      <c r="A408" s="166">
        <v>46159</v>
      </c>
      <c r="B408" s="61">
        <v>46159.5</v>
      </c>
      <c r="C408" s="138">
        <f t="shared" si="42"/>
        <v>46159.5</v>
      </c>
      <c r="D408" s="19" t="s">
        <v>41</v>
      </c>
      <c r="E408" s="8" t="s">
        <v>10</v>
      </c>
      <c r="F408" s="7" t="s">
        <v>15</v>
      </c>
      <c r="G408" s="25" t="s">
        <v>93</v>
      </c>
      <c r="H408" s="107">
        <v>14.1</v>
      </c>
      <c r="I408" s="111">
        <v>14.1</v>
      </c>
      <c r="J408" s="11" t="str">
        <f t="shared" si="43"/>
        <v/>
      </c>
      <c r="K408" s="12" t="str">
        <f t="shared" si="44"/>
        <v/>
      </c>
      <c r="L408" s="125">
        <f t="shared" si="45"/>
        <v>0</v>
      </c>
      <c r="M408" s="47" t="str">
        <f t="shared" si="46"/>
        <v/>
      </c>
      <c r="N408" s="47" t="str">
        <f t="shared" si="47"/>
        <v/>
      </c>
      <c r="O408" s="47" t="str">
        <f t="shared" si="48"/>
        <v>Within Tolerance</v>
      </c>
    </row>
    <row r="409" spans="1:15" s="9" customFormat="1" x14ac:dyDescent="0.3">
      <c r="A409" s="167">
        <v>46159</v>
      </c>
      <c r="B409" s="78">
        <v>46159.423611111102</v>
      </c>
      <c r="C409" s="150">
        <f t="shared" si="42"/>
        <v>46159.423611111102</v>
      </c>
      <c r="D409" s="23" t="s">
        <v>50</v>
      </c>
      <c r="E409" s="8" t="s">
        <v>10</v>
      </c>
      <c r="F409" s="7" t="s">
        <v>24</v>
      </c>
      <c r="G409" s="25" t="s">
        <v>93</v>
      </c>
      <c r="H409" s="107">
        <v>13.9</v>
      </c>
      <c r="I409" s="111">
        <v>13.9</v>
      </c>
      <c r="J409" s="11" t="str">
        <f t="shared" si="43"/>
        <v/>
      </c>
      <c r="K409" s="12" t="str">
        <f t="shared" si="44"/>
        <v/>
      </c>
      <c r="L409" s="125">
        <f t="shared" si="45"/>
        <v>0</v>
      </c>
      <c r="M409" s="47" t="str">
        <f t="shared" si="46"/>
        <v/>
      </c>
      <c r="N409" s="47" t="str">
        <f t="shared" si="47"/>
        <v/>
      </c>
      <c r="O409" s="47" t="str">
        <f t="shared" si="48"/>
        <v>Within Tolerance</v>
      </c>
    </row>
    <row r="410" spans="1:15" s="9" customFormat="1" x14ac:dyDescent="0.3">
      <c r="A410" s="166">
        <v>46159</v>
      </c>
      <c r="B410" s="70">
        <v>46159.604166666701</v>
      </c>
      <c r="C410" s="149">
        <f t="shared" si="42"/>
        <v>46159.604166666701</v>
      </c>
      <c r="D410" s="29" t="s">
        <v>51</v>
      </c>
      <c r="E410" s="8" t="s">
        <v>10</v>
      </c>
      <c r="F410" s="7" t="s">
        <v>24</v>
      </c>
      <c r="G410" s="25" t="s">
        <v>93</v>
      </c>
      <c r="H410" s="107">
        <v>13.9</v>
      </c>
      <c r="I410" s="111">
        <v>13.8</v>
      </c>
      <c r="J410" s="11" t="str">
        <f t="shared" si="43"/>
        <v/>
      </c>
      <c r="K410" s="12" t="str">
        <f t="shared" si="44"/>
        <v/>
      </c>
      <c r="L410" s="125">
        <f t="shared" si="45"/>
        <v>-9.9999999999999645E-2</v>
      </c>
      <c r="M410" s="47" t="str">
        <f t="shared" si="46"/>
        <v/>
      </c>
      <c r="N410" s="47" t="str">
        <f t="shared" si="47"/>
        <v/>
      </c>
      <c r="O410" s="47" t="str">
        <f t="shared" si="48"/>
        <v>Within Tolerance</v>
      </c>
    </row>
    <row r="411" spans="1:15" s="9" customFormat="1" x14ac:dyDescent="0.3">
      <c r="A411" s="167">
        <v>46160</v>
      </c>
      <c r="B411" s="61">
        <v>46160.430555555598</v>
      </c>
      <c r="C411" s="138">
        <f t="shared" si="42"/>
        <v>46160.430555555598</v>
      </c>
      <c r="D411" s="19" t="s">
        <v>41</v>
      </c>
      <c r="E411" s="8" t="s">
        <v>10</v>
      </c>
      <c r="F411" s="7" t="s">
        <v>11</v>
      </c>
      <c r="G411" s="25" t="s">
        <v>93</v>
      </c>
      <c r="H411" s="107">
        <v>14.2</v>
      </c>
      <c r="I411" s="111">
        <v>14.2</v>
      </c>
      <c r="J411" s="11" t="str">
        <f t="shared" si="43"/>
        <v/>
      </c>
      <c r="K411" s="12" t="str">
        <f t="shared" si="44"/>
        <v/>
      </c>
      <c r="L411" s="125">
        <f t="shared" si="45"/>
        <v>0</v>
      </c>
      <c r="M411" s="47" t="str">
        <f t="shared" si="46"/>
        <v/>
      </c>
      <c r="N411" s="47" t="str">
        <f t="shared" si="47"/>
        <v/>
      </c>
      <c r="O411" s="47" t="str">
        <f t="shared" si="48"/>
        <v>Within Tolerance</v>
      </c>
    </row>
    <row r="412" spans="1:15" s="9" customFormat="1" x14ac:dyDescent="0.3">
      <c r="A412" s="166">
        <v>46160</v>
      </c>
      <c r="B412" s="61">
        <v>46160.440972222197</v>
      </c>
      <c r="C412" s="138">
        <f t="shared" si="42"/>
        <v>46160.440972222197</v>
      </c>
      <c r="D412" s="19" t="s">
        <v>41</v>
      </c>
      <c r="E412" s="8" t="s">
        <v>10</v>
      </c>
      <c r="F412" s="7" t="s">
        <v>11</v>
      </c>
      <c r="G412" s="25" t="s">
        <v>93</v>
      </c>
      <c r="H412" s="107">
        <v>14.2</v>
      </c>
      <c r="I412" s="111">
        <v>14.2</v>
      </c>
      <c r="J412" s="11" t="str">
        <f t="shared" si="43"/>
        <v/>
      </c>
      <c r="K412" s="12" t="str">
        <f t="shared" si="44"/>
        <v/>
      </c>
      <c r="L412" s="125">
        <f t="shared" si="45"/>
        <v>0</v>
      </c>
      <c r="M412" s="47" t="str">
        <f t="shared" si="46"/>
        <v/>
      </c>
      <c r="N412" s="47" t="str">
        <f t="shared" si="47"/>
        <v/>
      </c>
      <c r="O412" s="47" t="str">
        <f t="shared" si="48"/>
        <v>Within Tolerance</v>
      </c>
    </row>
    <row r="413" spans="1:15" s="9" customFormat="1" x14ac:dyDescent="0.3">
      <c r="A413" s="167">
        <v>46160</v>
      </c>
      <c r="B413" s="61">
        <v>46160.520833333299</v>
      </c>
      <c r="C413" s="138">
        <f t="shared" si="42"/>
        <v>46160.520833333299</v>
      </c>
      <c r="D413" s="19" t="s">
        <v>41</v>
      </c>
      <c r="E413" s="8" t="s">
        <v>10</v>
      </c>
      <c r="F413" s="7" t="s">
        <v>11</v>
      </c>
      <c r="G413" s="25">
        <v>13.63</v>
      </c>
      <c r="H413" s="107">
        <v>13.9</v>
      </c>
      <c r="I413" s="111">
        <v>13.8</v>
      </c>
      <c r="J413" s="11">
        <f t="shared" si="43"/>
        <v>0.26999999999999957</v>
      </c>
      <c r="K413" s="12">
        <f t="shared" si="44"/>
        <v>0.16999999999999993</v>
      </c>
      <c r="L413" s="125">
        <f t="shared" si="45"/>
        <v>-9.9999999999999645E-2</v>
      </c>
      <c r="M413" s="47" t="str">
        <f t="shared" si="46"/>
        <v>Out of Tolerance</v>
      </c>
      <c r="N413" s="47" t="str">
        <f t="shared" si="47"/>
        <v>Within Tolerance</v>
      </c>
      <c r="O413" s="47" t="str">
        <f t="shared" si="48"/>
        <v>Within Tolerance</v>
      </c>
    </row>
    <row r="414" spans="1:15" s="9" customFormat="1" x14ac:dyDescent="0.3">
      <c r="A414" s="166">
        <v>46160</v>
      </c>
      <c r="B414" s="61">
        <v>46160.583333333299</v>
      </c>
      <c r="C414" s="138">
        <f t="shared" si="42"/>
        <v>46160.583333333299</v>
      </c>
      <c r="D414" s="19" t="s">
        <v>41</v>
      </c>
      <c r="E414" s="8" t="s">
        <v>10</v>
      </c>
      <c r="F414" s="7" t="s">
        <v>11</v>
      </c>
      <c r="G414" s="25" t="s">
        <v>93</v>
      </c>
      <c r="H414" s="107">
        <v>13.9</v>
      </c>
      <c r="I414" s="111">
        <v>13.9</v>
      </c>
      <c r="J414" s="11" t="str">
        <f t="shared" si="43"/>
        <v/>
      </c>
      <c r="K414" s="12" t="str">
        <f t="shared" si="44"/>
        <v/>
      </c>
      <c r="L414" s="125">
        <f t="shared" si="45"/>
        <v>0</v>
      </c>
      <c r="M414" s="47" t="str">
        <f t="shared" si="46"/>
        <v/>
      </c>
      <c r="N414" s="47" t="str">
        <f t="shared" si="47"/>
        <v/>
      </c>
      <c r="O414" s="47" t="str">
        <f t="shared" si="48"/>
        <v>Within Tolerance</v>
      </c>
    </row>
    <row r="415" spans="1:15" s="9" customFormat="1" x14ac:dyDescent="0.3">
      <c r="A415" s="167">
        <v>46160</v>
      </c>
      <c r="B415" s="61">
        <v>46160.65625</v>
      </c>
      <c r="C415" s="138">
        <f t="shared" si="42"/>
        <v>46160.65625</v>
      </c>
      <c r="D415" s="19" t="s">
        <v>41</v>
      </c>
      <c r="E415" s="8" t="s">
        <v>10</v>
      </c>
      <c r="F415" s="7" t="s">
        <v>11</v>
      </c>
      <c r="G415" s="25" t="s">
        <v>93</v>
      </c>
      <c r="H415" s="107">
        <v>13.9</v>
      </c>
      <c r="I415" s="111">
        <v>13.7</v>
      </c>
      <c r="J415" s="11" t="str">
        <f t="shared" si="43"/>
        <v/>
      </c>
      <c r="K415" s="12" t="str">
        <f t="shared" si="44"/>
        <v/>
      </c>
      <c r="L415" s="125">
        <f t="shared" si="45"/>
        <v>-0.20000000000000107</v>
      </c>
      <c r="M415" s="47" t="str">
        <f t="shared" si="46"/>
        <v/>
      </c>
      <c r="N415" s="47" t="str">
        <f t="shared" si="47"/>
        <v/>
      </c>
      <c r="O415" s="47" t="str">
        <f t="shared" si="48"/>
        <v>Out of Tolerance</v>
      </c>
    </row>
    <row r="416" spans="1:15" s="9" customFormat="1" x14ac:dyDescent="0.3">
      <c r="A416" s="166">
        <v>46160</v>
      </c>
      <c r="B416" s="61">
        <v>46160.725694444402</v>
      </c>
      <c r="C416" s="138">
        <f t="shared" si="42"/>
        <v>46160.725694444402</v>
      </c>
      <c r="D416" s="19" t="s">
        <v>13</v>
      </c>
      <c r="E416" s="8" t="s">
        <v>14</v>
      </c>
      <c r="F416" s="7" t="s">
        <v>11</v>
      </c>
      <c r="G416" s="25" t="s">
        <v>93</v>
      </c>
      <c r="H416" s="107">
        <v>13.7</v>
      </c>
      <c r="I416" s="111">
        <v>13.7</v>
      </c>
      <c r="J416" s="11" t="str">
        <f t="shared" si="43"/>
        <v/>
      </c>
      <c r="K416" s="12" t="str">
        <f t="shared" si="44"/>
        <v/>
      </c>
      <c r="L416" s="125">
        <f t="shared" si="45"/>
        <v>0</v>
      </c>
      <c r="M416" s="47" t="str">
        <f t="shared" si="46"/>
        <v/>
      </c>
      <c r="N416" s="47" t="str">
        <f t="shared" si="47"/>
        <v/>
      </c>
      <c r="O416" s="47" t="str">
        <f t="shared" si="48"/>
        <v>Within Tolerance</v>
      </c>
    </row>
    <row r="417" spans="1:15" s="9" customFormat="1" x14ac:dyDescent="0.3">
      <c r="A417" s="167">
        <v>46160</v>
      </c>
      <c r="B417" s="61">
        <v>46160.822916666701</v>
      </c>
      <c r="C417" s="138">
        <f t="shared" si="42"/>
        <v>46160.822916666701</v>
      </c>
      <c r="D417" s="19" t="s">
        <v>13</v>
      </c>
      <c r="E417" s="8" t="s">
        <v>14</v>
      </c>
      <c r="F417" s="7" t="s">
        <v>11</v>
      </c>
      <c r="G417" s="25" t="s">
        <v>93</v>
      </c>
      <c r="H417" s="107">
        <v>14.1</v>
      </c>
      <c r="I417" s="111">
        <v>14.1</v>
      </c>
      <c r="J417" s="11" t="str">
        <f t="shared" si="43"/>
        <v/>
      </c>
      <c r="K417" s="12" t="str">
        <f t="shared" si="44"/>
        <v/>
      </c>
      <c r="L417" s="125">
        <f t="shared" si="45"/>
        <v>0</v>
      </c>
      <c r="M417" s="47" t="str">
        <f t="shared" si="46"/>
        <v/>
      </c>
      <c r="N417" s="47" t="str">
        <f t="shared" si="47"/>
        <v/>
      </c>
      <c r="O417" s="47" t="str">
        <f t="shared" si="48"/>
        <v>Within Tolerance</v>
      </c>
    </row>
    <row r="418" spans="1:15" s="9" customFormat="1" x14ac:dyDescent="0.3">
      <c r="A418" s="166">
        <v>46160</v>
      </c>
      <c r="B418" s="61">
        <v>46160.895833333299</v>
      </c>
      <c r="C418" s="138">
        <f t="shared" si="42"/>
        <v>46160.895833333299</v>
      </c>
      <c r="D418" s="19" t="s">
        <v>13</v>
      </c>
      <c r="E418" s="8" t="s">
        <v>14</v>
      </c>
      <c r="F418" s="7" t="s">
        <v>11</v>
      </c>
      <c r="G418" s="25" t="s">
        <v>93</v>
      </c>
      <c r="H418" s="107">
        <v>14.1</v>
      </c>
      <c r="I418" s="111">
        <v>14.2</v>
      </c>
      <c r="J418" s="11" t="str">
        <f t="shared" si="43"/>
        <v/>
      </c>
      <c r="K418" s="12" t="str">
        <f t="shared" si="44"/>
        <v/>
      </c>
      <c r="L418" s="125">
        <f t="shared" si="45"/>
        <v>9.9999999999999645E-2</v>
      </c>
      <c r="M418" s="47" t="str">
        <f t="shared" si="46"/>
        <v/>
      </c>
      <c r="N418" s="47" t="str">
        <f t="shared" si="47"/>
        <v/>
      </c>
      <c r="O418" s="47" t="str">
        <f t="shared" si="48"/>
        <v>Within Tolerance</v>
      </c>
    </row>
    <row r="419" spans="1:15" s="9" customFormat="1" x14ac:dyDescent="0.3">
      <c r="A419" s="167">
        <v>46160</v>
      </c>
      <c r="B419" s="61">
        <v>46161</v>
      </c>
      <c r="C419" s="138">
        <f t="shared" si="42"/>
        <v>46160</v>
      </c>
      <c r="D419" s="19" t="s">
        <v>13</v>
      </c>
      <c r="E419" s="8" t="s">
        <v>14</v>
      </c>
      <c r="F419" s="7" t="s">
        <v>11</v>
      </c>
      <c r="G419" s="25" t="s">
        <v>93</v>
      </c>
      <c r="H419" s="107">
        <v>14</v>
      </c>
      <c r="I419" s="111">
        <v>14.1</v>
      </c>
      <c r="J419" s="11" t="str">
        <f t="shared" si="43"/>
        <v/>
      </c>
      <c r="K419" s="12" t="str">
        <f t="shared" si="44"/>
        <v/>
      </c>
      <c r="L419" s="125">
        <f t="shared" si="45"/>
        <v>9.9999999999999645E-2</v>
      </c>
      <c r="M419" s="47" t="str">
        <f t="shared" si="46"/>
        <v/>
      </c>
      <c r="N419" s="47" t="str">
        <f t="shared" si="47"/>
        <v/>
      </c>
      <c r="O419" s="47" t="str">
        <f t="shared" si="48"/>
        <v>Within Tolerance</v>
      </c>
    </row>
    <row r="420" spans="1:15" s="9" customFormat="1" x14ac:dyDescent="0.3">
      <c r="A420" s="166">
        <v>46161</v>
      </c>
      <c r="B420" s="61">
        <v>46161.083333333299</v>
      </c>
      <c r="C420" s="138">
        <f t="shared" si="42"/>
        <v>46161.083333333299</v>
      </c>
      <c r="D420" s="19" t="s">
        <v>13</v>
      </c>
      <c r="E420" s="8" t="s">
        <v>14</v>
      </c>
      <c r="F420" s="7" t="s">
        <v>11</v>
      </c>
      <c r="G420" s="25">
        <v>14.01</v>
      </c>
      <c r="H420" s="107">
        <v>14.1</v>
      </c>
      <c r="I420" s="111">
        <v>14</v>
      </c>
      <c r="J420" s="11">
        <f t="shared" si="43"/>
        <v>8.9999999999999858E-2</v>
      </c>
      <c r="K420" s="12">
        <f t="shared" si="44"/>
        <v>-9.9999999999997868E-3</v>
      </c>
      <c r="L420" s="125">
        <f t="shared" si="45"/>
        <v>-9.9999999999999645E-2</v>
      </c>
      <c r="M420" s="47" t="str">
        <f t="shared" si="46"/>
        <v>Within Tolerance</v>
      </c>
      <c r="N420" s="47" t="str">
        <f t="shared" si="47"/>
        <v>Within Tolerance</v>
      </c>
      <c r="O420" s="47" t="str">
        <f t="shared" si="48"/>
        <v>Within Tolerance</v>
      </c>
    </row>
    <row r="421" spans="1:15" s="9" customFormat="1" x14ac:dyDescent="0.3">
      <c r="A421" s="167">
        <v>46161</v>
      </c>
      <c r="B421" s="61">
        <v>46161.166666666701</v>
      </c>
      <c r="C421" s="138">
        <f t="shared" si="42"/>
        <v>46161.166666666701</v>
      </c>
      <c r="D421" s="19" t="s">
        <v>13</v>
      </c>
      <c r="E421" s="8" t="s">
        <v>14</v>
      </c>
      <c r="F421" s="7" t="s">
        <v>11</v>
      </c>
      <c r="G421" s="25" t="s">
        <v>93</v>
      </c>
      <c r="H421" s="107">
        <v>14</v>
      </c>
      <c r="I421" s="111">
        <v>14</v>
      </c>
      <c r="J421" s="11" t="str">
        <f t="shared" si="43"/>
        <v/>
      </c>
      <c r="K421" s="12" t="str">
        <f t="shared" si="44"/>
        <v/>
      </c>
      <c r="L421" s="125">
        <f t="shared" si="45"/>
        <v>0</v>
      </c>
      <c r="M421" s="47" t="str">
        <f t="shared" si="46"/>
        <v/>
      </c>
      <c r="N421" s="47" t="str">
        <f t="shared" si="47"/>
        <v/>
      </c>
      <c r="O421" s="47" t="str">
        <f t="shared" si="48"/>
        <v>Within Tolerance</v>
      </c>
    </row>
    <row r="422" spans="1:15" s="9" customFormat="1" x14ac:dyDescent="0.3">
      <c r="A422" s="166">
        <v>46161</v>
      </c>
      <c r="B422" s="61">
        <v>46161.25</v>
      </c>
      <c r="C422" s="138">
        <f t="shared" si="42"/>
        <v>46161.25</v>
      </c>
      <c r="D422" s="19" t="s">
        <v>13</v>
      </c>
      <c r="E422" s="8" t="s">
        <v>14</v>
      </c>
      <c r="F422" s="7" t="s">
        <v>11</v>
      </c>
      <c r="G422" s="25">
        <v>14.06</v>
      </c>
      <c r="H422" s="107">
        <v>14</v>
      </c>
      <c r="I422" s="111">
        <v>14.2</v>
      </c>
      <c r="J422" s="11">
        <f t="shared" si="43"/>
        <v>-6.0000000000000497E-2</v>
      </c>
      <c r="K422" s="12">
        <f t="shared" si="44"/>
        <v>0.13999999999999879</v>
      </c>
      <c r="L422" s="125">
        <f t="shared" si="45"/>
        <v>0.19999999999999929</v>
      </c>
      <c r="M422" s="47" t="str">
        <f t="shared" si="46"/>
        <v>Within Tolerance</v>
      </c>
      <c r="N422" s="47" t="str">
        <f t="shared" si="47"/>
        <v>Within Tolerance</v>
      </c>
      <c r="O422" s="47" t="str">
        <f t="shared" si="48"/>
        <v>Within Tolerance</v>
      </c>
    </row>
    <row r="423" spans="1:15" s="9" customFormat="1" x14ac:dyDescent="0.3">
      <c r="A423" s="167">
        <v>46160</v>
      </c>
      <c r="B423" s="61">
        <v>46160.802083333299</v>
      </c>
      <c r="C423" s="138">
        <f t="shared" si="42"/>
        <v>46160.802083333299</v>
      </c>
      <c r="D423" s="19" t="s">
        <v>29</v>
      </c>
      <c r="E423" s="8" t="s">
        <v>10</v>
      </c>
      <c r="F423" s="7" t="s">
        <v>15</v>
      </c>
      <c r="G423" s="25" t="s">
        <v>93</v>
      </c>
      <c r="H423" s="107">
        <v>14.1</v>
      </c>
      <c r="I423" s="111"/>
      <c r="J423" s="11" t="str">
        <f t="shared" si="43"/>
        <v/>
      </c>
      <c r="K423" s="12" t="str">
        <f t="shared" si="44"/>
        <v/>
      </c>
      <c r="L423" s="125" t="str">
        <f t="shared" si="45"/>
        <v/>
      </c>
      <c r="M423" s="47" t="str">
        <f t="shared" si="46"/>
        <v/>
      </c>
      <c r="N423" s="47" t="str">
        <f t="shared" si="47"/>
        <v/>
      </c>
      <c r="O423" s="47" t="str">
        <f t="shared" si="48"/>
        <v/>
      </c>
    </row>
    <row r="424" spans="1:15" s="9" customFormat="1" x14ac:dyDescent="0.3">
      <c r="A424" s="166">
        <v>46160</v>
      </c>
      <c r="B424" s="61">
        <v>46160.809027777803</v>
      </c>
      <c r="C424" s="138">
        <f t="shared" si="42"/>
        <v>46160.809027777803</v>
      </c>
      <c r="D424" s="19" t="s">
        <v>29</v>
      </c>
      <c r="E424" s="8" t="s">
        <v>10</v>
      </c>
      <c r="F424" s="7" t="s">
        <v>15</v>
      </c>
      <c r="G424" s="25" t="s">
        <v>93</v>
      </c>
      <c r="H424" s="107">
        <v>14.1</v>
      </c>
      <c r="I424" s="111"/>
      <c r="J424" s="11" t="str">
        <f t="shared" si="43"/>
        <v/>
      </c>
      <c r="K424" s="12" t="str">
        <f t="shared" si="44"/>
        <v/>
      </c>
      <c r="L424" s="125" t="str">
        <f t="shared" si="45"/>
        <v/>
      </c>
      <c r="M424" s="47" t="str">
        <f t="shared" si="46"/>
        <v/>
      </c>
      <c r="N424" s="47" t="str">
        <f t="shared" si="47"/>
        <v/>
      </c>
      <c r="O424" s="47" t="str">
        <f t="shared" si="48"/>
        <v/>
      </c>
    </row>
    <row r="425" spans="1:15" s="9" customFormat="1" x14ac:dyDescent="0.3">
      <c r="A425" s="167">
        <v>46160</v>
      </c>
      <c r="B425" s="61">
        <v>46160.854166666701</v>
      </c>
      <c r="C425" s="138">
        <f t="shared" si="42"/>
        <v>46160.854166666701</v>
      </c>
      <c r="D425" s="19" t="s">
        <v>29</v>
      </c>
      <c r="E425" s="8" t="s">
        <v>10</v>
      </c>
      <c r="F425" s="7" t="s">
        <v>15</v>
      </c>
      <c r="G425" s="25">
        <v>13.98</v>
      </c>
      <c r="H425" s="107">
        <v>14</v>
      </c>
      <c r="I425" s="111">
        <v>14.2</v>
      </c>
      <c r="J425" s="11">
        <f t="shared" si="43"/>
        <v>1.9999999999999574E-2</v>
      </c>
      <c r="K425" s="12">
        <f t="shared" si="44"/>
        <v>0.21999999999999886</v>
      </c>
      <c r="L425" s="125">
        <f t="shared" si="45"/>
        <v>0.19999999999999929</v>
      </c>
      <c r="M425" s="47" t="str">
        <f t="shared" si="46"/>
        <v>Within Tolerance</v>
      </c>
      <c r="N425" s="47" t="str">
        <f t="shared" si="47"/>
        <v>Out of Tolerance</v>
      </c>
      <c r="O425" s="47" t="str">
        <f t="shared" si="48"/>
        <v>Within Tolerance</v>
      </c>
    </row>
    <row r="426" spans="1:15" s="9" customFormat="1" x14ac:dyDescent="0.3">
      <c r="A426" s="166">
        <v>46160</v>
      </c>
      <c r="B426" s="61">
        <v>46160.916666666701</v>
      </c>
      <c r="C426" s="138">
        <f t="shared" si="42"/>
        <v>46160.916666666701</v>
      </c>
      <c r="D426" s="19" t="s">
        <v>29</v>
      </c>
      <c r="E426" s="8" t="s">
        <v>10</v>
      </c>
      <c r="F426" s="7" t="s">
        <v>15</v>
      </c>
      <c r="G426" s="25" t="s">
        <v>93</v>
      </c>
      <c r="H426" s="107">
        <v>14.1</v>
      </c>
      <c r="I426" s="111">
        <v>14.2</v>
      </c>
      <c r="J426" s="11" t="str">
        <f t="shared" si="43"/>
        <v/>
      </c>
      <c r="K426" s="12" t="str">
        <f t="shared" si="44"/>
        <v/>
      </c>
      <c r="L426" s="125">
        <f t="shared" si="45"/>
        <v>9.9999999999999645E-2</v>
      </c>
      <c r="M426" s="47" t="str">
        <f t="shared" si="46"/>
        <v/>
      </c>
      <c r="N426" s="47" t="str">
        <f t="shared" si="47"/>
        <v/>
      </c>
      <c r="O426" s="47" t="str">
        <f t="shared" si="48"/>
        <v>Within Tolerance</v>
      </c>
    </row>
    <row r="427" spans="1:15" s="9" customFormat="1" x14ac:dyDescent="0.3">
      <c r="A427" s="167">
        <v>46160</v>
      </c>
      <c r="B427" s="61">
        <v>46161</v>
      </c>
      <c r="C427" s="138">
        <f t="shared" si="42"/>
        <v>46160</v>
      </c>
      <c r="D427" s="19" t="s">
        <v>29</v>
      </c>
      <c r="E427" s="8" t="s">
        <v>10</v>
      </c>
      <c r="F427" s="7" t="s">
        <v>15</v>
      </c>
      <c r="G427" s="25" t="s">
        <v>93</v>
      </c>
      <c r="H427" s="107">
        <v>14</v>
      </c>
      <c r="I427" s="111">
        <v>14</v>
      </c>
      <c r="J427" s="11" t="str">
        <f t="shared" si="43"/>
        <v/>
      </c>
      <c r="K427" s="12" t="str">
        <f t="shared" si="44"/>
        <v/>
      </c>
      <c r="L427" s="125">
        <f t="shared" si="45"/>
        <v>0</v>
      </c>
      <c r="M427" s="47" t="str">
        <f t="shared" si="46"/>
        <v/>
      </c>
      <c r="N427" s="47" t="str">
        <f t="shared" si="47"/>
        <v/>
      </c>
      <c r="O427" s="47" t="str">
        <f t="shared" si="48"/>
        <v>Within Tolerance</v>
      </c>
    </row>
    <row r="428" spans="1:15" s="9" customFormat="1" x14ac:dyDescent="0.3">
      <c r="A428" s="166">
        <v>46160</v>
      </c>
      <c r="B428" s="61">
        <v>46161.083333333299</v>
      </c>
      <c r="C428" s="138">
        <f t="shared" si="42"/>
        <v>46160.083333333299</v>
      </c>
      <c r="D428" s="19" t="s">
        <v>29</v>
      </c>
      <c r="E428" s="8" t="s">
        <v>10</v>
      </c>
      <c r="F428" s="7" t="s">
        <v>15</v>
      </c>
      <c r="G428" s="25" t="s">
        <v>93</v>
      </c>
      <c r="H428" s="107">
        <v>14.1</v>
      </c>
      <c r="I428" s="111">
        <v>14.1</v>
      </c>
      <c r="J428" s="11" t="str">
        <f t="shared" si="43"/>
        <v/>
      </c>
      <c r="K428" s="12" t="str">
        <f t="shared" si="44"/>
        <v/>
      </c>
      <c r="L428" s="125">
        <f t="shared" si="45"/>
        <v>0</v>
      </c>
      <c r="M428" s="47" t="str">
        <f t="shared" si="46"/>
        <v/>
      </c>
      <c r="N428" s="47" t="str">
        <f t="shared" si="47"/>
        <v/>
      </c>
      <c r="O428" s="47" t="str">
        <f t="shared" si="48"/>
        <v>Within Tolerance</v>
      </c>
    </row>
    <row r="429" spans="1:15" s="9" customFormat="1" x14ac:dyDescent="0.3">
      <c r="A429" s="167">
        <v>46160</v>
      </c>
      <c r="B429" s="61">
        <v>46161.166666666701</v>
      </c>
      <c r="C429" s="138">
        <f t="shared" si="42"/>
        <v>46160.166666666701</v>
      </c>
      <c r="D429" s="19" t="s">
        <v>29</v>
      </c>
      <c r="E429" s="8" t="s">
        <v>10</v>
      </c>
      <c r="F429" s="7" t="s">
        <v>15</v>
      </c>
      <c r="G429" s="25" t="s">
        <v>93</v>
      </c>
      <c r="H429" s="107">
        <v>14.1</v>
      </c>
      <c r="I429" s="111">
        <v>14.3</v>
      </c>
      <c r="J429" s="11" t="str">
        <f t="shared" si="43"/>
        <v/>
      </c>
      <c r="K429" s="12" t="str">
        <f t="shared" si="44"/>
        <v/>
      </c>
      <c r="L429" s="125">
        <f t="shared" si="45"/>
        <v>0.20000000000000107</v>
      </c>
      <c r="M429" s="47" t="str">
        <f t="shared" si="46"/>
        <v/>
      </c>
      <c r="N429" s="47" t="str">
        <f t="shared" si="47"/>
        <v/>
      </c>
      <c r="O429" s="47" t="str">
        <f t="shared" si="48"/>
        <v>Out of Tolerance</v>
      </c>
    </row>
    <row r="430" spans="1:15" s="9" customFormat="1" x14ac:dyDescent="0.3">
      <c r="A430" s="166">
        <v>46160</v>
      </c>
      <c r="B430" s="61">
        <v>46161.270833333299</v>
      </c>
      <c r="C430" s="138">
        <f t="shared" si="42"/>
        <v>46160.270833333299</v>
      </c>
      <c r="D430" s="19" t="s">
        <v>52</v>
      </c>
      <c r="E430" s="8" t="s">
        <v>17</v>
      </c>
      <c r="F430" s="7" t="s">
        <v>15</v>
      </c>
      <c r="G430" s="25" t="s">
        <v>93</v>
      </c>
      <c r="H430" s="107">
        <v>13.9</v>
      </c>
      <c r="I430" s="111">
        <v>13.9</v>
      </c>
      <c r="J430" s="11" t="str">
        <f t="shared" si="43"/>
        <v/>
      </c>
      <c r="K430" s="12" t="str">
        <f t="shared" si="44"/>
        <v/>
      </c>
      <c r="L430" s="125">
        <f t="shared" si="45"/>
        <v>0</v>
      </c>
      <c r="M430" s="47" t="str">
        <f t="shared" si="46"/>
        <v/>
      </c>
      <c r="N430" s="47" t="str">
        <f t="shared" si="47"/>
        <v/>
      </c>
      <c r="O430" s="47" t="str">
        <f t="shared" si="48"/>
        <v>Within Tolerance</v>
      </c>
    </row>
    <row r="431" spans="1:15" s="9" customFormat="1" x14ac:dyDescent="0.3">
      <c r="A431" s="167">
        <v>46160</v>
      </c>
      <c r="B431" s="75">
        <v>46160.458333333299</v>
      </c>
      <c r="C431" s="153">
        <f t="shared" si="42"/>
        <v>46160.458333333299</v>
      </c>
      <c r="D431" s="30" t="s">
        <v>55</v>
      </c>
      <c r="E431" s="8" t="s">
        <v>14</v>
      </c>
      <c r="F431" s="15" t="s">
        <v>19</v>
      </c>
      <c r="G431" s="16"/>
      <c r="H431" s="107">
        <v>14</v>
      </c>
      <c r="I431" s="111">
        <v>14</v>
      </c>
      <c r="J431" s="11" t="str">
        <f t="shared" si="43"/>
        <v/>
      </c>
      <c r="K431" s="12" t="str">
        <f t="shared" si="44"/>
        <v/>
      </c>
      <c r="L431" s="125">
        <f t="shared" si="45"/>
        <v>0</v>
      </c>
      <c r="M431" s="47" t="str">
        <f t="shared" si="46"/>
        <v/>
      </c>
      <c r="N431" s="47" t="str">
        <f t="shared" si="47"/>
        <v/>
      </c>
      <c r="O431" s="47" t="str">
        <f t="shared" si="48"/>
        <v>Within Tolerance</v>
      </c>
    </row>
    <row r="432" spans="1:15" s="9" customFormat="1" x14ac:dyDescent="0.3">
      <c r="A432" s="166">
        <v>46160</v>
      </c>
      <c r="B432" s="77">
        <v>46160.489583333299</v>
      </c>
      <c r="C432" s="155">
        <f t="shared" si="42"/>
        <v>46160.489583333299</v>
      </c>
      <c r="D432" s="32" t="s">
        <v>21</v>
      </c>
      <c r="E432" s="8" t="s">
        <v>10</v>
      </c>
      <c r="F432" s="15" t="s">
        <v>19</v>
      </c>
      <c r="G432" s="25" t="s">
        <v>93</v>
      </c>
      <c r="H432" s="107">
        <v>13.9</v>
      </c>
      <c r="I432" s="111">
        <v>13.8</v>
      </c>
      <c r="J432" s="11" t="str">
        <f t="shared" si="43"/>
        <v/>
      </c>
      <c r="K432" s="12" t="str">
        <f t="shared" si="44"/>
        <v/>
      </c>
      <c r="L432" s="125">
        <f t="shared" si="45"/>
        <v>-9.9999999999999645E-2</v>
      </c>
      <c r="M432" s="47" t="str">
        <f t="shared" si="46"/>
        <v/>
      </c>
      <c r="N432" s="47" t="str">
        <f t="shared" si="47"/>
        <v/>
      </c>
      <c r="O432" s="47" t="str">
        <f t="shared" si="48"/>
        <v>Within Tolerance</v>
      </c>
    </row>
    <row r="433" spans="1:15" s="9" customFormat="1" x14ac:dyDescent="0.3">
      <c r="A433" s="167">
        <v>46160</v>
      </c>
      <c r="B433" s="78">
        <v>46160.572916666701</v>
      </c>
      <c r="C433" s="158">
        <f t="shared" si="42"/>
        <v>46160.572916666701</v>
      </c>
      <c r="D433" s="8" t="s">
        <v>37</v>
      </c>
      <c r="E433" s="8" t="s">
        <v>14</v>
      </c>
      <c r="F433" s="15" t="s">
        <v>19</v>
      </c>
      <c r="G433" s="16"/>
      <c r="H433" s="106">
        <v>13.6</v>
      </c>
      <c r="I433" s="111">
        <v>13.5</v>
      </c>
      <c r="J433" s="11" t="str">
        <f t="shared" si="43"/>
        <v/>
      </c>
      <c r="K433" s="12" t="str">
        <f t="shared" si="44"/>
        <v/>
      </c>
      <c r="L433" s="125">
        <f t="shared" si="45"/>
        <v>-9.9999999999999645E-2</v>
      </c>
      <c r="M433" s="47" t="str">
        <f t="shared" si="46"/>
        <v/>
      </c>
      <c r="N433" s="47" t="str">
        <f t="shared" si="47"/>
        <v/>
      </c>
      <c r="O433" s="47" t="str">
        <f t="shared" si="48"/>
        <v>Within Tolerance</v>
      </c>
    </row>
    <row r="434" spans="1:15" s="9" customFormat="1" x14ac:dyDescent="0.3">
      <c r="A434" s="166">
        <v>46160</v>
      </c>
      <c r="B434" s="70">
        <v>46160.618055555598</v>
      </c>
      <c r="C434" s="159">
        <f t="shared" si="42"/>
        <v>46160.618055555598</v>
      </c>
      <c r="D434" s="19" t="s">
        <v>34</v>
      </c>
      <c r="E434" s="8" t="s">
        <v>14</v>
      </c>
      <c r="F434" s="7" t="s">
        <v>19</v>
      </c>
      <c r="G434" s="25" t="s">
        <v>93</v>
      </c>
      <c r="H434" s="106">
        <v>13.6</v>
      </c>
      <c r="I434" s="111">
        <v>13.8</v>
      </c>
      <c r="J434" s="11" t="str">
        <f t="shared" si="43"/>
        <v/>
      </c>
      <c r="K434" s="12" t="str">
        <f t="shared" si="44"/>
        <v/>
      </c>
      <c r="L434" s="125">
        <f t="shared" si="45"/>
        <v>0.20000000000000107</v>
      </c>
      <c r="M434" s="47" t="str">
        <f t="shared" si="46"/>
        <v/>
      </c>
      <c r="N434" s="47" t="str">
        <f t="shared" si="47"/>
        <v/>
      </c>
      <c r="O434" s="47" t="str">
        <f t="shared" si="48"/>
        <v>Out of Tolerance</v>
      </c>
    </row>
    <row r="435" spans="1:15" s="9" customFormat="1" x14ac:dyDescent="0.3">
      <c r="A435" s="167">
        <v>46160</v>
      </c>
      <c r="B435" s="69">
        <v>46160.833333333299</v>
      </c>
      <c r="C435" s="158">
        <f t="shared" si="42"/>
        <v>46160.833333333299</v>
      </c>
      <c r="D435" s="8" t="s">
        <v>57</v>
      </c>
      <c r="E435" s="8" t="s">
        <v>10</v>
      </c>
      <c r="F435" s="15" t="s">
        <v>19</v>
      </c>
      <c r="G435" s="25" t="s">
        <v>93</v>
      </c>
      <c r="H435" s="106">
        <v>13.8</v>
      </c>
      <c r="I435" s="111">
        <v>13.7</v>
      </c>
      <c r="J435" s="11" t="str">
        <f t="shared" si="43"/>
        <v/>
      </c>
      <c r="K435" s="12" t="str">
        <f t="shared" si="44"/>
        <v/>
      </c>
      <c r="L435" s="125">
        <f t="shared" si="45"/>
        <v>-0.10000000000000142</v>
      </c>
      <c r="M435" s="47" t="str">
        <f t="shared" si="46"/>
        <v/>
      </c>
      <c r="N435" s="47" t="str">
        <f t="shared" si="47"/>
        <v/>
      </c>
      <c r="O435" s="47" t="str">
        <f t="shared" si="48"/>
        <v>Within Tolerance</v>
      </c>
    </row>
    <row r="436" spans="1:15" s="9" customFormat="1" x14ac:dyDescent="0.3">
      <c r="A436" s="166">
        <v>46160</v>
      </c>
      <c r="B436" s="70">
        <v>46160.989583333299</v>
      </c>
      <c r="C436" s="159">
        <f t="shared" si="42"/>
        <v>46160.989583333299</v>
      </c>
      <c r="D436" s="8" t="s">
        <v>31</v>
      </c>
      <c r="E436" s="8" t="s">
        <v>14</v>
      </c>
      <c r="F436" s="7" t="s">
        <v>19</v>
      </c>
      <c r="G436" s="25" t="s">
        <v>93</v>
      </c>
      <c r="H436" s="106">
        <v>13.7</v>
      </c>
      <c r="I436" s="111">
        <v>13.7</v>
      </c>
      <c r="J436" s="11" t="str">
        <f t="shared" si="43"/>
        <v/>
      </c>
      <c r="K436" s="12" t="str">
        <f t="shared" si="44"/>
        <v/>
      </c>
      <c r="L436" s="125">
        <f t="shared" si="45"/>
        <v>0</v>
      </c>
      <c r="M436" s="47" t="str">
        <f t="shared" si="46"/>
        <v/>
      </c>
      <c r="N436" s="47" t="str">
        <f t="shared" si="47"/>
        <v/>
      </c>
      <c r="O436" s="47" t="str">
        <f t="shared" si="48"/>
        <v>Within Tolerance</v>
      </c>
    </row>
    <row r="437" spans="1:15" s="9" customFormat="1" x14ac:dyDescent="0.3">
      <c r="A437" s="167">
        <v>46160</v>
      </c>
      <c r="B437" s="80">
        <v>46160.444444444402</v>
      </c>
      <c r="C437" s="152">
        <f t="shared" si="42"/>
        <v>46160.444444444402</v>
      </c>
      <c r="D437" s="19" t="s">
        <v>51</v>
      </c>
      <c r="E437" s="8" t="s">
        <v>10</v>
      </c>
      <c r="F437" s="7" t="s">
        <v>24</v>
      </c>
      <c r="G437" s="25" t="s">
        <v>93</v>
      </c>
      <c r="H437" s="106">
        <v>13.9</v>
      </c>
      <c r="I437" s="111">
        <v>13.8</v>
      </c>
      <c r="J437" s="11" t="str">
        <f t="shared" si="43"/>
        <v/>
      </c>
      <c r="K437" s="12" t="str">
        <f t="shared" si="44"/>
        <v/>
      </c>
      <c r="L437" s="125">
        <f t="shared" si="45"/>
        <v>-9.9999999999999645E-2</v>
      </c>
      <c r="M437" s="47" t="str">
        <f t="shared" si="46"/>
        <v/>
      </c>
      <c r="N437" s="47" t="str">
        <f t="shared" si="47"/>
        <v/>
      </c>
      <c r="O437" s="47" t="str">
        <f t="shared" si="48"/>
        <v>Within Tolerance</v>
      </c>
    </row>
    <row r="438" spans="1:15" s="9" customFormat="1" x14ac:dyDescent="0.3">
      <c r="A438" s="166">
        <v>46160</v>
      </c>
      <c r="B438" s="73">
        <v>46160.527777777803</v>
      </c>
      <c r="C438" s="152">
        <f t="shared" si="42"/>
        <v>46160.527777777803</v>
      </c>
      <c r="D438" s="23" t="s">
        <v>50</v>
      </c>
      <c r="E438" s="8" t="s">
        <v>10</v>
      </c>
      <c r="F438" s="7" t="s">
        <v>24</v>
      </c>
      <c r="G438" s="25" t="s">
        <v>93</v>
      </c>
      <c r="H438" s="106">
        <v>13.9</v>
      </c>
      <c r="I438" s="111">
        <v>13.9</v>
      </c>
      <c r="J438" s="11" t="str">
        <f t="shared" si="43"/>
        <v/>
      </c>
      <c r="K438" s="12" t="str">
        <f t="shared" si="44"/>
        <v/>
      </c>
      <c r="L438" s="125">
        <f t="shared" si="45"/>
        <v>0</v>
      </c>
      <c r="M438" s="47" t="str">
        <f t="shared" si="46"/>
        <v/>
      </c>
      <c r="N438" s="47" t="str">
        <f t="shared" si="47"/>
        <v/>
      </c>
      <c r="O438" s="47" t="str">
        <f t="shared" si="48"/>
        <v>Within Tolerance</v>
      </c>
    </row>
    <row r="439" spans="1:15" s="9" customFormat="1" x14ac:dyDescent="0.3">
      <c r="A439" s="167">
        <v>46161</v>
      </c>
      <c r="B439" s="61">
        <v>46161.333333333299</v>
      </c>
      <c r="C439" s="138">
        <f t="shared" si="42"/>
        <v>46161.333333333299</v>
      </c>
      <c r="D439" s="19" t="s">
        <v>13</v>
      </c>
      <c r="E439" s="8" t="s">
        <v>14</v>
      </c>
      <c r="F439" s="7" t="s">
        <v>11</v>
      </c>
      <c r="G439" s="25">
        <v>13.96</v>
      </c>
      <c r="H439" s="107">
        <v>14</v>
      </c>
      <c r="I439" s="111">
        <v>13.9</v>
      </c>
      <c r="J439" s="11">
        <f t="shared" si="43"/>
        <v>3.9999999999999147E-2</v>
      </c>
      <c r="K439" s="12">
        <f t="shared" si="44"/>
        <v>-6.0000000000000497E-2</v>
      </c>
      <c r="L439" s="125">
        <f t="shared" si="45"/>
        <v>-9.9999999999999645E-2</v>
      </c>
      <c r="M439" s="47" t="str">
        <f t="shared" si="46"/>
        <v>Within Tolerance</v>
      </c>
      <c r="N439" s="47" t="str">
        <f t="shared" si="47"/>
        <v>Within Tolerance</v>
      </c>
      <c r="O439" s="47" t="str">
        <f t="shared" si="48"/>
        <v>Within Tolerance</v>
      </c>
    </row>
    <row r="440" spans="1:15" s="9" customFormat="1" x14ac:dyDescent="0.3">
      <c r="A440" s="166">
        <v>46161</v>
      </c>
      <c r="B440" s="61">
        <v>46161.770833333299</v>
      </c>
      <c r="C440" s="138">
        <f t="shared" si="42"/>
        <v>46161.770833333299</v>
      </c>
      <c r="D440" s="19" t="s">
        <v>35</v>
      </c>
      <c r="E440" s="8" t="s">
        <v>14</v>
      </c>
      <c r="F440" s="7" t="s">
        <v>11</v>
      </c>
      <c r="G440" s="25" t="s">
        <v>93</v>
      </c>
      <c r="H440" s="107">
        <v>13.6</v>
      </c>
      <c r="I440" s="111"/>
      <c r="J440" s="11" t="str">
        <f t="shared" si="43"/>
        <v/>
      </c>
      <c r="K440" s="12" t="str">
        <f t="shared" si="44"/>
        <v/>
      </c>
      <c r="L440" s="125" t="str">
        <f t="shared" si="45"/>
        <v/>
      </c>
      <c r="M440" s="47" t="str">
        <f t="shared" si="46"/>
        <v/>
      </c>
      <c r="N440" s="47" t="str">
        <f t="shared" si="47"/>
        <v/>
      </c>
      <c r="O440" s="47" t="str">
        <f t="shared" si="48"/>
        <v/>
      </c>
    </row>
    <row r="441" spans="1:15" s="9" customFormat="1" x14ac:dyDescent="0.3">
      <c r="A441" s="167">
        <v>46161</v>
      </c>
      <c r="B441" s="61">
        <v>46161.788194444402</v>
      </c>
      <c r="C441" s="138">
        <f t="shared" si="42"/>
        <v>46161.788194444402</v>
      </c>
      <c r="D441" s="19" t="s">
        <v>35</v>
      </c>
      <c r="E441" s="8" t="s">
        <v>14</v>
      </c>
      <c r="F441" s="7" t="s">
        <v>11</v>
      </c>
      <c r="G441" s="25" t="s">
        <v>93</v>
      </c>
      <c r="H441" s="107">
        <v>13.9</v>
      </c>
      <c r="I441" s="111">
        <v>13.9</v>
      </c>
      <c r="J441" s="11" t="str">
        <f t="shared" si="43"/>
        <v/>
      </c>
      <c r="K441" s="12" t="str">
        <f t="shared" si="44"/>
        <v/>
      </c>
      <c r="L441" s="125">
        <f t="shared" si="45"/>
        <v>0</v>
      </c>
      <c r="M441" s="47" t="str">
        <f t="shared" si="46"/>
        <v/>
      </c>
      <c r="N441" s="47" t="str">
        <f t="shared" si="47"/>
        <v/>
      </c>
      <c r="O441" s="47" t="str">
        <f t="shared" si="48"/>
        <v>Within Tolerance</v>
      </c>
    </row>
    <row r="442" spans="1:15" s="9" customFormat="1" x14ac:dyDescent="0.3">
      <c r="A442" s="166">
        <v>46161</v>
      </c>
      <c r="B442" s="61">
        <v>46161.854166666701</v>
      </c>
      <c r="C442" s="138">
        <f t="shared" si="42"/>
        <v>46161.854166666701</v>
      </c>
      <c r="D442" s="19" t="s">
        <v>35</v>
      </c>
      <c r="E442" s="8" t="s">
        <v>14</v>
      </c>
      <c r="F442" s="7" t="s">
        <v>11</v>
      </c>
      <c r="G442" s="25" t="s">
        <v>93</v>
      </c>
      <c r="H442" s="107">
        <v>13.9</v>
      </c>
      <c r="I442" s="111">
        <v>13.8</v>
      </c>
      <c r="J442" s="11" t="str">
        <f t="shared" si="43"/>
        <v/>
      </c>
      <c r="K442" s="12" t="str">
        <f t="shared" si="44"/>
        <v/>
      </c>
      <c r="L442" s="125">
        <f t="shared" si="45"/>
        <v>-9.9999999999999645E-2</v>
      </c>
      <c r="M442" s="47" t="str">
        <f t="shared" si="46"/>
        <v/>
      </c>
      <c r="N442" s="47" t="str">
        <f t="shared" si="47"/>
        <v/>
      </c>
      <c r="O442" s="47" t="str">
        <f t="shared" si="48"/>
        <v>Within Tolerance</v>
      </c>
    </row>
    <row r="443" spans="1:15" s="9" customFormat="1" x14ac:dyDescent="0.3">
      <c r="A443" s="167">
        <v>46161</v>
      </c>
      <c r="B443" s="61">
        <v>46161.916666666701</v>
      </c>
      <c r="C443" s="138">
        <f t="shared" si="42"/>
        <v>46161.916666666701</v>
      </c>
      <c r="D443" s="19" t="s">
        <v>35</v>
      </c>
      <c r="E443" s="8" t="s">
        <v>14</v>
      </c>
      <c r="F443" s="7" t="s">
        <v>11</v>
      </c>
      <c r="G443" s="25" t="s">
        <v>93</v>
      </c>
      <c r="H443" s="107">
        <v>14</v>
      </c>
      <c r="I443" s="111">
        <v>13.8</v>
      </c>
      <c r="J443" s="11" t="str">
        <f t="shared" si="43"/>
        <v/>
      </c>
      <c r="K443" s="12" t="str">
        <f t="shared" si="44"/>
        <v/>
      </c>
      <c r="L443" s="125">
        <f t="shared" si="45"/>
        <v>-0.19999999999999929</v>
      </c>
      <c r="M443" s="47" t="str">
        <f t="shared" si="46"/>
        <v/>
      </c>
      <c r="N443" s="47" t="str">
        <f t="shared" si="47"/>
        <v/>
      </c>
      <c r="O443" s="47" t="str">
        <f t="shared" si="48"/>
        <v>Within Tolerance</v>
      </c>
    </row>
    <row r="444" spans="1:15" s="9" customFormat="1" x14ac:dyDescent="0.3">
      <c r="A444" s="166">
        <v>46161</v>
      </c>
      <c r="B444" s="61">
        <v>46162</v>
      </c>
      <c r="C444" s="138">
        <f t="shared" si="42"/>
        <v>46161</v>
      </c>
      <c r="D444" s="19" t="s">
        <v>35</v>
      </c>
      <c r="E444" s="8" t="s">
        <v>14</v>
      </c>
      <c r="F444" s="7" t="s">
        <v>11</v>
      </c>
      <c r="G444" s="25" t="s">
        <v>93</v>
      </c>
      <c r="H444" s="107">
        <v>13.9</v>
      </c>
      <c r="I444" s="111">
        <v>14</v>
      </c>
      <c r="J444" s="11" t="str">
        <f t="shared" si="43"/>
        <v/>
      </c>
      <c r="K444" s="12" t="str">
        <f t="shared" si="44"/>
        <v/>
      </c>
      <c r="L444" s="125">
        <f t="shared" si="45"/>
        <v>9.9999999999999645E-2</v>
      </c>
      <c r="M444" s="47" t="str">
        <f t="shared" si="46"/>
        <v/>
      </c>
      <c r="N444" s="47" t="str">
        <f t="shared" si="47"/>
        <v/>
      </c>
      <c r="O444" s="47" t="str">
        <f t="shared" si="48"/>
        <v>Within Tolerance</v>
      </c>
    </row>
    <row r="445" spans="1:15" s="9" customFormat="1" x14ac:dyDescent="0.3">
      <c r="A445" s="167">
        <v>46162</v>
      </c>
      <c r="B445" s="61">
        <v>46162.083333333299</v>
      </c>
      <c r="C445" s="138">
        <f t="shared" si="42"/>
        <v>46162.083333333299</v>
      </c>
      <c r="D445" s="19" t="s">
        <v>35</v>
      </c>
      <c r="E445" s="8" t="s">
        <v>14</v>
      </c>
      <c r="F445" s="7" t="s">
        <v>11</v>
      </c>
      <c r="G445" s="25" t="s">
        <v>93</v>
      </c>
      <c r="H445" s="107">
        <v>14</v>
      </c>
      <c r="I445" s="111">
        <v>14.1</v>
      </c>
      <c r="J445" s="11" t="str">
        <f t="shared" si="43"/>
        <v/>
      </c>
      <c r="K445" s="12" t="str">
        <f t="shared" si="44"/>
        <v/>
      </c>
      <c r="L445" s="125">
        <f t="shared" si="45"/>
        <v>9.9999999999999645E-2</v>
      </c>
      <c r="M445" s="47" t="str">
        <f t="shared" si="46"/>
        <v/>
      </c>
      <c r="N445" s="47" t="str">
        <f t="shared" si="47"/>
        <v/>
      </c>
      <c r="O445" s="47" t="str">
        <f t="shared" si="48"/>
        <v>Within Tolerance</v>
      </c>
    </row>
    <row r="446" spans="1:15" s="9" customFormat="1" x14ac:dyDescent="0.3">
      <c r="A446" s="166">
        <v>46162</v>
      </c>
      <c r="B446" s="61">
        <v>46162.166666666701</v>
      </c>
      <c r="C446" s="138">
        <f t="shared" si="42"/>
        <v>46162.166666666701</v>
      </c>
      <c r="D446" s="19" t="s">
        <v>35</v>
      </c>
      <c r="E446" s="8" t="s">
        <v>14</v>
      </c>
      <c r="F446" s="7" t="s">
        <v>11</v>
      </c>
      <c r="G446" s="25" t="s">
        <v>93</v>
      </c>
      <c r="H446" s="107">
        <v>14</v>
      </c>
      <c r="I446" s="111">
        <v>14</v>
      </c>
      <c r="J446" s="11" t="str">
        <f t="shared" si="43"/>
        <v/>
      </c>
      <c r="K446" s="12" t="str">
        <f t="shared" si="44"/>
        <v/>
      </c>
      <c r="L446" s="125">
        <f t="shared" si="45"/>
        <v>0</v>
      </c>
      <c r="M446" s="47" t="str">
        <f t="shared" si="46"/>
        <v/>
      </c>
      <c r="N446" s="47" t="str">
        <f t="shared" si="47"/>
        <v/>
      </c>
      <c r="O446" s="47" t="str">
        <f t="shared" si="48"/>
        <v>Within Tolerance</v>
      </c>
    </row>
    <row r="447" spans="1:15" s="9" customFormat="1" x14ac:dyDescent="0.3">
      <c r="A447" s="167">
        <v>46162</v>
      </c>
      <c r="B447" s="61">
        <v>46162.246527777803</v>
      </c>
      <c r="C447" s="138">
        <f t="shared" si="42"/>
        <v>46162.246527777803</v>
      </c>
      <c r="D447" s="19" t="s">
        <v>41</v>
      </c>
      <c r="E447" s="8" t="s">
        <v>10</v>
      </c>
      <c r="F447" s="7" t="s">
        <v>15</v>
      </c>
      <c r="G447" s="25" t="s">
        <v>93</v>
      </c>
      <c r="H447" s="107">
        <v>14</v>
      </c>
      <c r="I447" s="111">
        <v>14</v>
      </c>
      <c r="J447" s="11" t="str">
        <f t="shared" si="43"/>
        <v/>
      </c>
      <c r="K447" s="12" t="str">
        <f t="shared" si="44"/>
        <v/>
      </c>
      <c r="L447" s="125">
        <f t="shared" si="45"/>
        <v>0</v>
      </c>
      <c r="M447" s="47" t="str">
        <f t="shared" si="46"/>
        <v/>
      </c>
      <c r="N447" s="47" t="str">
        <f t="shared" si="47"/>
        <v/>
      </c>
      <c r="O447" s="47" t="str">
        <f t="shared" si="48"/>
        <v>Within Tolerance</v>
      </c>
    </row>
    <row r="448" spans="1:15" s="9" customFormat="1" x14ac:dyDescent="0.3">
      <c r="A448" s="166">
        <v>46161</v>
      </c>
      <c r="B448" s="61">
        <v>46161.333333333299</v>
      </c>
      <c r="C448" s="138">
        <f t="shared" si="42"/>
        <v>46161.333333333299</v>
      </c>
      <c r="D448" s="19" t="s">
        <v>52</v>
      </c>
      <c r="E448" s="8" t="s">
        <v>17</v>
      </c>
      <c r="F448" s="7" t="s">
        <v>15</v>
      </c>
      <c r="G448" s="25">
        <v>13.89</v>
      </c>
      <c r="H448" s="107">
        <v>14.1</v>
      </c>
      <c r="I448" s="111">
        <v>14</v>
      </c>
      <c r="J448" s="11">
        <f t="shared" si="43"/>
        <v>0.20999999999999908</v>
      </c>
      <c r="K448" s="12">
        <f t="shared" si="44"/>
        <v>0.10999999999999943</v>
      </c>
      <c r="L448" s="125">
        <f t="shared" si="45"/>
        <v>-9.9999999999999645E-2</v>
      </c>
      <c r="M448" s="47" t="str">
        <f t="shared" si="46"/>
        <v>Out of Tolerance</v>
      </c>
      <c r="N448" s="47" t="str">
        <f t="shared" si="47"/>
        <v>Within Tolerance</v>
      </c>
      <c r="O448" s="47" t="str">
        <f t="shared" si="48"/>
        <v>Within Tolerance</v>
      </c>
    </row>
    <row r="449" spans="1:15" s="9" customFormat="1" x14ac:dyDescent="0.3">
      <c r="A449" s="167">
        <v>46161</v>
      </c>
      <c r="B449" s="61">
        <v>46161.402777777803</v>
      </c>
      <c r="C449" s="138">
        <f t="shared" si="42"/>
        <v>46161.402777777803</v>
      </c>
      <c r="D449" s="19" t="s">
        <v>40</v>
      </c>
      <c r="E449" s="8" t="s">
        <v>17</v>
      </c>
      <c r="F449" s="7" t="s">
        <v>15</v>
      </c>
      <c r="G449" s="25" t="s">
        <v>93</v>
      </c>
      <c r="H449" s="107">
        <v>14</v>
      </c>
      <c r="I449" s="111">
        <v>14</v>
      </c>
      <c r="J449" s="11" t="str">
        <f t="shared" si="43"/>
        <v/>
      </c>
      <c r="K449" s="12" t="str">
        <f t="shared" si="44"/>
        <v/>
      </c>
      <c r="L449" s="125">
        <f t="shared" si="45"/>
        <v>0</v>
      </c>
      <c r="M449" s="47" t="str">
        <f t="shared" si="46"/>
        <v/>
      </c>
      <c r="N449" s="47" t="str">
        <f t="shared" si="47"/>
        <v/>
      </c>
      <c r="O449" s="47" t="str">
        <f t="shared" si="48"/>
        <v>Within Tolerance</v>
      </c>
    </row>
    <row r="450" spans="1:15" s="9" customFormat="1" x14ac:dyDescent="0.3">
      <c r="A450" s="166">
        <v>46161</v>
      </c>
      <c r="B450" s="61">
        <v>46161.5</v>
      </c>
      <c r="C450" s="138">
        <f t="shared" ref="C450:C513" si="49">A450+MOD(B450,1)</f>
        <v>46161.5</v>
      </c>
      <c r="D450" s="19" t="s">
        <v>40</v>
      </c>
      <c r="E450" s="8" t="s">
        <v>17</v>
      </c>
      <c r="F450" s="7" t="s">
        <v>15</v>
      </c>
      <c r="G450" s="25" t="s">
        <v>93</v>
      </c>
      <c r="H450" s="107">
        <v>14</v>
      </c>
      <c r="I450" s="111">
        <v>13.9</v>
      </c>
      <c r="J450" s="11" t="str">
        <f t="shared" si="43"/>
        <v/>
      </c>
      <c r="K450" s="12" t="str">
        <f t="shared" si="44"/>
        <v/>
      </c>
      <c r="L450" s="125">
        <f t="shared" si="45"/>
        <v>-9.9999999999999645E-2</v>
      </c>
      <c r="M450" s="47" t="str">
        <f t="shared" si="46"/>
        <v/>
      </c>
      <c r="N450" s="47" t="str">
        <f t="shared" si="47"/>
        <v/>
      </c>
      <c r="O450" s="47" t="str">
        <f t="shared" si="48"/>
        <v>Within Tolerance</v>
      </c>
    </row>
    <row r="451" spans="1:15" s="9" customFormat="1" x14ac:dyDescent="0.3">
      <c r="A451" s="167">
        <v>46161</v>
      </c>
      <c r="B451" s="61">
        <v>46161.583333333299</v>
      </c>
      <c r="C451" s="138">
        <f t="shared" si="49"/>
        <v>46161.583333333299</v>
      </c>
      <c r="D451" s="19" t="s">
        <v>40</v>
      </c>
      <c r="E451" s="8" t="s">
        <v>17</v>
      </c>
      <c r="F451" s="7" t="s">
        <v>15</v>
      </c>
      <c r="G451" s="25" t="s">
        <v>93</v>
      </c>
      <c r="H451" s="107">
        <v>14.1</v>
      </c>
      <c r="I451" s="111">
        <v>13.9</v>
      </c>
      <c r="J451" s="11" t="str">
        <f t="shared" ref="J451:J514" si="50">IF(OR(H451="",G451=""),"",H451-G451)</f>
        <v/>
      </c>
      <c r="K451" s="12" t="str">
        <f t="shared" ref="K451:K514" si="51">IF(OR(TRIM(G451&amp;"")="",TRIM(I451&amp;"")="",G451="-",I451="-"),"",I451-G451)</f>
        <v/>
      </c>
      <c r="L451" s="125">
        <f t="shared" ref="L451:L514" si="52">IF(OR(TRIM(H451&amp;"")="",TRIM(I451&amp;"")="",H451="-",I451="-"),"",I451-H451)</f>
        <v>-0.19999999999999929</v>
      </c>
      <c r="M451" s="47" t="str">
        <f t="shared" ref="M451:M514" si="53">IF(J451="","",IF(ABS(J451)&lt;=0.2,"Within Tolerance","Out of Tolerance"))</f>
        <v/>
      </c>
      <c r="N451" s="47" t="str">
        <f t="shared" ref="N451:N514" si="54">IF(K451="","",IF(ABS(K451)&lt;=0.2,"Within Tolerance","Out of Tolerance"))</f>
        <v/>
      </c>
      <c r="O451" s="47" t="str">
        <f t="shared" ref="O451:O514" si="55">IF(L451="","",IF(ABS(L451)&lt;=0.2,"Within Tolerance","Out of Tolerance"))</f>
        <v>Within Tolerance</v>
      </c>
    </row>
    <row r="452" spans="1:15" s="9" customFormat="1" x14ac:dyDescent="0.3">
      <c r="A452" s="166">
        <v>46161</v>
      </c>
      <c r="B452" s="61">
        <v>46161.666666666701</v>
      </c>
      <c r="C452" s="138">
        <f t="shared" si="49"/>
        <v>46161.666666666701</v>
      </c>
      <c r="D452" s="19" t="s">
        <v>40</v>
      </c>
      <c r="E452" s="8" t="s">
        <v>17</v>
      </c>
      <c r="F452" s="7" t="s">
        <v>15</v>
      </c>
      <c r="G452" s="25" t="s">
        <v>93</v>
      </c>
      <c r="H452" s="107">
        <v>14.2</v>
      </c>
      <c r="I452" s="111">
        <v>14</v>
      </c>
      <c r="J452" s="11" t="str">
        <f t="shared" si="50"/>
        <v/>
      </c>
      <c r="K452" s="12" t="str">
        <f t="shared" si="51"/>
        <v/>
      </c>
      <c r="L452" s="125">
        <f t="shared" si="52"/>
        <v>-0.19999999999999929</v>
      </c>
      <c r="M452" s="47" t="str">
        <f t="shared" si="53"/>
        <v/>
      </c>
      <c r="N452" s="47" t="str">
        <f t="shared" si="54"/>
        <v/>
      </c>
      <c r="O452" s="47" t="str">
        <f t="shared" si="55"/>
        <v>Within Tolerance</v>
      </c>
    </row>
    <row r="453" spans="1:15" s="9" customFormat="1" x14ac:dyDescent="0.3">
      <c r="A453" s="167">
        <v>46161</v>
      </c>
      <c r="B453" s="61">
        <v>46161.75</v>
      </c>
      <c r="C453" s="138">
        <f t="shared" si="49"/>
        <v>46161.75</v>
      </c>
      <c r="D453" s="19" t="s">
        <v>40</v>
      </c>
      <c r="E453" s="8" t="s">
        <v>17</v>
      </c>
      <c r="F453" s="7" t="s">
        <v>15</v>
      </c>
      <c r="G453" s="25" t="s">
        <v>93</v>
      </c>
      <c r="H453" s="107">
        <v>14.2</v>
      </c>
      <c r="I453" s="111">
        <v>14.1</v>
      </c>
      <c r="J453" s="11" t="str">
        <f t="shared" si="50"/>
        <v/>
      </c>
      <c r="K453" s="12" t="str">
        <f t="shared" si="51"/>
        <v/>
      </c>
      <c r="L453" s="125">
        <f t="shared" si="52"/>
        <v>-9.9999999999999645E-2</v>
      </c>
      <c r="M453" s="47" t="str">
        <f t="shared" si="53"/>
        <v/>
      </c>
      <c r="N453" s="47" t="str">
        <f t="shared" si="54"/>
        <v/>
      </c>
      <c r="O453" s="47" t="str">
        <f t="shared" si="55"/>
        <v>Within Tolerance</v>
      </c>
    </row>
    <row r="454" spans="1:15" s="9" customFormat="1" x14ac:dyDescent="0.3">
      <c r="A454" s="166">
        <v>46161</v>
      </c>
      <c r="B454" s="61">
        <v>46161.833333333299</v>
      </c>
      <c r="C454" s="138">
        <f t="shared" si="49"/>
        <v>46161.833333333299</v>
      </c>
      <c r="D454" s="19" t="s">
        <v>40</v>
      </c>
      <c r="E454" s="8" t="s">
        <v>17</v>
      </c>
      <c r="F454" s="7" t="s">
        <v>15</v>
      </c>
      <c r="G454" s="25" t="s">
        <v>93</v>
      </c>
      <c r="H454" s="107">
        <v>14.2</v>
      </c>
      <c r="I454" s="111">
        <v>14.1</v>
      </c>
      <c r="J454" s="11" t="str">
        <f t="shared" si="50"/>
        <v/>
      </c>
      <c r="K454" s="12" t="str">
        <f t="shared" si="51"/>
        <v/>
      </c>
      <c r="L454" s="125">
        <f t="shared" si="52"/>
        <v>-9.9999999999999645E-2</v>
      </c>
      <c r="M454" s="47" t="str">
        <f t="shared" si="53"/>
        <v/>
      </c>
      <c r="N454" s="47" t="str">
        <f t="shared" si="54"/>
        <v/>
      </c>
      <c r="O454" s="47" t="str">
        <f t="shared" si="55"/>
        <v>Within Tolerance</v>
      </c>
    </row>
    <row r="455" spans="1:15" s="9" customFormat="1" x14ac:dyDescent="0.3">
      <c r="A455" s="167">
        <v>46161</v>
      </c>
      <c r="B455" s="61">
        <v>46161.916666666701</v>
      </c>
      <c r="C455" s="138">
        <f t="shared" si="49"/>
        <v>46161.916666666701</v>
      </c>
      <c r="D455" s="19" t="s">
        <v>40</v>
      </c>
      <c r="E455" s="8" t="s">
        <v>17</v>
      </c>
      <c r="F455" s="7" t="s">
        <v>15</v>
      </c>
      <c r="G455" s="25" t="s">
        <v>93</v>
      </c>
      <c r="H455" s="107">
        <v>14.2</v>
      </c>
      <c r="I455" s="111">
        <v>14.2</v>
      </c>
      <c r="J455" s="11" t="str">
        <f t="shared" si="50"/>
        <v/>
      </c>
      <c r="K455" s="12" t="str">
        <f t="shared" si="51"/>
        <v/>
      </c>
      <c r="L455" s="125">
        <f t="shared" si="52"/>
        <v>0</v>
      </c>
      <c r="M455" s="47" t="str">
        <f t="shared" si="53"/>
        <v/>
      </c>
      <c r="N455" s="47" t="str">
        <f t="shared" si="54"/>
        <v/>
      </c>
      <c r="O455" s="47" t="str">
        <f t="shared" si="55"/>
        <v>Within Tolerance</v>
      </c>
    </row>
    <row r="456" spans="1:15" s="9" customFormat="1" x14ac:dyDescent="0.3">
      <c r="A456" s="166">
        <v>46161</v>
      </c>
      <c r="B456" s="61">
        <v>46161.965277777803</v>
      </c>
      <c r="C456" s="138">
        <f t="shared" si="49"/>
        <v>46161.965277777803</v>
      </c>
      <c r="D456" s="19" t="s">
        <v>29</v>
      </c>
      <c r="E456" s="8" t="s">
        <v>10</v>
      </c>
      <c r="F456" s="7" t="s">
        <v>15</v>
      </c>
      <c r="G456" s="25" t="s">
        <v>93</v>
      </c>
      <c r="H456" s="107">
        <v>13.7</v>
      </c>
      <c r="I456" s="111"/>
      <c r="J456" s="11" t="str">
        <f t="shared" si="50"/>
        <v/>
      </c>
      <c r="K456" s="12" t="str">
        <f t="shared" si="51"/>
        <v/>
      </c>
      <c r="L456" s="125" t="str">
        <f t="shared" si="52"/>
        <v/>
      </c>
      <c r="M456" s="47" t="str">
        <f t="shared" si="53"/>
        <v/>
      </c>
      <c r="N456" s="47" t="str">
        <f t="shared" si="54"/>
        <v/>
      </c>
      <c r="O456" s="47" t="str">
        <f t="shared" si="55"/>
        <v/>
      </c>
    </row>
    <row r="457" spans="1:15" s="9" customFormat="1" x14ac:dyDescent="0.3">
      <c r="A457" s="167">
        <v>46161</v>
      </c>
      <c r="B457" s="61">
        <v>46162</v>
      </c>
      <c r="C457" s="138">
        <f t="shared" si="49"/>
        <v>46161</v>
      </c>
      <c r="D457" s="19" t="s">
        <v>29</v>
      </c>
      <c r="E457" s="8" t="s">
        <v>10</v>
      </c>
      <c r="F457" s="7" t="s">
        <v>15</v>
      </c>
      <c r="G457" s="25" t="s">
        <v>93</v>
      </c>
      <c r="H457" s="107">
        <v>14</v>
      </c>
      <c r="I457" s="111">
        <v>14.2</v>
      </c>
      <c r="J457" s="11" t="str">
        <f t="shared" si="50"/>
        <v/>
      </c>
      <c r="K457" s="12" t="str">
        <f t="shared" si="51"/>
        <v/>
      </c>
      <c r="L457" s="125">
        <f t="shared" si="52"/>
        <v>0.19999999999999929</v>
      </c>
      <c r="M457" s="47" t="str">
        <f t="shared" si="53"/>
        <v/>
      </c>
      <c r="N457" s="47" t="str">
        <f t="shared" si="54"/>
        <v/>
      </c>
      <c r="O457" s="47" t="str">
        <f t="shared" si="55"/>
        <v>Within Tolerance</v>
      </c>
    </row>
    <row r="458" spans="1:15" s="9" customFormat="1" x14ac:dyDescent="0.3">
      <c r="A458" s="166">
        <v>46162</v>
      </c>
      <c r="B458" s="61">
        <v>46162.083333333299</v>
      </c>
      <c r="C458" s="138">
        <f t="shared" si="49"/>
        <v>46162.083333333299</v>
      </c>
      <c r="D458" s="19" t="s">
        <v>29</v>
      </c>
      <c r="E458" s="8" t="s">
        <v>10</v>
      </c>
      <c r="F458" s="7" t="s">
        <v>15</v>
      </c>
      <c r="G458" s="25" t="s">
        <v>93</v>
      </c>
      <c r="H458" s="107">
        <v>14</v>
      </c>
      <c r="I458" s="111">
        <v>14.1</v>
      </c>
      <c r="J458" s="11" t="str">
        <f t="shared" si="50"/>
        <v/>
      </c>
      <c r="K458" s="12" t="str">
        <f t="shared" si="51"/>
        <v/>
      </c>
      <c r="L458" s="125">
        <f t="shared" si="52"/>
        <v>9.9999999999999645E-2</v>
      </c>
      <c r="M458" s="47" t="str">
        <f t="shared" si="53"/>
        <v/>
      </c>
      <c r="N458" s="47" t="str">
        <f t="shared" si="54"/>
        <v/>
      </c>
      <c r="O458" s="47" t="str">
        <f t="shared" si="55"/>
        <v>Within Tolerance</v>
      </c>
    </row>
    <row r="459" spans="1:15" s="9" customFormat="1" x14ac:dyDescent="0.3">
      <c r="A459" s="167">
        <v>46162</v>
      </c>
      <c r="B459" s="61">
        <v>46162.166666666701</v>
      </c>
      <c r="C459" s="138">
        <f t="shared" si="49"/>
        <v>46162.166666666701</v>
      </c>
      <c r="D459" s="19" t="s">
        <v>29</v>
      </c>
      <c r="E459" s="8" t="s">
        <v>10</v>
      </c>
      <c r="F459" s="7" t="s">
        <v>15</v>
      </c>
      <c r="G459" s="25" t="s">
        <v>93</v>
      </c>
      <c r="H459" s="107">
        <v>14.1</v>
      </c>
      <c r="I459" s="111">
        <v>14.1</v>
      </c>
      <c r="J459" s="11" t="str">
        <f t="shared" si="50"/>
        <v/>
      </c>
      <c r="K459" s="12" t="str">
        <f t="shared" si="51"/>
        <v/>
      </c>
      <c r="L459" s="125">
        <f t="shared" si="52"/>
        <v>0</v>
      </c>
      <c r="M459" s="47" t="str">
        <f t="shared" si="53"/>
        <v/>
      </c>
      <c r="N459" s="47" t="str">
        <f t="shared" si="54"/>
        <v/>
      </c>
      <c r="O459" s="47" t="str">
        <f t="shared" si="55"/>
        <v>Within Tolerance</v>
      </c>
    </row>
    <row r="460" spans="1:15" s="9" customFormat="1" x14ac:dyDescent="0.3">
      <c r="A460" s="166">
        <v>46162</v>
      </c>
      <c r="B460" s="61">
        <v>46162.25</v>
      </c>
      <c r="C460" s="138">
        <f t="shared" si="49"/>
        <v>46162.25</v>
      </c>
      <c r="D460" s="19" t="s">
        <v>29</v>
      </c>
      <c r="E460" s="8" t="s">
        <v>10</v>
      </c>
      <c r="F460" s="7" t="s">
        <v>15</v>
      </c>
      <c r="G460" s="25" t="s">
        <v>93</v>
      </c>
      <c r="H460" s="107">
        <v>14.1</v>
      </c>
      <c r="I460" s="111">
        <v>14</v>
      </c>
      <c r="J460" s="11" t="str">
        <f t="shared" si="50"/>
        <v/>
      </c>
      <c r="K460" s="12" t="str">
        <f t="shared" si="51"/>
        <v/>
      </c>
      <c r="L460" s="125">
        <f t="shared" si="52"/>
        <v>-9.9999999999999645E-2</v>
      </c>
      <c r="M460" s="47" t="str">
        <f t="shared" si="53"/>
        <v/>
      </c>
      <c r="N460" s="47" t="str">
        <f t="shared" si="54"/>
        <v/>
      </c>
      <c r="O460" s="47" t="str">
        <f t="shared" si="55"/>
        <v>Within Tolerance</v>
      </c>
    </row>
    <row r="461" spans="1:15" s="9" customFormat="1" x14ac:dyDescent="0.3">
      <c r="A461" s="167">
        <v>46161</v>
      </c>
      <c r="B461" s="78">
        <v>46161.479166666701</v>
      </c>
      <c r="C461" s="141">
        <f t="shared" si="49"/>
        <v>46161.479166666701</v>
      </c>
      <c r="D461" s="27" t="s">
        <v>20</v>
      </c>
      <c r="E461" s="8" t="s">
        <v>14</v>
      </c>
      <c r="F461" s="15" t="s">
        <v>19</v>
      </c>
      <c r="G461" s="16"/>
      <c r="H461" s="107">
        <v>14</v>
      </c>
      <c r="I461" s="111">
        <v>14</v>
      </c>
      <c r="J461" s="11" t="str">
        <f t="shared" si="50"/>
        <v/>
      </c>
      <c r="K461" s="12" t="str">
        <f t="shared" si="51"/>
        <v/>
      </c>
      <c r="L461" s="125">
        <f t="shared" si="52"/>
        <v>0</v>
      </c>
      <c r="M461" s="47" t="str">
        <f t="shared" si="53"/>
        <v/>
      </c>
      <c r="N461" s="47" t="str">
        <f t="shared" si="54"/>
        <v/>
      </c>
      <c r="O461" s="47" t="str">
        <f t="shared" si="55"/>
        <v>Within Tolerance</v>
      </c>
    </row>
    <row r="462" spans="1:15" s="9" customFormat="1" x14ac:dyDescent="0.3">
      <c r="A462" s="166">
        <v>46161</v>
      </c>
      <c r="B462" s="70">
        <v>46161.548611111102</v>
      </c>
      <c r="C462" s="159">
        <f t="shared" si="49"/>
        <v>46161.548611111102</v>
      </c>
      <c r="D462" s="19" t="s">
        <v>18</v>
      </c>
      <c r="E462" s="8" t="s">
        <v>14</v>
      </c>
      <c r="F462" s="7" t="s">
        <v>19</v>
      </c>
      <c r="G462" s="25" t="s">
        <v>93</v>
      </c>
      <c r="H462" s="107">
        <v>13.7</v>
      </c>
      <c r="I462" s="111">
        <v>13.7</v>
      </c>
      <c r="J462" s="11" t="str">
        <f t="shared" si="50"/>
        <v/>
      </c>
      <c r="K462" s="12" t="str">
        <f t="shared" si="51"/>
        <v/>
      </c>
      <c r="L462" s="125">
        <f t="shared" si="52"/>
        <v>0</v>
      </c>
      <c r="M462" s="47" t="str">
        <f t="shared" si="53"/>
        <v/>
      </c>
      <c r="N462" s="47" t="str">
        <f t="shared" si="54"/>
        <v/>
      </c>
      <c r="O462" s="47" t="str">
        <f t="shared" si="55"/>
        <v>Within Tolerance</v>
      </c>
    </row>
    <row r="463" spans="1:15" s="9" customFormat="1" x14ac:dyDescent="0.3">
      <c r="A463" s="167">
        <v>46161</v>
      </c>
      <c r="B463" s="81">
        <v>46161.708333333299</v>
      </c>
      <c r="C463" s="160">
        <f t="shared" si="49"/>
        <v>46161.708333333299</v>
      </c>
      <c r="D463" s="30" t="s">
        <v>55</v>
      </c>
      <c r="E463" s="8" t="s">
        <v>14</v>
      </c>
      <c r="F463" s="15" t="s">
        <v>19</v>
      </c>
      <c r="G463" s="16"/>
      <c r="H463" s="107">
        <v>13.9</v>
      </c>
      <c r="I463" s="111">
        <v>13.9</v>
      </c>
      <c r="J463" s="11" t="str">
        <f t="shared" si="50"/>
        <v/>
      </c>
      <c r="K463" s="12" t="str">
        <f t="shared" si="51"/>
        <v/>
      </c>
      <c r="L463" s="125">
        <f t="shared" si="52"/>
        <v>0</v>
      </c>
      <c r="M463" s="47" t="str">
        <f t="shared" si="53"/>
        <v/>
      </c>
      <c r="N463" s="47" t="str">
        <f t="shared" si="54"/>
        <v/>
      </c>
      <c r="O463" s="47" t="str">
        <f t="shared" si="55"/>
        <v>Within Tolerance</v>
      </c>
    </row>
    <row r="464" spans="1:15" s="9" customFormat="1" x14ac:dyDescent="0.3">
      <c r="A464" s="166">
        <v>46161</v>
      </c>
      <c r="B464" s="73">
        <v>46161.788194444402</v>
      </c>
      <c r="C464" s="156">
        <f t="shared" si="49"/>
        <v>46161.788194444402</v>
      </c>
      <c r="D464" s="7" t="s">
        <v>27</v>
      </c>
      <c r="E464" s="8" t="s">
        <v>10</v>
      </c>
      <c r="F464" s="15" t="s">
        <v>19</v>
      </c>
      <c r="G464" s="25" t="s">
        <v>93</v>
      </c>
      <c r="H464" s="107">
        <v>14</v>
      </c>
      <c r="I464" s="111">
        <v>13.9</v>
      </c>
      <c r="J464" s="11" t="str">
        <f t="shared" si="50"/>
        <v/>
      </c>
      <c r="K464" s="12" t="str">
        <f t="shared" si="51"/>
        <v/>
      </c>
      <c r="L464" s="125">
        <f t="shared" si="52"/>
        <v>-9.9999999999999645E-2</v>
      </c>
      <c r="M464" s="47" t="str">
        <f t="shared" si="53"/>
        <v/>
      </c>
      <c r="N464" s="47" t="str">
        <f t="shared" si="54"/>
        <v/>
      </c>
      <c r="O464" s="47" t="str">
        <f t="shared" si="55"/>
        <v>Within Tolerance</v>
      </c>
    </row>
    <row r="465" spans="1:15" s="9" customFormat="1" x14ac:dyDescent="0.3">
      <c r="A465" s="167">
        <v>46161</v>
      </c>
      <c r="B465" s="73">
        <v>46161.458333333299</v>
      </c>
      <c r="C465" s="158">
        <f t="shared" si="49"/>
        <v>46161.458333333299</v>
      </c>
      <c r="D465" s="22" t="s">
        <v>49</v>
      </c>
      <c r="E465" s="8" t="s">
        <v>10</v>
      </c>
      <c r="F465" s="7" t="s">
        <v>24</v>
      </c>
      <c r="G465" s="25" t="s">
        <v>93</v>
      </c>
      <c r="H465" s="106">
        <v>13.7</v>
      </c>
      <c r="I465" s="111">
        <v>13.7</v>
      </c>
      <c r="J465" s="11" t="str">
        <f t="shared" si="50"/>
        <v/>
      </c>
      <c r="K465" s="12" t="str">
        <f t="shared" si="51"/>
        <v/>
      </c>
      <c r="L465" s="125">
        <f t="shared" si="52"/>
        <v>0</v>
      </c>
      <c r="M465" s="47" t="str">
        <f t="shared" si="53"/>
        <v/>
      </c>
      <c r="N465" s="47" t="str">
        <f t="shared" si="54"/>
        <v/>
      </c>
      <c r="O465" s="47" t="str">
        <f t="shared" si="55"/>
        <v>Within Tolerance</v>
      </c>
    </row>
    <row r="466" spans="1:15" s="9" customFormat="1" x14ac:dyDescent="0.3">
      <c r="A466" s="166">
        <v>46161</v>
      </c>
      <c r="B466" s="69">
        <v>46161.548611111102</v>
      </c>
      <c r="C466" s="158">
        <f t="shared" si="49"/>
        <v>46161.548611111102</v>
      </c>
      <c r="D466" s="19" t="s">
        <v>51</v>
      </c>
      <c r="E466" s="8" t="s">
        <v>10</v>
      </c>
      <c r="F466" s="7" t="s">
        <v>24</v>
      </c>
      <c r="G466" s="25" t="s">
        <v>93</v>
      </c>
      <c r="H466" s="106">
        <v>13.8</v>
      </c>
      <c r="I466" s="111">
        <v>13.6</v>
      </c>
      <c r="J466" s="11" t="str">
        <f t="shared" si="50"/>
        <v/>
      </c>
      <c r="K466" s="12" t="str">
        <f t="shared" si="51"/>
        <v/>
      </c>
      <c r="L466" s="125">
        <f t="shared" si="52"/>
        <v>-0.20000000000000107</v>
      </c>
      <c r="M466" s="47" t="str">
        <f t="shared" si="53"/>
        <v/>
      </c>
      <c r="N466" s="47" t="str">
        <f t="shared" si="54"/>
        <v/>
      </c>
      <c r="O466" s="47" t="str">
        <f t="shared" si="55"/>
        <v>Out of Tolerance</v>
      </c>
    </row>
    <row r="467" spans="1:15" s="9" customFormat="1" x14ac:dyDescent="0.3">
      <c r="A467" s="167">
        <v>46161</v>
      </c>
      <c r="B467" s="70">
        <v>46161.572916666701</v>
      </c>
      <c r="C467" s="159">
        <f t="shared" si="49"/>
        <v>46161.572916666701</v>
      </c>
      <c r="D467" s="19" t="s">
        <v>38</v>
      </c>
      <c r="E467" s="8" t="s">
        <v>10</v>
      </c>
      <c r="F467" s="7" t="s">
        <v>24</v>
      </c>
      <c r="G467" s="25" t="s">
        <v>93</v>
      </c>
      <c r="H467" s="106">
        <v>13.9</v>
      </c>
      <c r="I467" s="111">
        <v>13.7</v>
      </c>
      <c r="J467" s="11" t="str">
        <f t="shared" si="50"/>
        <v/>
      </c>
      <c r="K467" s="12" t="str">
        <f t="shared" si="51"/>
        <v/>
      </c>
      <c r="L467" s="125">
        <f t="shared" si="52"/>
        <v>-0.20000000000000107</v>
      </c>
      <c r="M467" s="47" t="str">
        <f t="shared" si="53"/>
        <v/>
      </c>
      <c r="N467" s="47" t="str">
        <f t="shared" si="54"/>
        <v/>
      </c>
      <c r="O467" s="47" t="str">
        <f t="shared" si="55"/>
        <v>Out of Tolerance</v>
      </c>
    </row>
    <row r="468" spans="1:15" s="9" customFormat="1" x14ac:dyDescent="0.3">
      <c r="A468" s="166">
        <v>46162</v>
      </c>
      <c r="B468" s="64">
        <v>46162.333333333299</v>
      </c>
      <c r="C468" s="142">
        <f t="shared" si="49"/>
        <v>46162.333333333299</v>
      </c>
      <c r="D468" s="19" t="s">
        <v>41</v>
      </c>
      <c r="E468" s="8" t="s">
        <v>10</v>
      </c>
      <c r="F468" s="7" t="s">
        <v>11</v>
      </c>
      <c r="G468" s="25">
        <v>14.19</v>
      </c>
      <c r="H468" s="107">
        <v>14.4</v>
      </c>
      <c r="I468" s="111">
        <v>14.2</v>
      </c>
      <c r="J468" s="11">
        <f t="shared" si="50"/>
        <v>0.21000000000000085</v>
      </c>
      <c r="K468" s="12">
        <f t="shared" si="51"/>
        <v>9.9999999999997868E-3</v>
      </c>
      <c r="L468" s="125">
        <f t="shared" si="52"/>
        <v>-0.20000000000000107</v>
      </c>
      <c r="M468" s="47" t="str">
        <f t="shared" si="53"/>
        <v>Out of Tolerance</v>
      </c>
      <c r="N468" s="47" t="str">
        <f t="shared" si="54"/>
        <v>Within Tolerance</v>
      </c>
      <c r="O468" s="47" t="str">
        <f t="shared" si="55"/>
        <v>Out of Tolerance</v>
      </c>
    </row>
    <row r="469" spans="1:15" s="9" customFormat="1" x14ac:dyDescent="0.3">
      <c r="A469" s="167">
        <v>46162</v>
      </c>
      <c r="B469" s="64">
        <v>46162.416666666701</v>
      </c>
      <c r="C469" s="142">
        <f t="shared" si="49"/>
        <v>46162.416666666701</v>
      </c>
      <c r="D469" s="19" t="s">
        <v>41</v>
      </c>
      <c r="E469" s="8" t="s">
        <v>10</v>
      </c>
      <c r="F469" s="7" t="s">
        <v>11</v>
      </c>
      <c r="G469" s="25" t="s">
        <v>93</v>
      </c>
      <c r="H469" s="107">
        <v>14.2</v>
      </c>
      <c r="I469" s="111">
        <v>14.3</v>
      </c>
      <c r="J469" s="11" t="str">
        <f t="shared" si="50"/>
        <v/>
      </c>
      <c r="K469" s="12" t="str">
        <f t="shared" si="51"/>
        <v/>
      </c>
      <c r="L469" s="125">
        <f t="shared" si="52"/>
        <v>0.10000000000000142</v>
      </c>
      <c r="M469" s="47" t="str">
        <f t="shared" si="53"/>
        <v/>
      </c>
      <c r="N469" s="47" t="str">
        <f t="shared" si="54"/>
        <v/>
      </c>
      <c r="O469" s="47" t="str">
        <f t="shared" si="55"/>
        <v>Within Tolerance</v>
      </c>
    </row>
    <row r="470" spans="1:15" s="9" customFormat="1" x14ac:dyDescent="0.3">
      <c r="A470" s="166">
        <v>46162</v>
      </c>
      <c r="B470" s="64">
        <v>46162.5</v>
      </c>
      <c r="C470" s="142">
        <f t="shared" si="49"/>
        <v>46162.5</v>
      </c>
      <c r="D470" s="19" t="s">
        <v>41</v>
      </c>
      <c r="E470" s="8" t="s">
        <v>10</v>
      </c>
      <c r="F470" s="7" t="s">
        <v>11</v>
      </c>
      <c r="G470" s="25" t="s">
        <v>93</v>
      </c>
      <c r="H470" s="107">
        <v>14.2</v>
      </c>
      <c r="I470" s="111">
        <v>14.1</v>
      </c>
      <c r="J470" s="11" t="str">
        <f t="shared" si="50"/>
        <v/>
      </c>
      <c r="K470" s="12" t="str">
        <f t="shared" si="51"/>
        <v/>
      </c>
      <c r="L470" s="125">
        <f t="shared" si="52"/>
        <v>-9.9999999999999645E-2</v>
      </c>
      <c r="M470" s="47" t="str">
        <f t="shared" si="53"/>
        <v/>
      </c>
      <c r="N470" s="47" t="str">
        <f t="shared" si="54"/>
        <v/>
      </c>
      <c r="O470" s="47" t="str">
        <f t="shared" si="55"/>
        <v>Within Tolerance</v>
      </c>
    </row>
    <row r="471" spans="1:15" s="9" customFormat="1" x14ac:dyDescent="0.3">
      <c r="A471" s="167">
        <v>46162</v>
      </c>
      <c r="B471" s="64">
        <v>46162.604166666701</v>
      </c>
      <c r="C471" s="142">
        <f t="shared" si="49"/>
        <v>46162.604166666701</v>
      </c>
      <c r="D471" s="19" t="s">
        <v>41</v>
      </c>
      <c r="E471" s="8" t="s">
        <v>10</v>
      </c>
      <c r="F471" s="7" t="s">
        <v>11</v>
      </c>
      <c r="G471" s="25" t="s">
        <v>93</v>
      </c>
      <c r="H471" s="107">
        <v>14.1</v>
      </c>
      <c r="I471" s="111"/>
      <c r="J471" s="11" t="str">
        <f t="shared" si="50"/>
        <v/>
      </c>
      <c r="K471" s="12" t="str">
        <f t="shared" si="51"/>
        <v/>
      </c>
      <c r="L471" s="125" t="str">
        <f t="shared" si="52"/>
        <v/>
      </c>
      <c r="M471" s="47" t="str">
        <f t="shared" si="53"/>
        <v/>
      </c>
      <c r="N471" s="47" t="str">
        <f t="shared" si="54"/>
        <v/>
      </c>
      <c r="O471" s="47" t="str">
        <f t="shared" si="55"/>
        <v/>
      </c>
    </row>
    <row r="472" spans="1:15" s="9" customFormat="1" x14ac:dyDescent="0.3">
      <c r="A472" s="166">
        <v>46162</v>
      </c>
      <c r="B472" s="64">
        <v>46162.715277777803</v>
      </c>
      <c r="C472" s="142">
        <f t="shared" si="49"/>
        <v>46162.715277777803</v>
      </c>
      <c r="D472" s="19" t="s">
        <v>41</v>
      </c>
      <c r="E472" s="8" t="s">
        <v>10</v>
      </c>
      <c r="F472" s="7" t="s">
        <v>11</v>
      </c>
      <c r="G472" s="25" t="s">
        <v>93</v>
      </c>
      <c r="H472" s="107">
        <v>14.2</v>
      </c>
      <c r="I472" s="111">
        <v>14.3</v>
      </c>
      <c r="J472" s="11" t="str">
        <f t="shared" si="50"/>
        <v/>
      </c>
      <c r="K472" s="12" t="str">
        <f t="shared" si="51"/>
        <v/>
      </c>
      <c r="L472" s="125">
        <f t="shared" si="52"/>
        <v>0.10000000000000142</v>
      </c>
      <c r="M472" s="47" t="str">
        <f t="shared" si="53"/>
        <v/>
      </c>
      <c r="N472" s="47" t="str">
        <f t="shared" si="54"/>
        <v/>
      </c>
      <c r="O472" s="47" t="str">
        <f t="shared" si="55"/>
        <v>Within Tolerance</v>
      </c>
    </row>
    <row r="473" spans="1:15" s="9" customFormat="1" x14ac:dyDescent="0.3">
      <c r="A473" s="167">
        <v>46162</v>
      </c>
      <c r="B473" s="64">
        <v>46162.777777777803</v>
      </c>
      <c r="C473" s="142">
        <f t="shared" si="49"/>
        <v>46162.777777777803</v>
      </c>
      <c r="D473" s="19" t="s">
        <v>41</v>
      </c>
      <c r="E473" s="8" t="s">
        <v>10</v>
      </c>
      <c r="F473" s="7" t="s">
        <v>11</v>
      </c>
      <c r="G473" s="25" t="s">
        <v>93</v>
      </c>
      <c r="H473" s="107">
        <v>14.1</v>
      </c>
      <c r="I473" s="111">
        <v>14</v>
      </c>
      <c r="J473" s="11" t="str">
        <f t="shared" si="50"/>
        <v/>
      </c>
      <c r="K473" s="12" t="str">
        <f t="shared" si="51"/>
        <v/>
      </c>
      <c r="L473" s="125">
        <f t="shared" si="52"/>
        <v>-9.9999999999999645E-2</v>
      </c>
      <c r="M473" s="47" t="str">
        <f t="shared" si="53"/>
        <v/>
      </c>
      <c r="N473" s="47" t="str">
        <f t="shared" si="54"/>
        <v/>
      </c>
      <c r="O473" s="47" t="str">
        <f t="shared" si="55"/>
        <v>Within Tolerance</v>
      </c>
    </row>
    <row r="474" spans="1:15" s="9" customFormat="1" x14ac:dyDescent="0.3">
      <c r="A474" s="166">
        <v>46162</v>
      </c>
      <c r="B474" s="64">
        <v>46162.90625</v>
      </c>
      <c r="C474" s="142">
        <f t="shared" si="49"/>
        <v>46162.90625</v>
      </c>
      <c r="D474" s="19" t="s">
        <v>13</v>
      </c>
      <c r="E474" s="8" t="s">
        <v>14</v>
      </c>
      <c r="F474" s="7" t="s">
        <v>11</v>
      </c>
      <c r="G474" s="25" t="s">
        <v>93</v>
      </c>
      <c r="H474" s="107">
        <v>13.9</v>
      </c>
      <c r="I474" s="111">
        <v>13.9</v>
      </c>
      <c r="J474" s="11" t="str">
        <f t="shared" si="50"/>
        <v/>
      </c>
      <c r="K474" s="12" t="str">
        <f t="shared" si="51"/>
        <v/>
      </c>
      <c r="L474" s="125">
        <f t="shared" si="52"/>
        <v>0</v>
      </c>
      <c r="M474" s="47" t="str">
        <f t="shared" si="53"/>
        <v/>
      </c>
      <c r="N474" s="47" t="str">
        <f t="shared" si="54"/>
        <v/>
      </c>
      <c r="O474" s="47" t="str">
        <f t="shared" si="55"/>
        <v>Within Tolerance</v>
      </c>
    </row>
    <row r="475" spans="1:15" s="9" customFormat="1" x14ac:dyDescent="0.3">
      <c r="A475" s="167">
        <v>46162</v>
      </c>
      <c r="B475" s="64">
        <v>46162.947916666701</v>
      </c>
      <c r="C475" s="142">
        <f t="shared" si="49"/>
        <v>46162.947916666701</v>
      </c>
      <c r="D475" s="19" t="s">
        <v>13</v>
      </c>
      <c r="E475" s="8" t="s">
        <v>14</v>
      </c>
      <c r="F475" s="7" t="s">
        <v>11</v>
      </c>
      <c r="G475" s="25" t="s">
        <v>93</v>
      </c>
      <c r="H475" s="107">
        <v>14</v>
      </c>
      <c r="I475" s="111"/>
      <c r="J475" s="11" t="str">
        <f t="shared" si="50"/>
        <v/>
      </c>
      <c r="K475" s="12" t="str">
        <f t="shared" si="51"/>
        <v/>
      </c>
      <c r="L475" s="125" t="str">
        <f t="shared" si="52"/>
        <v/>
      </c>
      <c r="M475" s="47" t="str">
        <f t="shared" si="53"/>
        <v/>
      </c>
      <c r="N475" s="47" t="str">
        <f t="shared" si="54"/>
        <v/>
      </c>
      <c r="O475" s="47" t="str">
        <f t="shared" si="55"/>
        <v/>
      </c>
    </row>
    <row r="476" spans="1:15" s="9" customFormat="1" x14ac:dyDescent="0.3">
      <c r="A476" s="166">
        <v>46162</v>
      </c>
      <c r="B476" s="64">
        <v>46163</v>
      </c>
      <c r="C476" s="142">
        <f t="shared" si="49"/>
        <v>46162</v>
      </c>
      <c r="D476" s="19" t="s">
        <v>13</v>
      </c>
      <c r="E476" s="8" t="s">
        <v>14</v>
      </c>
      <c r="F476" s="7" t="s">
        <v>11</v>
      </c>
      <c r="G476" s="25" t="s">
        <v>93</v>
      </c>
      <c r="H476" s="107">
        <v>13.6</v>
      </c>
      <c r="I476" s="111">
        <v>13.6</v>
      </c>
      <c r="J476" s="11" t="str">
        <f t="shared" si="50"/>
        <v/>
      </c>
      <c r="K476" s="12" t="str">
        <f t="shared" si="51"/>
        <v/>
      </c>
      <c r="L476" s="125">
        <f t="shared" si="52"/>
        <v>0</v>
      </c>
      <c r="M476" s="47" t="str">
        <f t="shared" si="53"/>
        <v/>
      </c>
      <c r="N476" s="47" t="str">
        <f t="shared" si="54"/>
        <v/>
      </c>
      <c r="O476" s="47" t="str">
        <f t="shared" si="55"/>
        <v>Within Tolerance</v>
      </c>
    </row>
    <row r="477" spans="1:15" s="9" customFormat="1" x14ac:dyDescent="0.3">
      <c r="A477" s="167">
        <v>46163</v>
      </c>
      <c r="B477" s="64">
        <v>46163.0625</v>
      </c>
      <c r="C477" s="142">
        <f t="shared" si="49"/>
        <v>46163.0625</v>
      </c>
      <c r="D477" s="19" t="s">
        <v>13</v>
      </c>
      <c r="E477" s="8" t="s">
        <v>14</v>
      </c>
      <c r="F477" s="7" t="s">
        <v>11</v>
      </c>
      <c r="G477" s="25" t="s">
        <v>93</v>
      </c>
      <c r="H477" s="107">
        <v>13.8</v>
      </c>
      <c r="I477" s="111">
        <v>13.9</v>
      </c>
      <c r="J477" s="11" t="str">
        <f t="shared" si="50"/>
        <v/>
      </c>
      <c r="K477" s="12" t="str">
        <f t="shared" si="51"/>
        <v/>
      </c>
      <c r="L477" s="125">
        <f t="shared" si="52"/>
        <v>9.9999999999999645E-2</v>
      </c>
      <c r="M477" s="47" t="str">
        <f t="shared" si="53"/>
        <v/>
      </c>
      <c r="N477" s="47" t="str">
        <f t="shared" si="54"/>
        <v/>
      </c>
      <c r="O477" s="47" t="str">
        <f t="shared" si="55"/>
        <v>Within Tolerance</v>
      </c>
    </row>
    <row r="478" spans="1:15" s="9" customFormat="1" x14ac:dyDescent="0.3">
      <c r="A478" s="166">
        <v>46163</v>
      </c>
      <c r="B478" s="64">
        <v>46163.083333333299</v>
      </c>
      <c r="C478" s="142">
        <f t="shared" si="49"/>
        <v>46163.083333333299</v>
      </c>
      <c r="D478" s="19" t="s">
        <v>13</v>
      </c>
      <c r="E478" s="8" t="s">
        <v>14</v>
      </c>
      <c r="F478" s="7" t="s">
        <v>11</v>
      </c>
      <c r="G478" s="25" t="s">
        <v>93</v>
      </c>
      <c r="H478" s="107">
        <v>14</v>
      </c>
      <c r="I478" s="111">
        <v>14</v>
      </c>
      <c r="J478" s="11" t="str">
        <f t="shared" si="50"/>
        <v/>
      </c>
      <c r="K478" s="12" t="str">
        <f t="shared" si="51"/>
        <v/>
      </c>
      <c r="L478" s="125">
        <f t="shared" si="52"/>
        <v>0</v>
      </c>
      <c r="M478" s="47" t="str">
        <f t="shared" si="53"/>
        <v/>
      </c>
      <c r="N478" s="47" t="str">
        <f t="shared" si="54"/>
        <v/>
      </c>
      <c r="O478" s="47" t="str">
        <f t="shared" si="55"/>
        <v>Within Tolerance</v>
      </c>
    </row>
    <row r="479" spans="1:15" s="9" customFormat="1" x14ac:dyDescent="0.3">
      <c r="A479" s="167">
        <v>46163</v>
      </c>
      <c r="B479" s="64">
        <v>46163.125</v>
      </c>
      <c r="C479" s="142">
        <f t="shared" si="49"/>
        <v>46163.125</v>
      </c>
      <c r="D479" s="19" t="s">
        <v>13</v>
      </c>
      <c r="E479" s="8" t="s">
        <v>14</v>
      </c>
      <c r="F479" s="7" t="s">
        <v>11</v>
      </c>
      <c r="G479" s="25" t="s">
        <v>93</v>
      </c>
      <c r="H479" s="107">
        <v>14.2</v>
      </c>
      <c r="I479" s="111">
        <v>14.2</v>
      </c>
      <c r="J479" s="11" t="str">
        <f t="shared" si="50"/>
        <v/>
      </c>
      <c r="K479" s="12" t="str">
        <f t="shared" si="51"/>
        <v/>
      </c>
      <c r="L479" s="125">
        <f t="shared" si="52"/>
        <v>0</v>
      </c>
      <c r="M479" s="47" t="str">
        <f t="shared" si="53"/>
        <v/>
      </c>
      <c r="N479" s="47" t="str">
        <f t="shared" si="54"/>
        <v/>
      </c>
      <c r="O479" s="47" t="str">
        <f t="shared" si="55"/>
        <v>Within Tolerance</v>
      </c>
    </row>
    <row r="480" spans="1:15" s="9" customFormat="1" x14ac:dyDescent="0.3">
      <c r="A480" s="166">
        <v>46163</v>
      </c>
      <c r="B480" s="64">
        <v>46163.166666666701</v>
      </c>
      <c r="C480" s="142">
        <f t="shared" si="49"/>
        <v>46163.166666666701</v>
      </c>
      <c r="D480" s="19" t="s">
        <v>13</v>
      </c>
      <c r="E480" s="8" t="s">
        <v>14</v>
      </c>
      <c r="F480" s="7" t="s">
        <v>11</v>
      </c>
      <c r="G480" s="25" t="s">
        <v>93</v>
      </c>
      <c r="H480" s="107">
        <v>14.2</v>
      </c>
      <c r="I480" s="111">
        <v>14.4</v>
      </c>
      <c r="J480" s="11" t="str">
        <f t="shared" si="50"/>
        <v/>
      </c>
      <c r="K480" s="12" t="str">
        <f t="shared" si="51"/>
        <v/>
      </c>
      <c r="L480" s="125">
        <f t="shared" si="52"/>
        <v>0.20000000000000107</v>
      </c>
      <c r="M480" s="47" t="str">
        <f t="shared" si="53"/>
        <v/>
      </c>
      <c r="N480" s="47" t="str">
        <f t="shared" si="54"/>
        <v/>
      </c>
      <c r="O480" s="47" t="str">
        <f t="shared" si="55"/>
        <v>Out of Tolerance</v>
      </c>
    </row>
    <row r="481" spans="1:15" s="9" customFormat="1" x14ac:dyDescent="0.3">
      <c r="A481" s="167">
        <v>46163</v>
      </c>
      <c r="B481" s="64">
        <v>46163.208333333299</v>
      </c>
      <c r="C481" s="142">
        <f t="shared" si="49"/>
        <v>46163.208333333299</v>
      </c>
      <c r="D481" s="19" t="s">
        <v>13</v>
      </c>
      <c r="E481" s="8" t="s">
        <v>14</v>
      </c>
      <c r="F481" s="7" t="s">
        <v>11</v>
      </c>
      <c r="G481" s="25" t="s">
        <v>93</v>
      </c>
      <c r="H481" s="107">
        <v>14.1</v>
      </c>
      <c r="I481" s="111"/>
      <c r="J481" s="11" t="str">
        <f t="shared" si="50"/>
        <v/>
      </c>
      <c r="K481" s="12" t="str">
        <f t="shared" si="51"/>
        <v/>
      </c>
      <c r="L481" s="125" t="str">
        <f t="shared" si="52"/>
        <v/>
      </c>
      <c r="M481" s="47" t="str">
        <f t="shared" si="53"/>
        <v/>
      </c>
      <c r="N481" s="47" t="str">
        <f t="shared" si="54"/>
        <v/>
      </c>
      <c r="O481" s="47" t="str">
        <f t="shared" si="55"/>
        <v/>
      </c>
    </row>
    <row r="482" spans="1:15" s="9" customFormat="1" x14ac:dyDescent="0.3">
      <c r="A482" s="166">
        <v>46163</v>
      </c>
      <c r="B482" s="64">
        <v>46163.25</v>
      </c>
      <c r="C482" s="142">
        <f t="shared" si="49"/>
        <v>46163.25</v>
      </c>
      <c r="D482" s="19" t="s">
        <v>13</v>
      </c>
      <c r="E482" s="8" t="s">
        <v>14</v>
      </c>
      <c r="F482" s="7" t="s">
        <v>11</v>
      </c>
      <c r="G482" s="25" t="s">
        <v>93</v>
      </c>
      <c r="H482" s="107">
        <v>14.1</v>
      </c>
      <c r="I482" s="111">
        <v>14.3</v>
      </c>
      <c r="J482" s="11" t="str">
        <f t="shared" si="50"/>
        <v/>
      </c>
      <c r="K482" s="12" t="str">
        <f t="shared" si="51"/>
        <v/>
      </c>
      <c r="L482" s="125">
        <f t="shared" si="52"/>
        <v>0.20000000000000107</v>
      </c>
      <c r="M482" s="47" t="str">
        <f t="shared" si="53"/>
        <v/>
      </c>
      <c r="N482" s="47" t="str">
        <f t="shared" si="54"/>
        <v/>
      </c>
      <c r="O482" s="47" t="str">
        <f t="shared" si="55"/>
        <v>Out of Tolerance</v>
      </c>
    </row>
    <row r="483" spans="1:15" s="9" customFormat="1" x14ac:dyDescent="0.3">
      <c r="A483" s="167">
        <v>46163</v>
      </c>
      <c r="B483" s="64">
        <v>46163.291666666701</v>
      </c>
      <c r="C483" s="142">
        <f t="shared" si="49"/>
        <v>46163.291666666701</v>
      </c>
      <c r="D483" s="19" t="s">
        <v>13</v>
      </c>
      <c r="E483" s="8" t="s">
        <v>14</v>
      </c>
      <c r="F483" s="7" t="s">
        <v>11</v>
      </c>
      <c r="G483" s="25" t="s">
        <v>93</v>
      </c>
      <c r="H483" s="107" t="s">
        <v>12</v>
      </c>
      <c r="I483" s="111"/>
      <c r="J483" s="11" t="str">
        <f t="shared" si="50"/>
        <v/>
      </c>
      <c r="K483" s="12" t="str">
        <f t="shared" si="51"/>
        <v/>
      </c>
      <c r="L483" s="125" t="str">
        <f t="shared" si="52"/>
        <v/>
      </c>
      <c r="M483" s="47" t="str">
        <f t="shared" si="53"/>
        <v/>
      </c>
      <c r="N483" s="47" t="str">
        <f t="shared" si="54"/>
        <v/>
      </c>
      <c r="O483" s="47" t="str">
        <f t="shared" si="55"/>
        <v/>
      </c>
    </row>
    <row r="484" spans="1:15" s="9" customFormat="1" x14ac:dyDescent="0.3">
      <c r="A484" s="166">
        <v>46162</v>
      </c>
      <c r="B484" s="61">
        <v>46162.364583333299</v>
      </c>
      <c r="C484" s="138">
        <f t="shared" si="49"/>
        <v>46162.364583333299</v>
      </c>
      <c r="D484" s="19" t="s">
        <v>29</v>
      </c>
      <c r="E484" s="8" t="s">
        <v>10</v>
      </c>
      <c r="F484" s="7" t="s">
        <v>15</v>
      </c>
      <c r="G484" s="25">
        <v>13.88</v>
      </c>
      <c r="H484" s="107">
        <v>14.2</v>
      </c>
      <c r="I484" s="111">
        <v>14.1</v>
      </c>
      <c r="J484" s="11">
        <f t="shared" si="50"/>
        <v>0.31999999999999851</v>
      </c>
      <c r="K484" s="12">
        <f t="shared" si="51"/>
        <v>0.21999999999999886</v>
      </c>
      <c r="L484" s="125">
        <f t="shared" si="52"/>
        <v>-9.9999999999999645E-2</v>
      </c>
      <c r="M484" s="47" t="str">
        <f t="shared" si="53"/>
        <v>Out of Tolerance</v>
      </c>
      <c r="N484" s="47" t="str">
        <f t="shared" si="54"/>
        <v>Out of Tolerance</v>
      </c>
      <c r="O484" s="47" t="str">
        <f t="shared" si="55"/>
        <v>Within Tolerance</v>
      </c>
    </row>
    <row r="485" spans="1:15" s="9" customFormat="1" x14ac:dyDescent="0.3">
      <c r="A485" s="167">
        <v>46162</v>
      </c>
      <c r="B485" s="61">
        <v>46162.458333333299</v>
      </c>
      <c r="C485" s="138">
        <f t="shared" si="49"/>
        <v>46162.458333333299</v>
      </c>
      <c r="D485" s="19" t="s">
        <v>29</v>
      </c>
      <c r="E485" s="8" t="s">
        <v>10</v>
      </c>
      <c r="F485" s="7" t="s">
        <v>15</v>
      </c>
      <c r="G485" s="25" t="s">
        <v>93</v>
      </c>
      <c r="H485" s="107">
        <v>14.1</v>
      </c>
      <c r="I485" s="111">
        <v>14.1</v>
      </c>
      <c r="J485" s="11" t="str">
        <f t="shared" si="50"/>
        <v/>
      </c>
      <c r="K485" s="12" t="str">
        <f t="shared" si="51"/>
        <v/>
      </c>
      <c r="L485" s="125">
        <f t="shared" si="52"/>
        <v>0</v>
      </c>
      <c r="M485" s="47" t="str">
        <f t="shared" si="53"/>
        <v/>
      </c>
      <c r="N485" s="47" t="str">
        <f t="shared" si="54"/>
        <v/>
      </c>
      <c r="O485" s="47" t="str">
        <f t="shared" si="55"/>
        <v>Within Tolerance</v>
      </c>
    </row>
    <row r="486" spans="1:15" s="9" customFormat="1" x14ac:dyDescent="0.3">
      <c r="A486" s="166">
        <v>46162</v>
      </c>
      <c r="B486" s="61">
        <v>46162.541666666701</v>
      </c>
      <c r="C486" s="138">
        <f t="shared" si="49"/>
        <v>46162.541666666701</v>
      </c>
      <c r="D486" s="19" t="s">
        <v>29</v>
      </c>
      <c r="E486" s="8" t="s">
        <v>10</v>
      </c>
      <c r="F486" s="7" t="s">
        <v>15</v>
      </c>
      <c r="G486" s="25" t="s">
        <v>93</v>
      </c>
      <c r="H486" s="107">
        <v>14</v>
      </c>
      <c r="I486" s="111">
        <v>14</v>
      </c>
      <c r="J486" s="11" t="str">
        <f t="shared" si="50"/>
        <v/>
      </c>
      <c r="K486" s="12" t="str">
        <f t="shared" si="51"/>
        <v/>
      </c>
      <c r="L486" s="125">
        <f t="shared" si="52"/>
        <v>0</v>
      </c>
      <c r="M486" s="47" t="str">
        <f t="shared" si="53"/>
        <v/>
      </c>
      <c r="N486" s="47" t="str">
        <f t="shared" si="54"/>
        <v/>
      </c>
      <c r="O486" s="47" t="str">
        <f t="shared" si="55"/>
        <v>Within Tolerance</v>
      </c>
    </row>
    <row r="487" spans="1:15" s="9" customFormat="1" x14ac:dyDescent="0.3">
      <c r="A487" s="167">
        <v>46162</v>
      </c>
      <c r="B487" s="61">
        <v>46162.625</v>
      </c>
      <c r="C487" s="138">
        <f t="shared" si="49"/>
        <v>46162.625</v>
      </c>
      <c r="D487" s="19" t="s">
        <v>29</v>
      </c>
      <c r="E487" s="8" t="s">
        <v>10</v>
      </c>
      <c r="F487" s="7" t="s">
        <v>15</v>
      </c>
      <c r="G487" s="25" t="s">
        <v>93</v>
      </c>
      <c r="H487" s="107">
        <v>14.2</v>
      </c>
      <c r="I487" s="111">
        <v>14.1</v>
      </c>
      <c r="J487" s="11" t="str">
        <f t="shared" si="50"/>
        <v/>
      </c>
      <c r="K487" s="12" t="str">
        <f t="shared" si="51"/>
        <v/>
      </c>
      <c r="L487" s="125">
        <f t="shared" si="52"/>
        <v>-9.9999999999999645E-2</v>
      </c>
      <c r="M487" s="47" t="str">
        <f t="shared" si="53"/>
        <v/>
      </c>
      <c r="N487" s="47" t="str">
        <f t="shared" si="54"/>
        <v/>
      </c>
      <c r="O487" s="47" t="str">
        <f t="shared" si="55"/>
        <v>Within Tolerance</v>
      </c>
    </row>
    <row r="488" spans="1:15" s="9" customFormat="1" x14ac:dyDescent="0.3">
      <c r="A488" s="166">
        <v>46162</v>
      </c>
      <c r="B488" s="61">
        <v>46162.694444444402</v>
      </c>
      <c r="C488" s="138">
        <f t="shared" si="49"/>
        <v>46162.694444444402</v>
      </c>
      <c r="D488" s="19" t="s">
        <v>41</v>
      </c>
      <c r="E488" s="8" t="s">
        <v>10</v>
      </c>
      <c r="F488" s="7" t="s">
        <v>15</v>
      </c>
      <c r="G488" s="25" t="s">
        <v>93</v>
      </c>
      <c r="H488" s="107">
        <v>13.9</v>
      </c>
      <c r="I488" s="111">
        <v>13.7</v>
      </c>
      <c r="J488" s="11" t="str">
        <f t="shared" si="50"/>
        <v/>
      </c>
      <c r="K488" s="12" t="str">
        <f t="shared" si="51"/>
        <v/>
      </c>
      <c r="L488" s="125">
        <f t="shared" si="52"/>
        <v>-0.20000000000000107</v>
      </c>
      <c r="M488" s="47" t="str">
        <f t="shared" si="53"/>
        <v/>
      </c>
      <c r="N488" s="47" t="str">
        <f t="shared" si="54"/>
        <v/>
      </c>
      <c r="O488" s="47" t="str">
        <f t="shared" si="55"/>
        <v>Out of Tolerance</v>
      </c>
    </row>
    <row r="489" spans="1:15" s="9" customFormat="1" x14ac:dyDescent="0.3">
      <c r="A489" s="167">
        <v>46162</v>
      </c>
      <c r="B489" s="61">
        <v>46162.75</v>
      </c>
      <c r="C489" s="138">
        <f t="shared" si="49"/>
        <v>46162.75</v>
      </c>
      <c r="D489" s="19" t="s">
        <v>41</v>
      </c>
      <c r="E489" s="8" t="s">
        <v>10</v>
      </c>
      <c r="F489" s="7" t="s">
        <v>15</v>
      </c>
      <c r="G489" s="25" t="s">
        <v>93</v>
      </c>
      <c r="H489" s="107">
        <v>14.1</v>
      </c>
      <c r="I489" s="111">
        <v>13.9</v>
      </c>
      <c r="J489" s="11" t="str">
        <f t="shared" si="50"/>
        <v/>
      </c>
      <c r="K489" s="12" t="str">
        <f t="shared" si="51"/>
        <v/>
      </c>
      <c r="L489" s="125">
        <f t="shared" si="52"/>
        <v>-0.19999999999999929</v>
      </c>
      <c r="M489" s="47" t="str">
        <f t="shared" si="53"/>
        <v/>
      </c>
      <c r="N489" s="47" t="str">
        <f t="shared" si="54"/>
        <v/>
      </c>
      <c r="O489" s="47" t="str">
        <f t="shared" si="55"/>
        <v>Within Tolerance</v>
      </c>
    </row>
    <row r="490" spans="1:15" s="9" customFormat="1" x14ac:dyDescent="0.3">
      <c r="A490" s="166">
        <v>46162</v>
      </c>
      <c r="B490" s="61">
        <v>46162.833333333299</v>
      </c>
      <c r="C490" s="138">
        <f t="shared" si="49"/>
        <v>46162.833333333299</v>
      </c>
      <c r="D490" s="19" t="s">
        <v>41</v>
      </c>
      <c r="E490" s="8" t="s">
        <v>10</v>
      </c>
      <c r="F490" s="7" t="s">
        <v>15</v>
      </c>
      <c r="G490" s="25" t="s">
        <v>93</v>
      </c>
      <c r="H490" s="107">
        <v>14.3</v>
      </c>
      <c r="I490" s="111">
        <v>14.2</v>
      </c>
      <c r="J490" s="11" t="str">
        <f t="shared" si="50"/>
        <v/>
      </c>
      <c r="K490" s="12" t="str">
        <f t="shared" si="51"/>
        <v/>
      </c>
      <c r="L490" s="125">
        <f t="shared" si="52"/>
        <v>-0.10000000000000142</v>
      </c>
      <c r="M490" s="47" t="str">
        <f t="shared" si="53"/>
        <v/>
      </c>
      <c r="N490" s="47" t="str">
        <f t="shared" si="54"/>
        <v/>
      </c>
      <c r="O490" s="47" t="str">
        <f t="shared" si="55"/>
        <v>Within Tolerance</v>
      </c>
    </row>
    <row r="491" spans="1:15" s="9" customFormat="1" x14ac:dyDescent="0.3">
      <c r="A491" s="167">
        <v>46162</v>
      </c>
      <c r="B491" s="61">
        <v>46162.916666666701</v>
      </c>
      <c r="C491" s="138">
        <f t="shared" si="49"/>
        <v>46162.916666666701</v>
      </c>
      <c r="D491" s="19" t="s">
        <v>41</v>
      </c>
      <c r="E491" s="8" t="s">
        <v>10</v>
      </c>
      <c r="F491" s="7" t="s">
        <v>15</v>
      </c>
      <c r="G491" s="25" t="s">
        <v>93</v>
      </c>
      <c r="H491" s="107">
        <v>14.2</v>
      </c>
      <c r="I491" s="111">
        <v>14.2</v>
      </c>
      <c r="J491" s="11" t="str">
        <f t="shared" si="50"/>
        <v/>
      </c>
      <c r="K491" s="12" t="str">
        <f t="shared" si="51"/>
        <v/>
      </c>
      <c r="L491" s="125">
        <f t="shared" si="52"/>
        <v>0</v>
      </c>
      <c r="M491" s="47" t="str">
        <f t="shared" si="53"/>
        <v/>
      </c>
      <c r="N491" s="47" t="str">
        <f t="shared" si="54"/>
        <v/>
      </c>
      <c r="O491" s="47" t="str">
        <f t="shared" si="55"/>
        <v>Within Tolerance</v>
      </c>
    </row>
    <row r="492" spans="1:15" s="9" customFormat="1" x14ac:dyDescent="0.3">
      <c r="A492" s="166">
        <v>46162</v>
      </c>
      <c r="B492" s="61">
        <v>46163</v>
      </c>
      <c r="C492" s="138">
        <f t="shared" si="49"/>
        <v>46162</v>
      </c>
      <c r="D492" s="19" t="s">
        <v>41</v>
      </c>
      <c r="E492" s="8" t="s">
        <v>10</v>
      </c>
      <c r="F492" s="7" t="s">
        <v>15</v>
      </c>
      <c r="G492" s="25" t="s">
        <v>93</v>
      </c>
      <c r="H492" s="107">
        <v>14.1</v>
      </c>
      <c r="I492" s="111">
        <v>14.1</v>
      </c>
      <c r="J492" s="11" t="str">
        <f t="shared" si="50"/>
        <v/>
      </c>
      <c r="K492" s="12" t="str">
        <f t="shared" si="51"/>
        <v/>
      </c>
      <c r="L492" s="125">
        <f t="shared" si="52"/>
        <v>0</v>
      </c>
      <c r="M492" s="47" t="str">
        <f t="shared" si="53"/>
        <v/>
      </c>
      <c r="N492" s="47" t="str">
        <f t="shared" si="54"/>
        <v/>
      </c>
      <c r="O492" s="47" t="str">
        <f t="shared" si="55"/>
        <v>Within Tolerance</v>
      </c>
    </row>
    <row r="493" spans="1:15" s="9" customFormat="1" x14ac:dyDescent="0.3">
      <c r="A493" s="167">
        <v>46163</v>
      </c>
      <c r="B493" s="61">
        <v>46163.083333333299</v>
      </c>
      <c r="C493" s="138">
        <f t="shared" si="49"/>
        <v>46163.083333333299</v>
      </c>
      <c r="D493" s="19" t="s">
        <v>41</v>
      </c>
      <c r="E493" s="8" t="s">
        <v>10</v>
      </c>
      <c r="F493" s="7" t="s">
        <v>15</v>
      </c>
      <c r="G493" s="25" t="s">
        <v>93</v>
      </c>
      <c r="H493" s="107">
        <v>14.2</v>
      </c>
      <c r="I493" s="111">
        <v>14.1</v>
      </c>
      <c r="J493" s="11" t="str">
        <f t="shared" si="50"/>
        <v/>
      </c>
      <c r="K493" s="12" t="str">
        <f t="shared" si="51"/>
        <v/>
      </c>
      <c r="L493" s="125">
        <f t="shared" si="52"/>
        <v>-9.9999999999999645E-2</v>
      </c>
      <c r="M493" s="47" t="str">
        <f t="shared" si="53"/>
        <v/>
      </c>
      <c r="N493" s="47" t="str">
        <f t="shared" si="54"/>
        <v/>
      </c>
      <c r="O493" s="47" t="str">
        <f t="shared" si="55"/>
        <v>Within Tolerance</v>
      </c>
    </row>
    <row r="494" spans="1:15" s="9" customFormat="1" x14ac:dyDescent="0.3">
      <c r="A494" s="166">
        <v>46163</v>
      </c>
      <c r="B494" s="61">
        <v>46163.166666666701</v>
      </c>
      <c r="C494" s="138">
        <f t="shared" si="49"/>
        <v>46163.166666666701</v>
      </c>
      <c r="D494" s="19" t="s">
        <v>40</v>
      </c>
      <c r="E494" s="8" t="s">
        <v>17</v>
      </c>
      <c r="F494" s="7" t="s">
        <v>15</v>
      </c>
      <c r="G494" s="25" t="s">
        <v>93</v>
      </c>
      <c r="H494" s="107">
        <v>14</v>
      </c>
      <c r="I494" s="111">
        <v>13.8</v>
      </c>
      <c r="J494" s="11" t="str">
        <f t="shared" si="50"/>
        <v/>
      </c>
      <c r="K494" s="12" t="str">
        <f t="shared" si="51"/>
        <v/>
      </c>
      <c r="L494" s="125">
        <f t="shared" si="52"/>
        <v>-0.19999999999999929</v>
      </c>
      <c r="M494" s="47" t="str">
        <f t="shared" si="53"/>
        <v/>
      </c>
      <c r="N494" s="47" t="str">
        <f t="shared" si="54"/>
        <v/>
      </c>
      <c r="O494" s="47" t="str">
        <f t="shared" si="55"/>
        <v>Within Tolerance</v>
      </c>
    </row>
    <row r="495" spans="1:15" s="9" customFormat="1" x14ac:dyDescent="0.3">
      <c r="A495" s="167">
        <v>46163</v>
      </c>
      <c r="B495" s="61">
        <v>46163.25</v>
      </c>
      <c r="C495" s="138">
        <f t="shared" si="49"/>
        <v>46163.25</v>
      </c>
      <c r="D495" s="19" t="s">
        <v>40</v>
      </c>
      <c r="E495" s="8" t="s">
        <v>17</v>
      </c>
      <c r="F495" s="7" t="s">
        <v>15</v>
      </c>
      <c r="G495" s="25" t="s">
        <v>93</v>
      </c>
      <c r="H495" s="107">
        <v>14.2</v>
      </c>
      <c r="I495" s="111">
        <v>14.2</v>
      </c>
      <c r="J495" s="11" t="str">
        <f t="shared" si="50"/>
        <v/>
      </c>
      <c r="K495" s="12" t="str">
        <f t="shared" si="51"/>
        <v/>
      </c>
      <c r="L495" s="125">
        <f t="shared" si="52"/>
        <v>0</v>
      </c>
      <c r="M495" s="47" t="str">
        <f t="shared" si="53"/>
        <v/>
      </c>
      <c r="N495" s="47" t="str">
        <f t="shared" si="54"/>
        <v/>
      </c>
      <c r="O495" s="47" t="str">
        <f t="shared" si="55"/>
        <v>Within Tolerance</v>
      </c>
    </row>
    <row r="496" spans="1:15" s="9" customFormat="1" x14ac:dyDescent="0.3">
      <c r="A496" s="166">
        <v>46162</v>
      </c>
      <c r="B496" s="82">
        <v>46162.4375</v>
      </c>
      <c r="C496" s="150">
        <f t="shared" si="49"/>
        <v>46162.4375</v>
      </c>
      <c r="D496" s="8" t="s">
        <v>31</v>
      </c>
      <c r="E496" s="8" t="s">
        <v>14</v>
      </c>
      <c r="F496" s="15" t="s">
        <v>19</v>
      </c>
      <c r="G496" s="16"/>
      <c r="H496" s="107">
        <v>13.5</v>
      </c>
      <c r="I496" s="111">
        <v>13.6</v>
      </c>
      <c r="J496" s="11" t="str">
        <f t="shared" si="50"/>
        <v/>
      </c>
      <c r="K496" s="12" t="str">
        <f t="shared" si="51"/>
        <v/>
      </c>
      <c r="L496" s="125">
        <f t="shared" si="52"/>
        <v>9.9999999999999645E-2</v>
      </c>
      <c r="M496" s="47" t="str">
        <f t="shared" si="53"/>
        <v/>
      </c>
      <c r="N496" s="47" t="str">
        <f t="shared" si="54"/>
        <v/>
      </c>
      <c r="O496" s="47" t="str">
        <f t="shared" si="55"/>
        <v>Within Tolerance</v>
      </c>
    </row>
    <row r="497" spans="1:15" s="9" customFormat="1" x14ac:dyDescent="0.3">
      <c r="A497" s="167">
        <v>46162</v>
      </c>
      <c r="B497" s="83">
        <v>46162.680555555598</v>
      </c>
      <c r="C497" s="161">
        <f t="shared" si="49"/>
        <v>46162.680555555598</v>
      </c>
      <c r="D497" s="30" t="s">
        <v>43</v>
      </c>
      <c r="E497" s="8" t="s">
        <v>14</v>
      </c>
      <c r="F497" s="15" t="s">
        <v>19</v>
      </c>
      <c r="G497" s="16"/>
      <c r="H497" s="107">
        <v>13.6</v>
      </c>
      <c r="I497" s="111">
        <v>13.4</v>
      </c>
      <c r="J497" s="11" t="str">
        <f t="shared" si="50"/>
        <v/>
      </c>
      <c r="K497" s="12" t="str">
        <f t="shared" si="51"/>
        <v/>
      </c>
      <c r="L497" s="125">
        <f t="shared" si="52"/>
        <v>-0.19999999999999929</v>
      </c>
      <c r="M497" s="47" t="str">
        <f t="shared" si="53"/>
        <v/>
      </c>
      <c r="N497" s="47" t="str">
        <f t="shared" si="54"/>
        <v/>
      </c>
      <c r="O497" s="47" t="str">
        <f t="shared" si="55"/>
        <v>Within Tolerance</v>
      </c>
    </row>
    <row r="498" spans="1:15" s="9" customFormat="1" x14ac:dyDescent="0.3">
      <c r="A498" s="166">
        <v>46162</v>
      </c>
      <c r="B498" s="83">
        <v>46162.743055555598</v>
      </c>
      <c r="C498" s="161">
        <f t="shared" si="49"/>
        <v>46162.743055555598</v>
      </c>
      <c r="D498" s="30" t="s">
        <v>55</v>
      </c>
      <c r="E498" s="8" t="s">
        <v>14</v>
      </c>
      <c r="F498" s="15" t="s">
        <v>19</v>
      </c>
      <c r="G498" s="16"/>
      <c r="H498" s="107">
        <v>13.7</v>
      </c>
      <c r="I498" s="111">
        <v>13.8</v>
      </c>
      <c r="J498" s="11" t="str">
        <f t="shared" si="50"/>
        <v/>
      </c>
      <c r="K498" s="12" t="str">
        <f t="shared" si="51"/>
        <v/>
      </c>
      <c r="L498" s="125">
        <f t="shared" si="52"/>
        <v>0.10000000000000142</v>
      </c>
      <c r="M498" s="47" t="str">
        <f t="shared" si="53"/>
        <v/>
      </c>
      <c r="N498" s="47" t="str">
        <f t="shared" si="54"/>
        <v/>
      </c>
      <c r="O498" s="47" t="str">
        <f t="shared" si="55"/>
        <v>Within Tolerance</v>
      </c>
    </row>
    <row r="499" spans="1:15" s="9" customFormat="1" x14ac:dyDescent="0.3">
      <c r="A499" s="167">
        <v>46162</v>
      </c>
      <c r="B499" s="83">
        <v>46162.84375</v>
      </c>
      <c r="C499" s="162">
        <f t="shared" si="49"/>
        <v>46162.84375</v>
      </c>
      <c r="D499" s="32" t="s">
        <v>21</v>
      </c>
      <c r="E499" s="8" t="s">
        <v>10</v>
      </c>
      <c r="F499" s="15" t="s">
        <v>19</v>
      </c>
      <c r="G499" s="25" t="s">
        <v>93</v>
      </c>
      <c r="H499" s="107">
        <v>13.8</v>
      </c>
      <c r="I499" s="111">
        <v>13.8</v>
      </c>
      <c r="J499" s="11" t="str">
        <f t="shared" si="50"/>
        <v/>
      </c>
      <c r="K499" s="12" t="str">
        <f t="shared" si="51"/>
        <v/>
      </c>
      <c r="L499" s="125">
        <f t="shared" si="52"/>
        <v>0</v>
      </c>
      <c r="M499" s="47" t="str">
        <f t="shared" si="53"/>
        <v/>
      </c>
      <c r="N499" s="47" t="str">
        <f t="shared" si="54"/>
        <v/>
      </c>
      <c r="O499" s="47" t="str">
        <f t="shared" si="55"/>
        <v>Within Tolerance</v>
      </c>
    </row>
    <row r="500" spans="1:15" s="9" customFormat="1" x14ac:dyDescent="0.3">
      <c r="A500" s="166">
        <v>46162</v>
      </c>
      <c r="B500" s="83">
        <v>46162.447916666701</v>
      </c>
      <c r="C500" s="141">
        <f t="shared" si="49"/>
        <v>46162.447916666701</v>
      </c>
      <c r="D500" s="19" t="s">
        <v>51</v>
      </c>
      <c r="E500" s="8" t="s">
        <v>10</v>
      </c>
      <c r="F500" s="7" t="s">
        <v>24</v>
      </c>
      <c r="G500" s="25" t="s">
        <v>93</v>
      </c>
      <c r="H500" s="107">
        <v>13.9</v>
      </c>
      <c r="I500" s="111">
        <v>13.7</v>
      </c>
      <c r="J500" s="11" t="str">
        <f t="shared" si="50"/>
        <v/>
      </c>
      <c r="K500" s="12" t="str">
        <f t="shared" si="51"/>
        <v/>
      </c>
      <c r="L500" s="125">
        <f t="shared" si="52"/>
        <v>-0.20000000000000107</v>
      </c>
      <c r="M500" s="47" t="str">
        <f t="shared" si="53"/>
        <v/>
      </c>
      <c r="N500" s="47" t="str">
        <f t="shared" si="54"/>
        <v/>
      </c>
      <c r="O500" s="47" t="str">
        <f t="shared" si="55"/>
        <v>Out of Tolerance</v>
      </c>
    </row>
    <row r="501" spans="1:15" s="9" customFormat="1" x14ac:dyDescent="0.3">
      <c r="A501" s="167">
        <v>46162</v>
      </c>
      <c r="B501" s="83">
        <v>46162.496527777781</v>
      </c>
      <c r="C501" s="141">
        <f t="shared" si="49"/>
        <v>46162.496527777781</v>
      </c>
      <c r="D501" s="23" t="s">
        <v>50</v>
      </c>
      <c r="E501" s="8" t="s">
        <v>10</v>
      </c>
      <c r="F501" s="7" t="s">
        <v>24</v>
      </c>
      <c r="G501" s="25" t="s">
        <v>93</v>
      </c>
      <c r="H501" s="107">
        <v>13.8</v>
      </c>
      <c r="I501" s="111">
        <v>13.9</v>
      </c>
      <c r="J501" s="11" t="str">
        <f t="shared" si="50"/>
        <v/>
      </c>
      <c r="K501" s="12" t="str">
        <f t="shared" si="51"/>
        <v/>
      </c>
      <c r="L501" s="125">
        <f t="shared" si="52"/>
        <v>9.9999999999999645E-2</v>
      </c>
      <c r="M501" s="47" t="str">
        <f t="shared" si="53"/>
        <v/>
      </c>
      <c r="N501" s="47" t="str">
        <f t="shared" si="54"/>
        <v/>
      </c>
      <c r="O501" s="47" t="str">
        <f t="shared" si="55"/>
        <v>Within Tolerance</v>
      </c>
    </row>
    <row r="502" spans="1:15" s="9" customFormat="1" x14ac:dyDescent="0.3">
      <c r="A502" s="166">
        <v>46162</v>
      </c>
      <c r="B502" s="72">
        <v>46162.576388888891</v>
      </c>
      <c r="C502" s="141">
        <f t="shared" si="49"/>
        <v>46162.576388888891</v>
      </c>
      <c r="D502" s="22" t="s">
        <v>49</v>
      </c>
      <c r="E502" s="8" t="s">
        <v>10</v>
      </c>
      <c r="F502" s="7" t="s">
        <v>24</v>
      </c>
      <c r="G502" s="25" t="s">
        <v>93</v>
      </c>
      <c r="H502" s="107">
        <v>13.7</v>
      </c>
      <c r="I502" s="111">
        <v>13.7</v>
      </c>
      <c r="J502" s="11" t="str">
        <f t="shared" si="50"/>
        <v/>
      </c>
      <c r="K502" s="12" t="str">
        <f t="shared" si="51"/>
        <v/>
      </c>
      <c r="L502" s="125">
        <f t="shared" si="52"/>
        <v>0</v>
      </c>
      <c r="M502" s="47" t="str">
        <f t="shared" si="53"/>
        <v/>
      </c>
      <c r="N502" s="47" t="str">
        <f t="shared" si="54"/>
        <v/>
      </c>
      <c r="O502" s="47" t="str">
        <f t="shared" si="55"/>
        <v>Within Tolerance</v>
      </c>
    </row>
    <row r="503" spans="1:15" s="9" customFormat="1" x14ac:dyDescent="0.3">
      <c r="A503" s="167">
        <v>46163</v>
      </c>
      <c r="B503" s="61">
        <v>46163.333333333299</v>
      </c>
      <c r="C503" s="138">
        <f t="shared" si="49"/>
        <v>46163.333333333299</v>
      </c>
      <c r="D503" s="19" t="s">
        <v>13</v>
      </c>
      <c r="E503" s="8" t="s">
        <v>14</v>
      </c>
      <c r="F503" s="7" t="s">
        <v>11</v>
      </c>
      <c r="G503" s="25">
        <v>14.02</v>
      </c>
      <c r="H503" s="107">
        <v>14.1</v>
      </c>
      <c r="I503" s="111">
        <v>14.2</v>
      </c>
      <c r="J503" s="11">
        <f t="shared" si="50"/>
        <v>8.0000000000000071E-2</v>
      </c>
      <c r="K503" s="12">
        <f t="shared" si="51"/>
        <v>0.17999999999999972</v>
      </c>
      <c r="L503" s="125">
        <f t="shared" si="52"/>
        <v>9.9999999999999645E-2</v>
      </c>
      <c r="M503" s="47" t="str">
        <f t="shared" si="53"/>
        <v>Within Tolerance</v>
      </c>
      <c r="N503" s="47" t="str">
        <f t="shared" si="54"/>
        <v>Within Tolerance</v>
      </c>
      <c r="O503" s="47" t="str">
        <f t="shared" si="55"/>
        <v>Within Tolerance</v>
      </c>
    </row>
    <row r="504" spans="1:15" s="9" customFormat="1" x14ac:dyDescent="0.3">
      <c r="A504" s="166">
        <v>46163</v>
      </c>
      <c r="B504" s="61">
        <v>46163.388888888898</v>
      </c>
      <c r="C504" s="138">
        <f t="shared" si="49"/>
        <v>46163.388888888898</v>
      </c>
      <c r="D504" s="19" t="s">
        <v>18</v>
      </c>
      <c r="E504" s="8" t="s">
        <v>14</v>
      </c>
      <c r="F504" s="7" t="s">
        <v>11</v>
      </c>
      <c r="G504" s="25" t="s">
        <v>93</v>
      </c>
      <c r="H504" s="107">
        <v>13.7</v>
      </c>
      <c r="I504" s="111">
        <v>13.7</v>
      </c>
      <c r="J504" s="11" t="str">
        <f t="shared" si="50"/>
        <v/>
      </c>
      <c r="K504" s="12" t="str">
        <f t="shared" si="51"/>
        <v/>
      </c>
      <c r="L504" s="125">
        <f t="shared" si="52"/>
        <v>0</v>
      </c>
      <c r="M504" s="47" t="str">
        <f t="shared" si="53"/>
        <v/>
      </c>
      <c r="N504" s="47" t="str">
        <f t="shared" si="54"/>
        <v/>
      </c>
      <c r="O504" s="47" t="str">
        <f t="shared" si="55"/>
        <v>Within Tolerance</v>
      </c>
    </row>
    <row r="505" spans="1:15" s="9" customFormat="1" x14ac:dyDescent="0.3">
      <c r="A505" s="167">
        <v>46163</v>
      </c>
      <c r="B505" s="61">
        <v>46163.447916666701</v>
      </c>
      <c r="C505" s="138">
        <f t="shared" si="49"/>
        <v>46163.447916666701</v>
      </c>
      <c r="D505" s="19" t="s">
        <v>18</v>
      </c>
      <c r="E505" s="8" t="s">
        <v>14</v>
      </c>
      <c r="F505" s="7" t="s">
        <v>11</v>
      </c>
      <c r="G505" s="25" t="s">
        <v>93</v>
      </c>
      <c r="H505" s="107">
        <v>13.7</v>
      </c>
      <c r="I505" s="111">
        <v>13.7</v>
      </c>
      <c r="J505" s="11" t="str">
        <f t="shared" si="50"/>
        <v/>
      </c>
      <c r="K505" s="12" t="str">
        <f t="shared" si="51"/>
        <v/>
      </c>
      <c r="L505" s="125">
        <f t="shared" si="52"/>
        <v>0</v>
      </c>
      <c r="M505" s="47" t="str">
        <f t="shared" si="53"/>
        <v/>
      </c>
      <c r="N505" s="47" t="str">
        <f t="shared" si="54"/>
        <v/>
      </c>
      <c r="O505" s="47" t="str">
        <f t="shared" si="55"/>
        <v>Within Tolerance</v>
      </c>
    </row>
    <row r="506" spans="1:15" s="9" customFormat="1" x14ac:dyDescent="0.3">
      <c r="A506" s="166">
        <v>46163</v>
      </c>
      <c r="B506" s="61">
        <v>46163.5</v>
      </c>
      <c r="C506" s="138">
        <f t="shared" si="49"/>
        <v>46163.5</v>
      </c>
      <c r="D506" s="19" t="s">
        <v>18</v>
      </c>
      <c r="E506" s="8" t="s">
        <v>14</v>
      </c>
      <c r="F506" s="7" t="s">
        <v>11</v>
      </c>
      <c r="G506" s="25">
        <v>13.59</v>
      </c>
      <c r="H506" s="107">
        <v>13.8</v>
      </c>
      <c r="I506" s="111">
        <v>13.8</v>
      </c>
      <c r="J506" s="11">
        <f t="shared" si="50"/>
        <v>0.21000000000000085</v>
      </c>
      <c r="K506" s="12">
        <f t="shared" si="51"/>
        <v>0.21000000000000085</v>
      </c>
      <c r="L506" s="125">
        <f t="shared" si="52"/>
        <v>0</v>
      </c>
      <c r="M506" s="47" t="str">
        <f t="shared" si="53"/>
        <v>Out of Tolerance</v>
      </c>
      <c r="N506" s="47" t="str">
        <f t="shared" si="54"/>
        <v>Out of Tolerance</v>
      </c>
      <c r="O506" s="47" t="str">
        <f t="shared" si="55"/>
        <v>Within Tolerance</v>
      </c>
    </row>
    <row r="507" spans="1:15" s="9" customFormat="1" x14ac:dyDescent="0.3">
      <c r="A507" s="167">
        <v>46163</v>
      </c>
      <c r="B507" s="61">
        <v>46163.583333333299</v>
      </c>
      <c r="C507" s="138">
        <f t="shared" si="49"/>
        <v>46163.583333333299</v>
      </c>
      <c r="D507" s="19" t="s">
        <v>18</v>
      </c>
      <c r="E507" s="8" t="s">
        <v>14</v>
      </c>
      <c r="F507" s="7" t="s">
        <v>11</v>
      </c>
      <c r="G507" s="25" t="s">
        <v>93</v>
      </c>
      <c r="H507" s="107">
        <v>13.8</v>
      </c>
      <c r="I507" s="111">
        <v>13.8</v>
      </c>
      <c r="J507" s="11" t="str">
        <f t="shared" si="50"/>
        <v/>
      </c>
      <c r="K507" s="12" t="str">
        <f t="shared" si="51"/>
        <v/>
      </c>
      <c r="L507" s="125">
        <f t="shared" si="52"/>
        <v>0</v>
      </c>
      <c r="M507" s="47" t="str">
        <f t="shared" si="53"/>
        <v/>
      </c>
      <c r="N507" s="47" t="str">
        <f t="shared" si="54"/>
        <v/>
      </c>
      <c r="O507" s="47" t="str">
        <f t="shared" si="55"/>
        <v>Within Tolerance</v>
      </c>
    </row>
    <row r="508" spans="1:15" s="9" customFormat="1" x14ac:dyDescent="0.3">
      <c r="A508" s="166">
        <v>46163</v>
      </c>
      <c r="B508" s="61">
        <v>46163.666666666701</v>
      </c>
      <c r="C508" s="138">
        <f t="shared" si="49"/>
        <v>46163.666666666701</v>
      </c>
      <c r="D508" s="19" t="s">
        <v>18</v>
      </c>
      <c r="E508" s="8" t="s">
        <v>14</v>
      </c>
      <c r="F508" s="7" t="s">
        <v>11</v>
      </c>
      <c r="G508" s="25" t="s">
        <v>93</v>
      </c>
      <c r="H508" s="107">
        <v>13.7</v>
      </c>
      <c r="I508" s="111">
        <v>13.8</v>
      </c>
      <c r="J508" s="11" t="str">
        <f t="shared" si="50"/>
        <v/>
      </c>
      <c r="K508" s="12" t="str">
        <f t="shared" si="51"/>
        <v/>
      </c>
      <c r="L508" s="125">
        <f t="shared" si="52"/>
        <v>0.10000000000000142</v>
      </c>
      <c r="M508" s="47" t="str">
        <f t="shared" si="53"/>
        <v/>
      </c>
      <c r="N508" s="47" t="str">
        <f t="shared" si="54"/>
        <v/>
      </c>
      <c r="O508" s="47" t="str">
        <f t="shared" si="55"/>
        <v>Within Tolerance</v>
      </c>
    </row>
    <row r="509" spans="1:15" s="9" customFormat="1" x14ac:dyDescent="0.3">
      <c r="A509" s="167">
        <v>46163</v>
      </c>
      <c r="B509" s="61">
        <v>46163.75</v>
      </c>
      <c r="C509" s="138">
        <f t="shared" si="49"/>
        <v>46163.75</v>
      </c>
      <c r="D509" s="19" t="s">
        <v>18</v>
      </c>
      <c r="E509" s="8" t="s">
        <v>14</v>
      </c>
      <c r="F509" s="7" t="s">
        <v>11</v>
      </c>
      <c r="G509" s="25" t="s">
        <v>93</v>
      </c>
      <c r="H509" s="107">
        <v>13.6</v>
      </c>
      <c r="I509" s="111">
        <v>13.6</v>
      </c>
      <c r="J509" s="11" t="str">
        <f t="shared" si="50"/>
        <v/>
      </c>
      <c r="K509" s="12" t="str">
        <f t="shared" si="51"/>
        <v/>
      </c>
      <c r="L509" s="125">
        <f t="shared" si="52"/>
        <v>0</v>
      </c>
      <c r="M509" s="47" t="str">
        <f t="shared" si="53"/>
        <v/>
      </c>
      <c r="N509" s="47" t="str">
        <f t="shared" si="54"/>
        <v/>
      </c>
      <c r="O509" s="47" t="str">
        <f t="shared" si="55"/>
        <v>Within Tolerance</v>
      </c>
    </row>
    <row r="510" spans="1:15" s="9" customFormat="1" x14ac:dyDescent="0.3">
      <c r="A510" s="166">
        <v>46163</v>
      </c>
      <c r="B510" s="61">
        <v>46163.833333333299</v>
      </c>
      <c r="C510" s="138">
        <f t="shared" si="49"/>
        <v>46163.833333333299</v>
      </c>
      <c r="D510" s="19" t="s">
        <v>18</v>
      </c>
      <c r="E510" s="8" t="s">
        <v>14</v>
      </c>
      <c r="F510" s="7" t="s">
        <v>11</v>
      </c>
      <c r="G510" s="25" t="s">
        <v>93</v>
      </c>
      <c r="H510" s="107">
        <v>13.7</v>
      </c>
      <c r="I510" s="111">
        <v>13.7</v>
      </c>
      <c r="J510" s="11" t="str">
        <f t="shared" si="50"/>
        <v/>
      </c>
      <c r="K510" s="12" t="str">
        <f t="shared" si="51"/>
        <v/>
      </c>
      <c r="L510" s="125">
        <f t="shared" si="52"/>
        <v>0</v>
      </c>
      <c r="M510" s="47" t="str">
        <f t="shared" si="53"/>
        <v/>
      </c>
      <c r="N510" s="47" t="str">
        <f t="shared" si="54"/>
        <v/>
      </c>
      <c r="O510" s="47" t="str">
        <f t="shared" si="55"/>
        <v>Within Tolerance</v>
      </c>
    </row>
    <row r="511" spans="1:15" s="9" customFormat="1" x14ac:dyDescent="0.3">
      <c r="A511" s="167">
        <v>46163</v>
      </c>
      <c r="B511" s="61">
        <v>46163.930555555598</v>
      </c>
      <c r="C511" s="138">
        <f t="shared" si="49"/>
        <v>46163.930555555598</v>
      </c>
      <c r="D511" s="19" t="s">
        <v>18</v>
      </c>
      <c r="E511" s="8" t="s">
        <v>14</v>
      </c>
      <c r="F511" s="7" t="s">
        <v>11</v>
      </c>
      <c r="G511" s="25">
        <v>13.49</v>
      </c>
      <c r="H511" s="107">
        <v>13.7</v>
      </c>
      <c r="I511" s="111"/>
      <c r="J511" s="11">
        <f t="shared" si="50"/>
        <v>0.20999999999999908</v>
      </c>
      <c r="K511" s="12" t="str">
        <f t="shared" si="51"/>
        <v/>
      </c>
      <c r="L511" s="125" t="str">
        <f t="shared" si="52"/>
        <v/>
      </c>
      <c r="M511" s="47" t="str">
        <f t="shared" si="53"/>
        <v>Out of Tolerance</v>
      </c>
      <c r="N511" s="47" t="str">
        <f t="shared" si="54"/>
        <v/>
      </c>
      <c r="O511" s="47" t="str">
        <f t="shared" si="55"/>
        <v/>
      </c>
    </row>
    <row r="512" spans="1:15" s="9" customFormat="1" x14ac:dyDescent="0.3">
      <c r="A512" s="166">
        <v>46163</v>
      </c>
      <c r="B512" s="61">
        <v>46164</v>
      </c>
      <c r="C512" s="138">
        <f t="shared" si="49"/>
        <v>46163</v>
      </c>
      <c r="D512" s="19" t="s">
        <v>18</v>
      </c>
      <c r="E512" s="8" t="s">
        <v>14</v>
      </c>
      <c r="F512" s="7" t="s">
        <v>11</v>
      </c>
      <c r="G512" s="25" t="s">
        <v>93</v>
      </c>
      <c r="H512" s="107">
        <v>13.7</v>
      </c>
      <c r="I512" s="111">
        <v>13.7</v>
      </c>
      <c r="J512" s="11" t="str">
        <f t="shared" si="50"/>
        <v/>
      </c>
      <c r="K512" s="12" t="str">
        <f t="shared" si="51"/>
        <v/>
      </c>
      <c r="L512" s="125">
        <f t="shared" si="52"/>
        <v>0</v>
      </c>
      <c r="M512" s="47" t="str">
        <f t="shared" si="53"/>
        <v/>
      </c>
      <c r="N512" s="47" t="str">
        <f t="shared" si="54"/>
        <v/>
      </c>
      <c r="O512" s="47" t="str">
        <f t="shared" si="55"/>
        <v>Within Tolerance</v>
      </c>
    </row>
    <row r="513" spans="1:15" x14ac:dyDescent="0.3">
      <c r="A513" s="167">
        <v>46164</v>
      </c>
      <c r="B513" s="61">
        <v>46164.09375</v>
      </c>
      <c r="C513" s="138">
        <f t="shared" si="49"/>
        <v>46164.09375</v>
      </c>
      <c r="D513" s="19" t="s">
        <v>41</v>
      </c>
      <c r="E513" s="8" t="s">
        <v>10</v>
      </c>
      <c r="F513" s="7" t="s">
        <v>11</v>
      </c>
      <c r="G513" s="25" t="s">
        <v>93</v>
      </c>
      <c r="H513" s="107">
        <v>13.9</v>
      </c>
      <c r="I513" s="111">
        <v>14</v>
      </c>
      <c r="J513" s="11" t="str">
        <f t="shared" si="50"/>
        <v/>
      </c>
      <c r="K513" s="12" t="str">
        <f t="shared" si="51"/>
        <v/>
      </c>
      <c r="L513" s="125">
        <f t="shared" si="52"/>
        <v>9.9999999999999645E-2</v>
      </c>
      <c r="M513" s="47" t="str">
        <f t="shared" si="53"/>
        <v/>
      </c>
      <c r="N513" s="47" t="str">
        <f t="shared" si="54"/>
        <v/>
      </c>
      <c r="O513" s="47" t="str">
        <f t="shared" si="55"/>
        <v>Within Tolerance</v>
      </c>
    </row>
    <row r="514" spans="1:15" x14ac:dyDescent="0.3">
      <c r="A514" s="166">
        <v>46164</v>
      </c>
      <c r="B514" s="61">
        <v>46164.166666666701</v>
      </c>
      <c r="C514" s="138">
        <f t="shared" ref="C514:C577" si="56">A514+MOD(B514,1)</f>
        <v>46164.166666666701</v>
      </c>
      <c r="D514" s="19" t="s">
        <v>41</v>
      </c>
      <c r="E514" s="8" t="s">
        <v>10</v>
      </c>
      <c r="F514" s="7" t="s">
        <v>11</v>
      </c>
      <c r="G514" s="25" t="s">
        <v>93</v>
      </c>
      <c r="H514" s="107">
        <v>14</v>
      </c>
      <c r="I514" s="111">
        <v>14.2</v>
      </c>
      <c r="J514" s="11" t="str">
        <f t="shared" si="50"/>
        <v/>
      </c>
      <c r="K514" s="12" t="str">
        <f t="shared" si="51"/>
        <v/>
      </c>
      <c r="L514" s="125">
        <f t="shared" si="52"/>
        <v>0.19999999999999929</v>
      </c>
      <c r="M514" s="47" t="str">
        <f t="shared" si="53"/>
        <v/>
      </c>
      <c r="N514" s="47" t="str">
        <f t="shared" si="54"/>
        <v/>
      </c>
      <c r="O514" s="47" t="str">
        <f t="shared" si="55"/>
        <v>Within Tolerance</v>
      </c>
    </row>
    <row r="515" spans="1:15" x14ac:dyDescent="0.3">
      <c r="A515" s="167">
        <v>46164</v>
      </c>
      <c r="B515" s="61">
        <v>46164.25</v>
      </c>
      <c r="C515" s="138">
        <f t="shared" si="56"/>
        <v>46164.25</v>
      </c>
      <c r="D515" s="19" t="s">
        <v>41</v>
      </c>
      <c r="E515" s="8" t="s">
        <v>10</v>
      </c>
      <c r="F515" s="7" t="s">
        <v>11</v>
      </c>
      <c r="G515" s="25" t="s">
        <v>93</v>
      </c>
      <c r="H515" s="107">
        <v>14.1</v>
      </c>
      <c r="I515" s="111">
        <v>14.2</v>
      </c>
      <c r="J515" s="11" t="str">
        <f t="shared" ref="J515:J578" si="57">IF(OR(H515="",G515=""),"",H515-G515)</f>
        <v/>
      </c>
      <c r="K515" s="12" t="str">
        <f t="shared" ref="K515:K578" si="58">IF(OR(TRIM(G515&amp;"")="",TRIM(I515&amp;"")="",G515="-",I515="-"),"",I515-G515)</f>
        <v/>
      </c>
      <c r="L515" s="125">
        <f t="shared" ref="L515:L578" si="59">IF(OR(TRIM(H515&amp;"")="",TRIM(I515&amp;"")="",H515="-",I515="-"),"",I515-H515)</f>
        <v>9.9999999999999645E-2</v>
      </c>
      <c r="M515" s="47" t="str">
        <f t="shared" ref="M515:M578" si="60">IF(J515="","",IF(ABS(J515)&lt;=0.2,"Within Tolerance","Out of Tolerance"))</f>
        <v/>
      </c>
      <c r="N515" s="47" t="str">
        <f t="shared" ref="N515:N578" si="61">IF(K515="","",IF(ABS(K515)&lt;=0.2,"Within Tolerance","Out of Tolerance"))</f>
        <v/>
      </c>
      <c r="O515" s="47" t="str">
        <f t="shared" ref="O515:O578" si="62">IF(L515="","",IF(ABS(L515)&lt;=0.2,"Within Tolerance","Out of Tolerance"))</f>
        <v>Within Tolerance</v>
      </c>
    </row>
    <row r="516" spans="1:15" x14ac:dyDescent="0.3">
      <c r="A516" s="166">
        <v>46163</v>
      </c>
      <c r="B516" s="61">
        <v>46163.333333333299</v>
      </c>
      <c r="C516" s="138">
        <f t="shared" si="56"/>
        <v>46163.333333333299</v>
      </c>
      <c r="D516" s="19" t="s">
        <v>40</v>
      </c>
      <c r="E516" s="8" t="s">
        <v>17</v>
      </c>
      <c r="F516" s="7" t="s">
        <v>15</v>
      </c>
      <c r="G516" s="25">
        <v>14.07</v>
      </c>
      <c r="H516" s="107">
        <v>14.1</v>
      </c>
      <c r="I516" s="111">
        <v>14.1</v>
      </c>
      <c r="J516" s="11">
        <f t="shared" si="57"/>
        <v>2.9999999999999361E-2</v>
      </c>
      <c r="K516" s="12">
        <f t="shared" si="58"/>
        <v>2.9999999999999361E-2</v>
      </c>
      <c r="L516" s="125">
        <f t="shared" si="59"/>
        <v>0</v>
      </c>
      <c r="M516" s="47" t="str">
        <f t="shared" si="60"/>
        <v>Within Tolerance</v>
      </c>
      <c r="N516" s="47" t="str">
        <f t="shared" si="61"/>
        <v>Within Tolerance</v>
      </c>
      <c r="O516" s="47" t="str">
        <f t="shared" si="62"/>
        <v>Within Tolerance</v>
      </c>
    </row>
    <row r="517" spans="1:15" x14ac:dyDescent="0.3">
      <c r="A517" s="167">
        <v>46163</v>
      </c>
      <c r="B517" s="61">
        <v>46163.416666666701</v>
      </c>
      <c r="C517" s="138">
        <f t="shared" si="56"/>
        <v>46163.416666666701</v>
      </c>
      <c r="D517" s="19" t="s">
        <v>40</v>
      </c>
      <c r="E517" s="8" t="s">
        <v>17</v>
      </c>
      <c r="F517" s="7" t="s">
        <v>15</v>
      </c>
      <c r="G517" s="25" t="s">
        <v>93</v>
      </c>
      <c r="H517" s="107">
        <v>14.1</v>
      </c>
      <c r="I517" s="111">
        <v>14.1</v>
      </c>
      <c r="J517" s="11" t="str">
        <f t="shared" si="57"/>
        <v/>
      </c>
      <c r="K517" s="12" t="str">
        <f t="shared" si="58"/>
        <v/>
      </c>
      <c r="L517" s="125">
        <f t="shared" si="59"/>
        <v>0</v>
      </c>
      <c r="M517" s="47" t="str">
        <f t="shared" si="60"/>
        <v/>
      </c>
      <c r="N517" s="47" t="str">
        <f t="shared" si="61"/>
        <v/>
      </c>
      <c r="O517" s="47" t="str">
        <f t="shared" si="62"/>
        <v>Within Tolerance</v>
      </c>
    </row>
    <row r="518" spans="1:15" x14ac:dyDescent="0.3">
      <c r="A518" s="166">
        <v>46163</v>
      </c>
      <c r="B518" s="61">
        <v>46163.5</v>
      </c>
      <c r="C518" s="138">
        <f t="shared" si="56"/>
        <v>46163.5</v>
      </c>
      <c r="D518" s="19" t="s">
        <v>40</v>
      </c>
      <c r="E518" s="8" t="s">
        <v>17</v>
      </c>
      <c r="F518" s="7" t="s">
        <v>15</v>
      </c>
      <c r="G518" s="25" t="s">
        <v>93</v>
      </c>
      <c r="H518" s="107">
        <v>14</v>
      </c>
      <c r="I518" s="111">
        <v>14.1</v>
      </c>
      <c r="J518" s="11" t="str">
        <f t="shared" si="57"/>
        <v/>
      </c>
      <c r="K518" s="12" t="str">
        <f t="shared" si="58"/>
        <v/>
      </c>
      <c r="L518" s="125">
        <f t="shared" si="59"/>
        <v>9.9999999999999645E-2</v>
      </c>
      <c r="M518" s="47" t="str">
        <f t="shared" si="60"/>
        <v/>
      </c>
      <c r="N518" s="47" t="str">
        <f t="shared" si="61"/>
        <v/>
      </c>
      <c r="O518" s="47" t="str">
        <f t="shared" si="62"/>
        <v>Within Tolerance</v>
      </c>
    </row>
    <row r="519" spans="1:15" x14ac:dyDescent="0.3">
      <c r="A519" s="167">
        <v>46163</v>
      </c>
      <c r="B519" s="61">
        <v>46163.583333333299</v>
      </c>
      <c r="C519" s="138">
        <f t="shared" si="56"/>
        <v>46163.583333333299</v>
      </c>
      <c r="D519" s="19" t="s">
        <v>40</v>
      </c>
      <c r="E519" s="8" t="s">
        <v>17</v>
      </c>
      <c r="F519" s="7" t="s">
        <v>15</v>
      </c>
      <c r="G519" s="25" t="s">
        <v>93</v>
      </c>
      <c r="H519" s="107">
        <v>14</v>
      </c>
      <c r="I519" s="111">
        <v>14</v>
      </c>
      <c r="J519" s="11" t="str">
        <f t="shared" si="57"/>
        <v/>
      </c>
      <c r="K519" s="12" t="str">
        <f t="shared" si="58"/>
        <v/>
      </c>
      <c r="L519" s="125">
        <f t="shared" si="59"/>
        <v>0</v>
      </c>
      <c r="M519" s="47" t="str">
        <f t="shared" si="60"/>
        <v/>
      </c>
      <c r="N519" s="47" t="str">
        <f t="shared" si="61"/>
        <v/>
      </c>
      <c r="O519" s="47" t="str">
        <f t="shared" si="62"/>
        <v>Within Tolerance</v>
      </c>
    </row>
    <row r="520" spans="1:15" x14ac:dyDescent="0.3">
      <c r="A520" s="166">
        <v>46163</v>
      </c>
      <c r="B520" s="61">
        <v>46163.649305555598</v>
      </c>
      <c r="C520" s="138">
        <f t="shared" si="56"/>
        <v>46163.649305555598</v>
      </c>
      <c r="D520" s="19" t="s">
        <v>41</v>
      </c>
      <c r="E520" s="8" t="s">
        <v>10</v>
      </c>
      <c r="F520" s="7" t="s">
        <v>15</v>
      </c>
      <c r="G520" s="25" t="s">
        <v>93</v>
      </c>
      <c r="H520" s="107">
        <v>13.9</v>
      </c>
      <c r="I520" s="111">
        <v>13.8</v>
      </c>
      <c r="J520" s="11" t="str">
        <f t="shared" si="57"/>
        <v/>
      </c>
      <c r="K520" s="12" t="str">
        <f t="shared" si="58"/>
        <v/>
      </c>
      <c r="L520" s="125">
        <f t="shared" si="59"/>
        <v>-9.9999999999999645E-2</v>
      </c>
      <c r="M520" s="47" t="str">
        <f t="shared" si="60"/>
        <v/>
      </c>
      <c r="N520" s="47" t="str">
        <f t="shared" si="61"/>
        <v/>
      </c>
      <c r="O520" s="47" t="str">
        <f t="shared" si="62"/>
        <v>Within Tolerance</v>
      </c>
    </row>
    <row r="521" spans="1:15" x14ac:dyDescent="0.3">
      <c r="A521" s="167">
        <v>46163</v>
      </c>
      <c r="B521" s="61">
        <v>46163.729166666701</v>
      </c>
      <c r="C521" s="138">
        <f t="shared" si="56"/>
        <v>46163.729166666701</v>
      </c>
      <c r="D521" s="19" t="s">
        <v>41</v>
      </c>
      <c r="E521" s="8" t="s">
        <v>10</v>
      </c>
      <c r="F521" s="7" t="s">
        <v>15</v>
      </c>
      <c r="G521" s="25" t="s">
        <v>93</v>
      </c>
      <c r="H521" s="107">
        <v>14.2</v>
      </c>
      <c r="I521" s="111">
        <v>14</v>
      </c>
      <c r="J521" s="11" t="str">
        <f t="shared" si="57"/>
        <v/>
      </c>
      <c r="K521" s="12" t="str">
        <f t="shared" si="58"/>
        <v/>
      </c>
      <c r="L521" s="125">
        <f t="shared" si="59"/>
        <v>-0.19999999999999929</v>
      </c>
      <c r="M521" s="47" t="str">
        <f t="shared" si="60"/>
        <v/>
      </c>
      <c r="N521" s="47" t="str">
        <f t="shared" si="61"/>
        <v/>
      </c>
      <c r="O521" s="47" t="str">
        <f t="shared" si="62"/>
        <v>Within Tolerance</v>
      </c>
    </row>
    <row r="522" spans="1:15" x14ac:dyDescent="0.3">
      <c r="A522" s="166">
        <v>46163</v>
      </c>
      <c r="B522" s="61">
        <v>46163.833333333299</v>
      </c>
      <c r="C522" s="138">
        <f t="shared" si="56"/>
        <v>46163.833333333299</v>
      </c>
      <c r="D522" s="19" t="s">
        <v>41</v>
      </c>
      <c r="E522" s="8" t="s">
        <v>10</v>
      </c>
      <c r="F522" s="7" t="s">
        <v>15</v>
      </c>
      <c r="G522" s="25" t="s">
        <v>93</v>
      </c>
      <c r="H522" s="107">
        <v>14.2</v>
      </c>
      <c r="I522" s="111">
        <v>14.1</v>
      </c>
      <c r="J522" s="11" t="str">
        <f t="shared" si="57"/>
        <v/>
      </c>
      <c r="K522" s="12" t="str">
        <f t="shared" si="58"/>
        <v/>
      </c>
      <c r="L522" s="125">
        <f t="shared" si="59"/>
        <v>-9.9999999999999645E-2</v>
      </c>
      <c r="M522" s="47" t="str">
        <f t="shared" si="60"/>
        <v/>
      </c>
      <c r="N522" s="47" t="str">
        <f t="shared" si="61"/>
        <v/>
      </c>
      <c r="O522" s="47" t="str">
        <f t="shared" si="62"/>
        <v>Within Tolerance</v>
      </c>
    </row>
    <row r="523" spans="1:15" x14ac:dyDescent="0.3">
      <c r="A523" s="167">
        <v>46163</v>
      </c>
      <c r="B523" s="61">
        <v>46163.916666666701</v>
      </c>
      <c r="C523" s="138">
        <f t="shared" si="56"/>
        <v>46163.916666666701</v>
      </c>
      <c r="D523" s="19" t="s">
        <v>41</v>
      </c>
      <c r="E523" s="8" t="s">
        <v>10</v>
      </c>
      <c r="F523" s="7" t="s">
        <v>15</v>
      </c>
      <c r="G523" s="25" t="s">
        <v>93</v>
      </c>
      <c r="H523" s="107">
        <v>14.2</v>
      </c>
      <c r="I523" s="111">
        <v>14.2</v>
      </c>
      <c r="J523" s="11" t="str">
        <f t="shared" si="57"/>
        <v/>
      </c>
      <c r="K523" s="12" t="str">
        <f t="shared" si="58"/>
        <v/>
      </c>
      <c r="L523" s="125">
        <f t="shared" si="59"/>
        <v>0</v>
      </c>
      <c r="M523" s="47" t="str">
        <f t="shared" si="60"/>
        <v/>
      </c>
      <c r="N523" s="47" t="str">
        <f t="shared" si="61"/>
        <v/>
      </c>
      <c r="O523" s="47" t="str">
        <f t="shared" si="62"/>
        <v>Within Tolerance</v>
      </c>
    </row>
    <row r="524" spans="1:15" x14ac:dyDescent="0.3">
      <c r="A524" s="166">
        <v>46163</v>
      </c>
      <c r="B524" s="61">
        <v>46164</v>
      </c>
      <c r="C524" s="138">
        <f t="shared" si="56"/>
        <v>46163</v>
      </c>
      <c r="D524" s="19" t="s">
        <v>41</v>
      </c>
      <c r="E524" s="8" t="s">
        <v>10</v>
      </c>
      <c r="F524" s="7" t="s">
        <v>15</v>
      </c>
      <c r="G524" s="25" t="s">
        <v>93</v>
      </c>
      <c r="H524" s="107">
        <v>14.1</v>
      </c>
      <c r="I524" s="111">
        <v>14.2</v>
      </c>
      <c r="J524" s="11" t="str">
        <f t="shared" si="57"/>
        <v/>
      </c>
      <c r="K524" s="12" t="str">
        <f t="shared" si="58"/>
        <v/>
      </c>
      <c r="L524" s="125">
        <f t="shared" si="59"/>
        <v>9.9999999999999645E-2</v>
      </c>
      <c r="M524" s="47" t="str">
        <f t="shared" si="60"/>
        <v/>
      </c>
      <c r="N524" s="47" t="str">
        <f t="shared" si="61"/>
        <v/>
      </c>
      <c r="O524" s="47" t="str">
        <f t="shared" si="62"/>
        <v>Within Tolerance</v>
      </c>
    </row>
    <row r="525" spans="1:15" x14ac:dyDescent="0.3">
      <c r="A525" s="167">
        <v>46164</v>
      </c>
      <c r="B525" s="61">
        <v>46164.083333333299</v>
      </c>
      <c r="C525" s="138">
        <f t="shared" si="56"/>
        <v>46164.083333333299</v>
      </c>
      <c r="D525" s="19" t="s">
        <v>41</v>
      </c>
      <c r="E525" s="8" t="s">
        <v>10</v>
      </c>
      <c r="F525" s="7" t="s">
        <v>15</v>
      </c>
      <c r="G525" s="25" t="s">
        <v>93</v>
      </c>
      <c r="H525" s="107">
        <v>14.2</v>
      </c>
      <c r="I525" s="111">
        <v>14.3</v>
      </c>
      <c r="J525" s="11" t="str">
        <f t="shared" si="57"/>
        <v/>
      </c>
      <c r="K525" s="12" t="str">
        <f t="shared" si="58"/>
        <v/>
      </c>
      <c r="L525" s="125">
        <f t="shared" si="59"/>
        <v>0.10000000000000142</v>
      </c>
      <c r="M525" s="47" t="str">
        <f t="shared" si="60"/>
        <v/>
      </c>
      <c r="N525" s="47" t="str">
        <f t="shared" si="61"/>
        <v/>
      </c>
      <c r="O525" s="47" t="str">
        <f t="shared" si="62"/>
        <v>Within Tolerance</v>
      </c>
    </row>
    <row r="526" spans="1:15" x14ac:dyDescent="0.3">
      <c r="A526" s="166">
        <v>46164</v>
      </c>
      <c r="B526" s="61">
        <v>46164.166666666701</v>
      </c>
      <c r="C526" s="138">
        <f t="shared" si="56"/>
        <v>46164.166666666701</v>
      </c>
      <c r="D526" s="19" t="s">
        <v>41</v>
      </c>
      <c r="E526" s="8" t="s">
        <v>10</v>
      </c>
      <c r="F526" s="7" t="s">
        <v>15</v>
      </c>
      <c r="G526" s="25" t="s">
        <v>93</v>
      </c>
      <c r="H526" s="107">
        <v>14.1</v>
      </c>
      <c r="I526" s="111">
        <v>14.1</v>
      </c>
      <c r="J526" s="11" t="str">
        <f t="shared" si="57"/>
        <v/>
      </c>
      <c r="K526" s="12" t="str">
        <f t="shared" si="58"/>
        <v/>
      </c>
      <c r="L526" s="125">
        <f t="shared" si="59"/>
        <v>0</v>
      </c>
      <c r="M526" s="47" t="str">
        <f t="shared" si="60"/>
        <v/>
      </c>
      <c r="N526" s="47" t="str">
        <f t="shared" si="61"/>
        <v/>
      </c>
      <c r="O526" s="47" t="str">
        <f t="shared" si="62"/>
        <v>Within Tolerance</v>
      </c>
    </row>
    <row r="527" spans="1:15" x14ac:dyDescent="0.3">
      <c r="A527" s="167">
        <v>46164</v>
      </c>
      <c r="B527" s="61">
        <v>46164.194444444402</v>
      </c>
      <c r="C527" s="138">
        <f t="shared" si="56"/>
        <v>46164.194444444402</v>
      </c>
      <c r="D527" s="19" t="s">
        <v>29</v>
      </c>
      <c r="E527" s="8" t="s">
        <v>10</v>
      </c>
      <c r="F527" s="7" t="s">
        <v>15</v>
      </c>
      <c r="G527" s="25" t="s">
        <v>93</v>
      </c>
      <c r="H527" s="107">
        <v>14</v>
      </c>
      <c r="I527" s="111">
        <v>14.1</v>
      </c>
      <c r="J527" s="11" t="str">
        <f t="shared" si="57"/>
        <v/>
      </c>
      <c r="K527" s="12" t="str">
        <f t="shared" si="58"/>
        <v/>
      </c>
      <c r="L527" s="125">
        <f t="shared" si="59"/>
        <v>9.9999999999999645E-2</v>
      </c>
      <c r="M527" s="47" t="str">
        <f t="shared" si="60"/>
        <v/>
      </c>
      <c r="N527" s="47" t="str">
        <f t="shared" si="61"/>
        <v/>
      </c>
      <c r="O527" s="47" t="str">
        <f t="shared" si="62"/>
        <v>Within Tolerance</v>
      </c>
    </row>
    <row r="528" spans="1:15" x14ac:dyDescent="0.3">
      <c r="A528" s="166">
        <v>46164</v>
      </c>
      <c r="B528" s="61">
        <v>46164.229166666701</v>
      </c>
      <c r="C528" s="138">
        <f t="shared" si="56"/>
        <v>46164.229166666701</v>
      </c>
      <c r="D528" s="19" t="s">
        <v>29</v>
      </c>
      <c r="E528" s="8" t="s">
        <v>10</v>
      </c>
      <c r="F528" s="7" t="s">
        <v>15</v>
      </c>
      <c r="G528" s="25" t="s">
        <v>93</v>
      </c>
      <c r="H528" s="107">
        <v>14.1</v>
      </c>
      <c r="I528" s="111">
        <v>14.2</v>
      </c>
      <c r="J528" s="11" t="str">
        <f t="shared" si="57"/>
        <v/>
      </c>
      <c r="K528" s="12" t="str">
        <f t="shared" si="58"/>
        <v/>
      </c>
      <c r="L528" s="125">
        <f t="shared" si="59"/>
        <v>9.9999999999999645E-2</v>
      </c>
      <c r="M528" s="47" t="str">
        <f t="shared" si="60"/>
        <v/>
      </c>
      <c r="N528" s="47" t="str">
        <f t="shared" si="61"/>
        <v/>
      </c>
      <c r="O528" s="47" t="str">
        <f t="shared" si="62"/>
        <v>Within Tolerance</v>
      </c>
    </row>
    <row r="529" spans="1:15" x14ac:dyDescent="0.3">
      <c r="A529" s="167">
        <v>46163</v>
      </c>
      <c r="B529" s="73">
        <v>46163.833333333299</v>
      </c>
      <c r="C529" s="156">
        <f t="shared" si="56"/>
        <v>46163.833333333299</v>
      </c>
      <c r="D529" s="7" t="s">
        <v>27</v>
      </c>
      <c r="E529" s="8" t="s">
        <v>10</v>
      </c>
      <c r="F529" s="15" t="s">
        <v>19</v>
      </c>
      <c r="G529" s="25" t="s">
        <v>93</v>
      </c>
      <c r="H529" s="106">
        <v>14.1</v>
      </c>
      <c r="I529" s="111">
        <v>13.9</v>
      </c>
      <c r="J529" s="11" t="str">
        <f t="shared" si="57"/>
        <v/>
      </c>
      <c r="K529" s="12" t="str">
        <f t="shared" si="58"/>
        <v/>
      </c>
      <c r="L529" s="125">
        <f t="shared" si="59"/>
        <v>-0.19999999999999929</v>
      </c>
      <c r="M529" s="47" t="str">
        <f t="shared" si="60"/>
        <v/>
      </c>
      <c r="N529" s="47" t="str">
        <f t="shared" si="61"/>
        <v/>
      </c>
      <c r="O529" s="47" t="str">
        <f t="shared" si="62"/>
        <v>Within Tolerance</v>
      </c>
    </row>
    <row r="530" spans="1:15" x14ac:dyDescent="0.3">
      <c r="A530" s="166">
        <v>46163</v>
      </c>
      <c r="B530" s="78">
        <v>46163.465277777803</v>
      </c>
      <c r="C530" s="158">
        <f t="shared" si="56"/>
        <v>46163.465277777803</v>
      </c>
      <c r="D530" s="19" t="s">
        <v>49</v>
      </c>
      <c r="E530" s="8" t="s">
        <v>10</v>
      </c>
      <c r="F530" s="7" t="s">
        <v>24</v>
      </c>
      <c r="G530" s="25" t="s">
        <v>93</v>
      </c>
      <c r="H530" s="107">
        <v>13.7</v>
      </c>
      <c r="I530" s="111">
        <v>13.7</v>
      </c>
      <c r="J530" s="11" t="str">
        <f t="shared" si="57"/>
        <v/>
      </c>
      <c r="K530" s="12" t="str">
        <f t="shared" si="58"/>
        <v/>
      </c>
      <c r="L530" s="125">
        <f t="shared" si="59"/>
        <v>0</v>
      </c>
      <c r="M530" s="47" t="str">
        <f t="shared" si="60"/>
        <v/>
      </c>
      <c r="N530" s="47" t="str">
        <f t="shared" si="61"/>
        <v/>
      </c>
      <c r="O530" s="47" t="str">
        <f t="shared" si="62"/>
        <v>Within Tolerance</v>
      </c>
    </row>
    <row r="531" spans="1:15" x14ac:dyDescent="0.3">
      <c r="A531" s="167">
        <v>46163</v>
      </c>
      <c r="B531" s="79">
        <v>46163.527777777803</v>
      </c>
      <c r="C531" s="157">
        <f t="shared" si="56"/>
        <v>46163.527777777803</v>
      </c>
      <c r="D531" s="19" t="s">
        <v>50</v>
      </c>
      <c r="E531" s="8" t="s">
        <v>10</v>
      </c>
      <c r="F531" s="7" t="s">
        <v>24</v>
      </c>
      <c r="G531" s="25" t="s">
        <v>93</v>
      </c>
      <c r="H531" s="107">
        <v>13.8</v>
      </c>
      <c r="I531" s="111">
        <v>13.8</v>
      </c>
      <c r="J531" s="11" t="str">
        <f t="shared" si="57"/>
        <v/>
      </c>
      <c r="K531" s="12" t="str">
        <f t="shared" si="58"/>
        <v/>
      </c>
      <c r="L531" s="125">
        <f t="shared" si="59"/>
        <v>0</v>
      </c>
      <c r="M531" s="47" t="str">
        <f t="shared" si="60"/>
        <v/>
      </c>
      <c r="N531" s="47" t="str">
        <f t="shared" si="61"/>
        <v/>
      </c>
      <c r="O531" s="47" t="str">
        <f t="shared" si="62"/>
        <v>Within Tolerance</v>
      </c>
    </row>
    <row r="532" spans="1:15" x14ac:dyDescent="0.3">
      <c r="A532" s="166">
        <v>46163</v>
      </c>
      <c r="B532" s="70">
        <v>46163.583333333299</v>
      </c>
      <c r="C532" s="159">
        <f t="shared" si="56"/>
        <v>46163.583333333299</v>
      </c>
      <c r="D532" s="19" t="s">
        <v>51</v>
      </c>
      <c r="E532" s="8" t="s">
        <v>10</v>
      </c>
      <c r="F532" s="7" t="s">
        <v>24</v>
      </c>
      <c r="G532" s="25" t="s">
        <v>93</v>
      </c>
      <c r="H532" s="107">
        <v>13.8</v>
      </c>
      <c r="I532" s="111">
        <v>13.6</v>
      </c>
      <c r="J532" s="11" t="str">
        <f t="shared" si="57"/>
        <v/>
      </c>
      <c r="K532" s="12" t="str">
        <f t="shared" si="58"/>
        <v/>
      </c>
      <c r="L532" s="125">
        <f t="shared" si="59"/>
        <v>-0.20000000000000107</v>
      </c>
      <c r="M532" s="47" t="str">
        <f t="shared" si="60"/>
        <v/>
      </c>
      <c r="N532" s="47" t="str">
        <f t="shared" si="61"/>
        <v/>
      </c>
      <c r="O532" s="47" t="str">
        <f t="shared" si="62"/>
        <v>Out of Tolerance</v>
      </c>
    </row>
    <row r="533" spans="1:15" x14ac:dyDescent="0.3">
      <c r="A533" s="167">
        <v>46164</v>
      </c>
      <c r="B533" s="61">
        <v>46164.333333333299</v>
      </c>
      <c r="C533" s="138">
        <f t="shared" si="56"/>
        <v>46164.333333333299</v>
      </c>
      <c r="D533" s="19" t="s">
        <v>41</v>
      </c>
      <c r="E533" s="8" t="s">
        <v>10</v>
      </c>
      <c r="F533" s="7" t="s">
        <v>11</v>
      </c>
      <c r="G533" s="25">
        <v>13.954000000000001</v>
      </c>
      <c r="H533" s="107">
        <v>14.2</v>
      </c>
      <c r="I533" s="111">
        <v>14.2</v>
      </c>
      <c r="J533" s="11">
        <f t="shared" si="57"/>
        <v>0.24599999999999866</v>
      </c>
      <c r="K533" s="12">
        <f t="shared" si="58"/>
        <v>0.24599999999999866</v>
      </c>
      <c r="L533" s="125">
        <f t="shared" si="59"/>
        <v>0</v>
      </c>
      <c r="M533" s="47" t="str">
        <f t="shared" si="60"/>
        <v>Out of Tolerance</v>
      </c>
      <c r="N533" s="47" t="str">
        <f t="shared" si="61"/>
        <v>Out of Tolerance</v>
      </c>
      <c r="O533" s="47" t="str">
        <f t="shared" si="62"/>
        <v>Within Tolerance</v>
      </c>
    </row>
    <row r="534" spans="1:15" x14ac:dyDescent="0.3">
      <c r="A534" s="166">
        <v>46164</v>
      </c>
      <c r="B534" s="61">
        <v>46164.416666666701</v>
      </c>
      <c r="C534" s="138">
        <f t="shared" si="56"/>
        <v>46164.416666666701</v>
      </c>
      <c r="D534" s="19" t="s">
        <v>41</v>
      </c>
      <c r="E534" s="8" t="s">
        <v>10</v>
      </c>
      <c r="F534" s="7" t="s">
        <v>11</v>
      </c>
      <c r="G534" s="25" t="s">
        <v>93</v>
      </c>
      <c r="H534" s="107">
        <v>14.2</v>
      </c>
      <c r="I534" s="111">
        <v>14.3</v>
      </c>
      <c r="J534" s="11" t="str">
        <f t="shared" si="57"/>
        <v/>
      </c>
      <c r="K534" s="12" t="str">
        <f t="shared" si="58"/>
        <v/>
      </c>
      <c r="L534" s="125">
        <f t="shared" si="59"/>
        <v>0.10000000000000142</v>
      </c>
      <c r="M534" s="47" t="str">
        <f t="shared" si="60"/>
        <v/>
      </c>
      <c r="N534" s="47" t="str">
        <f t="shared" si="61"/>
        <v/>
      </c>
      <c r="O534" s="47" t="str">
        <f t="shared" si="62"/>
        <v>Within Tolerance</v>
      </c>
    </row>
    <row r="535" spans="1:15" x14ac:dyDescent="0.3">
      <c r="A535" s="167">
        <v>46164</v>
      </c>
      <c r="B535" s="61">
        <v>46164.5</v>
      </c>
      <c r="C535" s="138">
        <f t="shared" si="56"/>
        <v>46164.5</v>
      </c>
      <c r="D535" s="19" t="s">
        <v>41</v>
      </c>
      <c r="E535" s="8" t="s">
        <v>10</v>
      </c>
      <c r="F535" s="7" t="s">
        <v>11</v>
      </c>
      <c r="G535" s="25" t="s">
        <v>93</v>
      </c>
      <c r="H535" s="107">
        <v>14.1</v>
      </c>
      <c r="I535" s="111">
        <v>14</v>
      </c>
      <c r="J535" s="11" t="str">
        <f t="shared" si="57"/>
        <v/>
      </c>
      <c r="K535" s="12" t="str">
        <f t="shared" si="58"/>
        <v/>
      </c>
      <c r="L535" s="125">
        <f t="shared" si="59"/>
        <v>-9.9999999999999645E-2</v>
      </c>
      <c r="M535" s="47" t="str">
        <f t="shared" si="60"/>
        <v/>
      </c>
      <c r="N535" s="47" t="str">
        <f t="shared" si="61"/>
        <v/>
      </c>
      <c r="O535" s="47" t="str">
        <f t="shared" si="62"/>
        <v>Within Tolerance</v>
      </c>
    </row>
    <row r="536" spans="1:15" x14ac:dyDescent="0.3">
      <c r="A536" s="166">
        <v>46164</v>
      </c>
      <c r="B536" s="61">
        <v>46164.604166666701</v>
      </c>
      <c r="C536" s="138">
        <f t="shared" si="56"/>
        <v>46164.604166666701</v>
      </c>
      <c r="D536" s="19" t="s">
        <v>41</v>
      </c>
      <c r="E536" s="8" t="s">
        <v>10</v>
      </c>
      <c r="F536" s="7" t="s">
        <v>11</v>
      </c>
      <c r="G536" s="25" t="s">
        <v>93</v>
      </c>
      <c r="H536" s="107">
        <v>14.1</v>
      </c>
      <c r="I536" s="111">
        <v>14.1</v>
      </c>
      <c r="J536" s="11" t="str">
        <f t="shared" si="57"/>
        <v/>
      </c>
      <c r="K536" s="12" t="str">
        <f t="shared" si="58"/>
        <v/>
      </c>
      <c r="L536" s="125">
        <f t="shared" si="59"/>
        <v>0</v>
      </c>
      <c r="M536" s="47" t="str">
        <f t="shared" si="60"/>
        <v/>
      </c>
      <c r="N536" s="47" t="str">
        <f t="shared" si="61"/>
        <v/>
      </c>
      <c r="O536" s="47" t="str">
        <f t="shared" si="62"/>
        <v>Within Tolerance</v>
      </c>
    </row>
    <row r="537" spans="1:15" x14ac:dyDescent="0.3">
      <c r="A537" s="167">
        <v>46164</v>
      </c>
      <c r="B537" s="61">
        <v>46164.666666666701</v>
      </c>
      <c r="C537" s="138">
        <f t="shared" si="56"/>
        <v>46164.666666666701</v>
      </c>
      <c r="D537" s="19" t="s">
        <v>41</v>
      </c>
      <c r="E537" s="8" t="s">
        <v>10</v>
      </c>
      <c r="F537" s="7" t="s">
        <v>11</v>
      </c>
      <c r="G537" s="25" t="s">
        <v>93</v>
      </c>
      <c r="H537" s="107">
        <v>14.1</v>
      </c>
      <c r="I537" s="111">
        <v>14.2</v>
      </c>
      <c r="J537" s="11" t="str">
        <f t="shared" si="57"/>
        <v/>
      </c>
      <c r="K537" s="12" t="str">
        <f t="shared" si="58"/>
        <v/>
      </c>
      <c r="L537" s="125">
        <f t="shared" si="59"/>
        <v>9.9999999999999645E-2</v>
      </c>
      <c r="M537" s="47" t="str">
        <f t="shared" si="60"/>
        <v/>
      </c>
      <c r="N537" s="47" t="str">
        <f t="shared" si="61"/>
        <v/>
      </c>
      <c r="O537" s="47" t="str">
        <f t="shared" si="62"/>
        <v>Within Tolerance</v>
      </c>
    </row>
    <row r="538" spans="1:15" x14ac:dyDescent="0.3">
      <c r="A538" s="166">
        <v>46164</v>
      </c>
      <c r="B538" s="61">
        <v>46164.75</v>
      </c>
      <c r="C538" s="138">
        <f t="shared" si="56"/>
        <v>46164.75</v>
      </c>
      <c r="D538" s="19" t="s">
        <v>41</v>
      </c>
      <c r="E538" s="8" t="s">
        <v>10</v>
      </c>
      <c r="F538" s="7" t="s">
        <v>11</v>
      </c>
      <c r="G538" s="25" t="s">
        <v>93</v>
      </c>
      <c r="H538" s="107">
        <v>14.2</v>
      </c>
      <c r="I538" s="111">
        <v>14.1</v>
      </c>
      <c r="J538" s="11" t="str">
        <f t="shared" si="57"/>
        <v/>
      </c>
      <c r="K538" s="12" t="str">
        <f t="shared" si="58"/>
        <v/>
      </c>
      <c r="L538" s="125">
        <f t="shared" si="59"/>
        <v>-9.9999999999999645E-2</v>
      </c>
      <c r="M538" s="47" t="str">
        <f t="shared" si="60"/>
        <v/>
      </c>
      <c r="N538" s="47" t="str">
        <f t="shared" si="61"/>
        <v/>
      </c>
      <c r="O538" s="47" t="str">
        <f t="shared" si="62"/>
        <v>Within Tolerance</v>
      </c>
    </row>
    <row r="539" spans="1:15" x14ac:dyDescent="0.3">
      <c r="A539" s="167">
        <v>46164</v>
      </c>
      <c r="B539" s="61">
        <v>46164.833333333299</v>
      </c>
      <c r="C539" s="138">
        <f t="shared" si="56"/>
        <v>46164.833333333299</v>
      </c>
      <c r="D539" s="19" t="s">
        <v>41</v>
      </c>
      <c r="E539" s="8" t="s">
        <v>10</v>
      </c>
      <c r="F539" s="7" t="s">
        <v>11</v>
      </c>
      <c r="G539" s="25" t="s">
        <v>93</v>
      </c>
      <c r="H539" s="107">
        <v>14.1</v>
      </c>
      <c r="I539" s="111">
        <v>14.2</v>
      </c>
      <c r="J539" s="11" t="str">
        <f t="shared" si="57"/>
        <v/>
      </c>
      <c r="K539" s="12" t="str">
        <f t="shared" si="58"/>
        <v/>
      </c>
      <c r="L539" s="125">
        <f t="shared" si="59"/>
        <v>9.9999999999999645E-2</v>
      </c>
      <c r="M539" s="47" t="str">
        <f t="shared" si="60"/>
        <v/>
      </c>
      <c r="N539" s="47" t="str">
        <f t="shared" si="61"/>
        <v/>
      </c>
      <c r="O539" s="47" t="str">
        <f t="shared" si="62"/>
        <v>Within Tolerance</v>
      </c>
    </row>
    <row r="540" spans="1:15" x14ac:dyDescent="0.3">
      <c r="A540" s="166">
        <v>46164</v>
      </c>
      <c r="B540" s="61">
        <v>46164.895833333299</v>
      </c>
      <c r="C540" s="138">
        <f t="shared" si="56"/>
        <v>46164.895833333299</v>
      </c>
      <c r="D540" s="19" t="s">
        <v>35</v>
      </c>
      <c r="E540" s="8" t="s">
        <v>14</v>
      </c>
      <c r="F540" s="7" t="s">
        <v>11</v>
      </c>
      <c r="G540" s="25" t="s">
        <v>93</v>
      </c>
      <c r="H540" s="107">
        <v>13.8</v>
      </c>
      <c r="I540" s="111">
        <v>13.9</v>
      </c>
      <c r="J540" s="11" t="str">
        <f t="shared" si="57"/>
        <v/>
      </c>
      <c r="K540" s="12" t="str">
        <f t="shared" si="58"/>
        <v/>
      </c>
      <c r="L540" s="125">
        <f t="shared" si="59"/>
        <v>9.9999999999999645E-2</v>
      </c>
      <c r="M540" s="47" t="str">
        <f t="shared" si="60"/>
        <v/>
      </c>
      <c r="N540" s="47" t="str">
        <f t="shared" si="61"/>
        <v/>
      </c>
      <c r="O540" s="47" t="str">
        <f t="shared" si="62"/>
        <v>Within Tolerance</v>
      </c>
    </row>
    <row r="541" spans="1:15" x14ac:dyDescent="0.3">
      <c r="A541" s="167">
        <v>46164</v>
      </c>
      <c r="B541" s="61">
        <v>46164.947916666701</v>
      </c>
      <c r="C541" s="138">
        <f t="shared" si="56"/>
        <v>46164.947916666701</v>
      </c>
      <c r="D541" s="19" t="s">
        <v>35</v>
      </c>
      <c r="E541" s="8" t="s">
        <v>14</v>
      </c>
      <c r="F541" s="7" t="s">
        <v>11</v>
      </c>
      <c r="G541" s="25" t="s">
        <v>93</v>
      </c>
      <c r="H541" s="107">
        <v>14.1</v>
      </c>
      <c r="I541" s="111"/>
      <c r="J541" s="11" t="str">
        <f t="shared" si="57"/>
        <v/>
      </c>
      <c r="K541" s="12" t="str">
        <f t="shared" si="58"/>
        <v/>
      </c>
      <c r="L541" s="125" t="str">
        <f t="shared" si="59"/>
        <v/>
      </c>
      <c r="M541" s="47" t="str">
        <f t="shared" si="60"/>
        <v/>
      </c>
      <c r="N541" s="47" t="str">
        <f t="shared" si="61"/>
        <v/>
      </c>
      <c r="O541" s="47" t="str">
        <f t="shared" si="62"/>
        <v/>
      </c>
    </row>
    <row r="542" spans="1:15" x14ac:dyDescent="0.3">
      <c r="A542" s="166">
        <v>46164</v>
      </c>
      <c r="B542" s="61">
        <v>46165</v>
      </c>
      <c r="C542" s="138">
        <f t="shared" si="56"/>
        <v>46164</v>
      </c>
      <c r="D542" s="19" t="s">
        <v>35</v>
      </c>
      <c r="E542" s="8" t="s">
        <v>14</v>
      </c>
      <c r="F542" s="7" t="s">
        <v>11</v>
      </c>
      <c r="G542" s="25" t="s">
        <v>93</v>
      </c>
      <c r="H542" s="107">
        <v>14.1</v>
      </c>
      <c r="I542" s="111">
        <v>14.1</v>
      </c>
      <c r="J542" s="11" t="str">
        <f t="shared" si="57"/>
        <v/>
      </c>
      <c r="K542" s="12" t="str">
        <f t="shared" si="58"/>
        <v/>
      </c>
      <c r="L542" s="125">
        <f t="shared" si="59"/>
        <v>0</v>
      </c>
      <c r="M542" s="47" t="str">
        <f t="shared" si="60"/>
        <v/>
      </c>
      <c r="N542" s="47" t="str">
        <f t="shared" si="61"/>
        <v/>
      </c>
      <c r="O542" s="47" t="str">
        <f t="shared" si="62"/>
        <v>Within Tolerance</v>
      </c>
    </row>
    <row r="543" spans="1:15" x14ac:dyDescent="0.3">
      <c r="A543" s="167">
        <v>46164</v>
      </c>
      <c r="B543" s="61">
        <v>46165.041666666701</v>
      </c>
      <c r="C543" s="138">
        <f t="shared" si="56"/>
        <v>46164.041666666701</v>
      </c>
      <c r="D543" s="19" t="s">
        <v>35</v>
      </c>
      <c r="E543" s="8" t="s">
        <v>14</v>
      </c>
      <c r="F543" s="7" t="s">
        <v>11</v>
      </c>
      <c r="G543" s="25" t="s">
        <v>93</v>
      </c>
      <c r="H543" s="107">
        <v>14.1</v>
      </c>
      <c r="I543" s="111">
        <v>14.1</v>
      </c>
      <c r="J543" s="11" t="str">
        <f t="shared" si="57"/>
        <v/>
      </c>
      <c r="K543" s="12" t="str">
        <f t="shared" si="58"/>
        <v/>
      </c>
      <c r="L543" s="125">
        <f t="shared" si="59"/>
        <v>0</v>
      </c>
      <c r="M543" s="47" t="str">
        <f t="shared" si="60"/>
        <v/>
      </c>
      <c r="N543" s="47" t="str">
        <f t="shared" si="61"/>
        <v/>
      </c>
      <c r="O543" s="47" t="str">
        <f t="shared" si="62"/>
        <v>Within Tolerance</v>
      </c>
    </row>
    <row r="544" spans="1:15" x14ac:dyDescent="0.3">
      <c r="A544" s="166">
        <v>46165</v>
      </c>
      <c r="B544" s="61">
        <v>46165.083333333299</v>
      </c>
      <c r="C544" s="138">
        <f t="shared" si="56"/>
        <v>46165.083333333299</v>
      </c>
      <c r="D544" s="19" t="s">
        <v>35</v>
      </c>
      <c r="E544" s="8" t="s">
        <v>14</v>
      </c>
      <c r="F544" s="7" t="s">
        <v>11</v>
      </c>
      <c r="G544" s="25" t="s">
        <v>93</v>
      </c>
      <c r="H544" s="107">
        <v>14.1</v>
      </c>
      <c r="I544" s="111">
        <v>14.1</v>
      </c>
      <c r="J544" s="11" t="str">
        <f t="shared" si="57"/>
        <v/>
      </c>
      <c r="K544" s="12" t="str">
        <f t="shared" si="58"/>
        <v/>
      </c>
      <c r="L544" s="125">
        <f t="shared" si="59"/>
        <v>0</v>
      </c>
      <c r="M544" s="47" t="str">
        <f t="shared" si="60"/>
        <v/>
      </c>
      <c r="N544" s="47" t="str">
        <f t="shared" si="61"/>
        <v/>
      </c>
      <c r="O544" s="47" t="str">
        <f t="shared" si="62"/>
        <v>Within Tolerance</v>
      </c>
    </row>
    <row r="545" spans="1:15" x14ac:dyDescent="0.3">
      <c r="A545" s="167">
        <v>46165</v>
      </c>
      <c r="B545" s="61">
        <v>46165.125</v>
      </c>
      <c r="C545" s="138">
        <f t="shared" si="56"/>
        <v>46165.125</v>
      </c>
      <c r="D545" s="19" t="s">
        <v>35</v>
      </c>
      <c r="E545" s="8" t="s">
        <v>14</v>
      </c>
      <c r="F545" s="7" t="s">
        <v>11</v>
      </c>
      <c r="G545" s="25" t="s">
        <v>93</v>
      </c>
      <c r="H545" s="107">
        <v>14.1</v>
      </c>
      <c r="I545" s="111">
        <v>14.2</v>
      </c>
      <c r="J545" s="11" t="str">
        <f t="shared" si="57"/>
        <v/>
      </c>
      <c r="K545" s="12" t="str">
        <f t="shared" si="58"/>
        <v/>
      </c>
      <c r="L545" s="125">
        <f t="shared" si="59"/>
        <v>9.9999999999999645E-2</v>
      </c>
      <c r="M545" s="47" t="str">
        <f t="shared" si="60"/>
        <v/>
      </c>
      <c r="N545" s="47" t="str">
        <f t="shared" si="61"/>
        <v/>
      </c>
      <c r="O545" s="47" t="str">
        <f t="shared" si="62"/>
        <v>Within Tolerance</v>
      </c>
    </row>
    <row r="546" spans="1:15" x14ac:dyDescent="0.3">
      <c r="A546" s="166">
        <v>46165</v>
      </c>
      <c r="B546" s="61">
        <v>46165.166666666701</v>
      </c>
      <c r="C546" s="138">
        <f t="shared" si="56"/>
        <v>46165.166666666701</v>
      </c>
      <c r="D546" s="19" t="s">
        <v>35</v>
      </c>
      <c r="E546" s="8" t="s">
        <v>14</v>
      </c>
      <c r="F546" s="7" t="s">
        <v>11</v>
      </c>
      <c r="G546" s="25" t="s">
        <v>93</v>
      </c>
      <c r="H546" s="107">
        <v>14.1</v>
      </c>
      <c r="I546" s="111">
        <v>14.2</v>
      </c>
      <c r="J546" s="11" t="str">
        <f t="shared" si="57"/>
        <v/>
      </c>
      <c r="K546" s="12" t="str">
        <f t="shared" si="58"/>
        <v/>
      </c>
      <c r="L546" s="125">
        <f t="shared" si="59"/>
        <v>9.9999999999999645E-2</v>
      </c>
      <c r="M546" s="47" t="str">
        <f t="shared" si="60"/>
        <v/>
      </c>
      <c r="N546" s="47" t="str">
        <f t="shared" si="61"/>
        <v/>
      </c>
      <c r="O546" s="47" t="str">
        <f t="shared" si="62"/>
        <v>Within Tolerance</v>
      </c>
    </row>
    <row r="547" spans="1:15" x14ac:dyDescent="0.3">
      <c r="A547" s="167">
        <v>46165</v>
      </c>
      <c r="B547" s="61">
        <v>46165.208333333299</v>
      </c>
      <c r="C547" s="138">
        <f t="shared" si="56"/>
        <v>46165.208333333299</v>
      </c>
      <c r="D547" s="19" t="s">
        <v>35</v>
      </c>
      <c r="E547" s="8" t="s">
        <v>14</v>
      </c>
      <c r="F547" s="7" t="s">
        <v>11</v>
      </c>
      <c r="G547" s="25" t="s">
        <v>93</v>
      </c>
      <c r="H547" s="107">
        <v>14.1</v>
      </c>
      <c r="I547" s="111">
        <v>14.1</v>
      </c>
      <c r="J547" s="11" t="str">
        <f t="shared" si="57"/>
        <v/>
      </c>
      <c r="K547" s="12" t="str">
        <f t="shared" si="58"/>
        <v/>
      </c>
      <c r="L547" s="125">
        <f t="shared" si="59"/>
        <v>0</v>
      </c>
      <c r="M547" s="47" t="str">
        <f t="shared" si="60"/>
        <v/>
      </c>
      <c r="N547" s="47" t="str">
        <f t="shared" si="61"/>
        <v/>
      </c>
      <c r="O547" s="47" t="str">
        <f t="shared" si="62"/>
        <v>Within Tolerance</v>
      </c>
    </row>
    <row r="548" spans="1:15" x14ac:dyDescent="0.3">
      <c r="A548" s="166">
        <v>46165</v>
      </c>
      <c r="B548" s="61">
        <v>46165.25</v>
      </c>
      <c r="C548" s="138">
        <f t="shared" si="56"/>
        <v>46165.25</v>
      </c>
      <c r="D548" s="19" t="s">
        <v>35</v>
      </c>
      <c r="E548" s="8" t="s">
        <v>14</v>
      </c>
      <c r="F548" s="7" t="s">
        <v>11</v>
      </c>
      <c r="G548" s="25" t="s">
        <v>93</v>
      </c>
      <c r="H548" s="107">
        <v>14.1</v>
      </c>
      <c r="I548" s="111">
        <v>14.3</v>
      </c>
      <c r="J548" s="11" t="str">
        <f t="shared" si="57"/>
        <v/>
      </c>
      <c r="K548" s="12" t="str">
        <f t="shared" si="58"/>
        <v/>
      </c>
      <c r="L548" s="125">
        <f t="shared" si="59"/>
        <v>0.20000000000000107</v>
      </c>
      <c r="M548" s="47" t="str">
        <f t="shared" si="60"/>
        <v/>
      </c>
      <c r="N548" s="47" t="str">
        <f t="shared" si="61"/>
        <v/>
      </c>
      <c r="O548" s="47" t="str">
        <f t="shared" si="62"/>
        <v>Out of Tolerance</v>
      </c>
    </row>
    <row r="549" spans="1:15" x14ac:dyDescent="0.3">
      <c r="A549" s="167">
        <v>46165</v>
      </c>
      <c r="B549" s="61">
        <v>46165.291666666701</v>
      </c>
      <c r="C549" s="138">
        <f t="shared" si="56"/>
        <v>46165.291666666701</v>
      </c>
      <c r="D549" s="19" t="s">
        <v>35</v>
      </c>
      <c r="E549" s="8" t="s">
        <v>14</v>
      </c>
      <c r="F549" s="7" t="s">
        <v>11</v>
      </c>
      <c r="G549" s="25" t="s">
        <v>93</v>
      </c>
      <c r="H549" s="107">
        <v>14.2</v>
      </c>
      <c r="I549" s="111"/>
      <c r="J549" s="11" t="str">
        <f t="shared" si="57"/>
        <v/>
      </c>
      <c r="K549" s="12" t="str">
        <f t="shared" si="58"/>
        <v/>
      </c>
      <c r="L549" s="125" t="str">
        <f t="shared" si="59"/>
        <v/>
      </c>
      <c r="M549" s="47" t="str">
        <f t="shared" si="60"/>
        <v/>
      </c>
      <c r="N549" s="47" t="str">
        <f t="shared" si="61"/>
        <v/>
      </c>
      <c r="O549" s="47" t="str">
        <f t="shared" si="62"/>
        <v/>
      </c>
    </row>
    <row r="550" spans="1:15" x14ac:dyDescent="0.3">
      <c r="A550" s="166">
        <v>46164</v>
      </c>
      <c r="B550" s="61">
        <v>46164.333333333299</v>
      </c>
      <c r="C550" s="138">
        <f t="shared" si="56"/>
        <v>46164.333333333299</v>
      </c>
      <c r="D550" s="19" t="s">
        <v>29</v>
      </c>
      <c r="E550" s="8" t="s">
        <v>10</v>
      </c>
      <c r="F550" s="7" t="s">
        <v>15</v>
      </c>
      <c r="G550" s="25">
        <v>13.99</v>
      </c>
      <c r="H550" s="107">
        <v>14.2</v>
      </c>
      <c r="I550" s="111">
        <v>14.2</v>
      </c>
      <c r="J550" s="11">
        <f t="shared" si="57"/>
        <v>0.20999999999999908</v>
      </c>
      <c r="K550" s="12">
        <f t="shared" si="58"/>
        <v>0.20999999999999908</v>
      </c>
      <c r="L550" s="125">
        <f t="shared" si="59"/>
        <v>0</v>
      </c>
      <c r="M550" s="47" t="str">
        <f t="shared" si="60"/>
        <v>Out of Tolerance</v>
      </c>
      <c r="N550" s="47" t="str">
        <f t="shared" si="61"/>
        <v>Out of Tolerance</v>
      </c>
      <c r="O550" s="47" t="str">
        <f t="shared" si="62"/>
        <v>Within Tolerance</v>
      </c>
    </row>
    <row r="551" spans="1:15" x14ac:dyDescent="0.3">
      <c r="A551" s="167">
        <v>46164</v>
      </c>
      <c r="B551" s="61">
        <v>46164.388888888898</v>
      </c>
      <c r="C551" s="138">
        <f t="shared" si="56"/>
        <v>46164.388888888898</v>
      </c>
      <c r="D551" s="19" t="s">
        <v>29</v>
      </c>
      <c r="E551" s="8" t="s">
        <v>10</v>
      </c>
      <c r="F551" s="7" t="s">
        <v>15</v>
      </c>
      <c r="G551" s="25" t="s">
        <v>93</v>
      </c>
      <c r="H551" s="107">
        <v>14.1</v>
      </c>
      <c r="I551" s="111">
        <v>14.1</v>
      </c>
      <c r="J551" s="11" t="str">
        <f t="shared" si="57"/>
        <v/>
      </c>
      <c r="K551" s="12" t="str">
        <f t="shared" si="58"/>
        <v/>
      </c>
      <c r="L551" s="125">
        <f t="shared" si="59"/>
        <v>0</v>
      </c>
      <c r="M551" s="47" t="str">
        <f t="shared" si="60"/>
        <v/>
      </c>
      <c r="N551" s="47" t="str">
        <f t="shared" si="61"/>
        <v/>
      </c>
      <c r="O551" s="47" t="str">
        <f t="shared" si="62"/>
        <v>Within Tolerance</v>
      </c>
    </row>
    <row r="552" spans="1:15" x14ac:dyDescent="0.3">
      <c r="A552" s="166">
        <v>46164</v>
      </c>
      <c r="B552" s="61">
        <v>46164.447916666701</v>
      </c>
      <c r="C552" s="138">
        <f t="shared" si="56"/>
        <v>46164.447916666701</v>
      </c>
      <c r="D552" s="19" t="s">
        <v>29</v>
      </c>
      <c r="E552" s="8" t="s">
        <v>10</v>
      </c>
      <c r="F552" s="7" t="s">
        <v>15</v>
      </c>
      <c r="G552" s="25" t="s">
        <v>93</v>
      </c>
      <c r="H552" s="107">
        <v>14.1</v>
      </c>
      <c r="I552" s="111"/>
      <c r="J552" s="11" t="str">
        <f t="shared" si="57"/>
        <v/>
      </c>
      <c r="K552" s="12" t="str">
        <f t="shared" si="58"/>
        <v/>
      </c>
      <c r="L552" s="125" t="str">
        <f t="shared" si="59"/>
        <v/>
      </c>
      <c r="M552" s="47" t="str">
        <f t="shared" si="60"/>
        <v/>
      </c>
      <c r="N552" s="47" t="str">
        <f t="shared" si="61"/>
        <v/>
      </c>
      <c r="O552" s="47" t="str">
        <f t="shared" si="62"/>
        <v/>
      </c>
    </row>
    <row r="553" spans="1:15" x14ac:dyDescent="0.3">
      <c r="A553" s="167">
        <v>46164</v>
      </c>
      <c r="B553" s="61">
        <v>46164.5</v>
      </c>
      <c r="C553" s="138">
        <f t="shared" si="56"/>
        <v>46164.5</v>
      </c>
      <c r="D553" s="19" t="s">
        <v>29</v>
      </c>
      <c r="E553" s="8" t="s">
        <v>10</v>
      </c>
      <c r="F553" s="7" t="s">
        <v>15</v>
      </c>
      <c r="G553" s="25" t="s">
        <v>93</v>
      </c>
      <c r="H553" s="107">
        <v>14</v>
      </c>
      <c r="I553" s="111">
        <v>14</v>
      </c>
      <c r="J553" s="11" t="str">
        <f t="shared" si="57"/>
        <v/>
      </c>
      <c r="K553" s="12" t="str">
        <f t="shared" si="58"/>
        <v/>
      </c>
      <c r="L553" s="125">
        <f t="shared" si="59"/>
        <v>0</v>
      </c>
      <c r="M553" s="47" t="str">
        <f t="shared" si="60"/>
        <v/>
      </c>
      <c r="N553" s="47" t="str">
        <f t="shared" si="61"/>
        <v/>
      </c>
      <c r="O553" s="47" t="str">
        <f t="shared" si="62"/>
        <v>Within Tolerance</v>
      </c>
    </row>
    <row r="554" spans="1:15" x14ac:dyDescent="0.3">
      <c r="A554" s="166">
        <v>46164</v>
      </c>
      <c r="B554" s="61">
        <v>46164.583333333299</v>
      </c>
      <c r="C554" s="138">
        <f t="shared" si="56"/>
        <v>46164.583333333299</v>
      </c>
      <c r="D554" s="19" t="s">
        <v>29</v>
      </c>
      <c r="E554" s="8" t="s">
        <v>10</v>
      </c>
      <c r="F554" s="7" t="s">
        <v>15</v>
      </c>
      <c r="G554" s="25" t="s">
        <v>93</v>
      </c>
      <c r="H554" s="107">
        <v>14.1</v>
      </c>
      <c r="I554" s="111">
        <v>14.2</v>
      </c>
      <c r="J554" s="11" t="str">
        <f t="shared" si="57"/>
        <v/>
      </c>
      <c r="K554" s="12" t="str">
        <f t="shared" si="58"/>
        <v/>
      </c>
      <c r="L554" s="125">
        <f t="shared" si="59"/>
        <v>9.9999999999999645E-2</v>
      </c>
      <c r="M554" s="47" t="str">
        <f t="shared" si="60"/>
        <v/>
      </c>
      <c r="N554" s="47" t="str">
        <f t="shared" si="61"/>
        <v/>
      </c>
      <c r="O554" s="47" t="str">
        <f t="shared" si="62"/>
        <v>Within Tolerance</v>
      </c>
    </row>
    <row r="555" spans="1:15" x14ac:dyDescent="0.3">
      <c r="A555" s="167">
        <v>46164</v>
      </c>
      <c r="B555" s="61">
        <v>46164.666666666701</v>
      </c>
      <c r="C555" s="138">
        <f t="shared" si="56"/>
        <v>46164.666666666701</v>
      </c>
      <c r="D555" s="19" t="s">
        <v>29</v>
      </c>
      <c r="E555" s="8" t="s">
        <v>10</v>
      </c>
      <c r="F555" s="7" t="s">
        <v>15</v>
      </c>
      <c r="G555" s="25" t="s">
        <v>93</v>
      </c>
      <c r="H555" s="107">
        <v>14.2</v>
      </c>
      <c r="I555" s="111">
        <v>14.4</v>
      </c>
      <c r="J555" s="11" t="str">
        <f t="shared" si="57"/>
        <v/>
      </c>
      <c r="K555" s="12" t="str">
        <f t="shared" si="58"/>
        <v/>
      </c>
      <c r="L555" s="125">
        <f t="shared" si="59"/>
        <v>0.20000000000000107</v>
      </c>
      <c r="M555" s="47" t="str">
        <f t="shared" si="60"/>
        <v/>
      </c>
      <c r="N555" s="47" t="str">
        <f t="shared" si="61"/>
        <v/>
      </c>
      <c r="O555" s="47" t="str">
        <f t="shared" si="62"/>
        <v>Out of Tolerance</v>
      </c>
    </row>
    <row r="556" spans="1:15" x14ac:dyDescent="0.3">
      <c r="A556" s="166">
        <v>46164</v>
      </c>
      <c r="B556" s="61">
        <v>46164.75</v>
      </c>
      <c r="C556" s="138">
        <f t="shared" si="56"/>
        <v>46164.75</v>
      </c>
      <c r="D556" s="19" t="s">
        <v>29</v>
      </c>
      <c r="E556" s="8" t="s">
        <v>10</v>
      </c>
      <c r="F556" s="7" t="s">
        <v>15</v>
      </c>
      <c r="G556" s="25" t="s">
        <v>93</v>
      </c>
      <c r="H556" s="107">
        <v>14.2</v>
      </c>
      <c r="I556" s="111">
        <v>14.3</v>
      </c>
      <c r="J556" s="11" t="str">
        <f t="shared" si="57"/>
        <v/>
      </c>
      <c r="K556" s="12" t="str">
        <f t="shared" si="58"/>
        <v/>
      </c>
      <c r="L556" s="125">
        <f t="shared" si="59"/>
        <v>0.10000000000000142</v>
      </c>
      <c r="M556" s="47" t="str">
        <f t="shared" si="60"/>
        <v/>
      </c>
      <c r="N556" s="47" t="str">
        <f t="shared" si="61"/>
        <v/>
      </c>
      <c r="O556" s="47" t="str">
        <f t="shared" si="62"/>
        <v>Within Tolerance</v>
      </c>
    </row>
    <row r="557" spans="1:15" x14ac:dyDescent="0.3">
      <c r="A557" s="167">
        <v>46164</v>
      </c>
      <c r="B557" s="61">
        <v>46164.864583333299</v>
      </c>
      <c r="C557" s="138">
        <f t="shared" si="56"/>
        <v>46164.864583333299</v>
      </c>
      <c r="D557" s="19" t="s">
        <v>29</v>
      </c>
      <c r="E557" s="8" t="s">
        <v>10</v>
      </c>
      <c r="F557" s="7" t="s">
        <v>15</v>
      </c>
      <c r="G557" s="25" t="s">
        <v>93</v>
      </c>
      <c r="H557" s="107">
        <v>14.2</v>
      </c>
      <c r="I557" s="111">
        <v>14.3</v>
      </c>
      <c r="J557" s="11" t="str">
        <f t="shared" si="57"/>
        <v/>
      </c>
      <c r="K557" s="12" t="str">
        <f t="shared" si="58"/>
        <v/>
      </c>
      <c r="L557" s="125">
        <f t="shared" si="59"/>
        <v>0.10000000000000142</v>
      </c>
      <c r="M557" s="47" t="str">
        <f t="shared" si="60"/>
        <v/>
      </c>
      <c r="N557" s="47" t="str">
        <f t="shared" si="61"/>
        <v/>
      </c>
      <c r="O557" s="47" t="str">
        <f t="shared" si="62"/>
        <v>Within Tolerance</v>
      </c>
    </row>
    <row r="558" spans="1:15" x14ac:dyDescent="0.3">
      <c r="A558" s="166">
        <v>46164</v>
      </c>
      <c r="B558" s="61">
        <v>46164.895833333299</v>
      </c>
      <c r="C558" s="138">
        <f t="shared" si="56"/>
        <v>46164.895833333299</v>
      </c>
      <c r="D558" s="19" t="s">
        <v>29</v>
      </c>
      <c r="E558" s="8" t="s">
        <v>10</v>
      </c>
      <c r="F558" s="7" t="s">
        <v>15</v>
      </c>
      <c r="G558" s="25" t="s">
        <v>93</v>
      </c>
      <c r="H558" s="107">
        <v>14.3</v>
      </c>
      <c r="I558" s="111">
        <v>14.3</v>
      </c>
      <c r="J558" s="11" t="str">
        <f t="shared" si="57"/>
        <v/>
      </c>
      <c r="K558" s="12" t="str">
        <f t="shared" si="58"/>
        <v/>
      </c>
      <c r="L558" s="125">
        <f t="shared" si="59"/>
        <v>0</v>
      </c>
      <c r="M558" s="47" t="str">
        <f t="shared" si="60"/>
        <v/>
      </c>
      <c r="N558" s="47" t="str">
        <f t="shared" si="61"/>
        <v/>
      </c>
      <c r="O558" s="47" t="str">
        <f t="shared" si="62"/>
        <v>Within Tolerance</v>
      </c>
    </row>
    <row r="559" spans="1:15" x14ac:dyDescent="0.3">
      <c r="A559" s="167">
        <v>46164</v>
      </c>
      <c r="B559" s="61">
        <v>46164.9375</v>
      </c>
      <c r="C559" s="138">
        <f t="shared" si="56"/>
        <v>46164.9375</v>
      </c>
      <c r="D559" s="19" t="s">
        <v>29</v>
      </c>
      <c r="E559" s="8" t="s">
        <v>10</v>
      </c>
      <c r="F559" s="7" t="s">
        <v>15</v>
      </c>
      <c r="G559" s="25" t="s">
        <v>93</v>
      </c>
      <c r="H559" s="107">
        <v>14.3</v>
      </c>
      <c r="I559" s="111"/>
      <c r="J559" s="11" t="str">
        <f t="shared" si="57"/>
        <v/>
      </c>
      <c r="K559" s="12" t="str">
        <f t="shared" si="58"/>
        <v/>
      </c>
      <c r="L559" s="125" t="str">
        <f t="shared" si="59"/>
        <v/>
      </c>
      <c r="M559" s="47" t="str">
        <f t="shared" si="60"/>
        <v/>
      </c>
      <c r="N559" s="47" t="str">
        <f t="shared" si="61"/>
        <v/>
      </c>
      <c r="O559" s="47" t="str">
        <f t="shared" si="62"/>
        <v/>
      </c>
    </row>
    <row r="560" spans="1:15" x14ac:dyDescent="0.3">
      <c r="A560" s="166">
        <v>46164</v>
      </c>
      <c r="B560" s="61">
        <v>46165</v>
      </c>
      <c r="C560" s="138">
        <f t="shared" si="56"/>
        <v>46164</v>
      </c>
      <c r="D560" s="19" t="s">
        <v>29</v>
      </c>
      <c r="E560" s="8" t="s">
        <v>10</v>
      </c>
      <c r="F560" s="7" t="s">
        <v>15</v>
      </c>
      <c r="G560" s="25" t="s">
        <v>93</v>
      </c>
      <c r="H560" s="107">
        <v>14.2</v>
      </c>
      <c r="I560" s="111">
        <v>14.2</v>
      </c>
      <c r="J560" s="11" t="str">
        <f t="shared" si="57"/>
        <v/>
      </c>
      <c r="K560" s="12" t="str">
        <f t="shared" si="58"/>
        <v/>
      </c>
      <c r="L560" s="125">
        <f t="shared" si="59"/>
        <v>0</v>
      </c>
      <c r="M560" s="47" t="str">
        <f t="shared" si="60"/>
        <v/>
      </c>
      <c r="N560" s="47" t="str">
        <f t="shared" si="61"/>
        <v/>
      </c>
      <c r="O560" s="47" t="str">
        <f t="shared" si="62"/>
        <v>Within Tolerance</v>
      </c>
    </row>
    <row r="561" spans="1:15" s="9" customFormat="1" x14ac:dyDescent="0.3">
      <c r="A561" s="167">
        <v>46165</v>
      </c>
      <c r="B561" s="61">
        <v>46165.083333333299</v>
      </c>
      <c r="C561" s="138">
        <f t="shared" si="56"/>
        <v>46165.083333333299</v>
      </c>
      <c r="D561" s="19" t="s">
        <v>29</v>
      </c>
      <c r="E561" s="8" t="s">
        <v>10</v>
      </c>
      <c r="F561" s="7" t="s">
        <v>15</v>
      </c>
      <c r="G561" s="25" t="s">
        <v>93</v>
      </c>
      <c r="H561" s="107">
        <v>14.2</v>
      </c>
      <c r="I561" s="111">
        <v>14.2</v>
      </c>
      <c r="J561" s="11" t="str">
        <f t="shared" si="57"/>
        <v/>
      </c>
      <c r="K561" s="12" t="str">
        <f t="shared" si="58"/>
        <v/>
      </c>
      <c r="L561" s="125">
        <f t="shared" si="59"/>
        <v>0</v>
      </c>
      <c r="M561" s="47" t="str">
        <f t="shared" si="60"/>
        <v/>
      </c>
      <c r="N561" s="47" t="str">
        <f t="shared" si="61"/>
        <v/>
      </c>
      <c r="O561" s="47" t="str">
        <f t="shared" si="62"/>
        <v>Within Tolerance</v>
      </c>
    </row>
    <row r="562" spans="1:15" s="9" customFormat="1" x14ac:dyDescent="0.3">
      <c r="A562" s="166">
        <v>46165</v>
      </c>
      <c r="B562" s="61">
        <v>46165.194444444402</v>
      </c>
      <c r="C562" s="138">
        <f t="shared" si="56"/>
        <v>46165.194444444402</v>
      </c>
      <c r="D562" s="19" t="s">
        <v>40</v>
      </c>
      <c r="E562" s="8" t="s">
        <v>17</v>
      </c>
      <c r="F562" s="7" t="s">
        <v>15</v>
      </c>
      <c r="G562" s="25" t="s">
        <v>93</v>
      </c>
      <c r="H562" s="107">
        <v>14.4</v>
      </c>
      <c r="I562" s="111">
        <v>14.2</v>
      </c>
      <c r="J562" s="11" t="str">
        <f t="shared" si="57"/>
        <v/>
      </c>
      <c r="K562" s="12" t="str">
        <f t="shared" si="58"/>
        <v/>
      </c>
      <c r="L562" s="125">
        <f t="shared" si="59"/>
        <v>-0.20000000000000107</v>
      </c>
      <c r="M562" s="47" t="str">
        <f t="shared" si="60"/>
        <v/>
      </c>
      <c r="N562" s="47" t="str">
        <f t="shared" si="61"/>
        <v/>
      </c>
      <c r="O562" s="47" t="str">
        <f t="shared" si="62"/>
        <v>Out of Tolerance</v>
      </c>
    </row>
    <row r="563" spans="1:15" s="9" customFormat="1" x14ac:dyDescent="0.3">
      <c r="A563" s="167">
        <v>46165</v>
      </c>
      <c r="B563" s="61">
        <v>46165.21875</v>
      </c>
      <c r="C563" s="138">
        <f t="shared" si="56"/>
        <v>46165.21875</v>
      </c>
      <c r="D563" s="19" t="s">
        <v>40</v>
      </c>
      <c r="E563" s="8" t="s">
        <v>17</v>
      </c>
      <c r="F563" s="7" t="s">
        <v>15</v>
      </c>
      <c r="G563" s="25" t="s">
        <v>93</v>
      </c>
      <c r="H563" s="107">
        <v>14.2</v>
      </c>
      <c r="I563" s="111"/>
      <c r="J563" s="11" t="str">
        <f t="shared" si="57"/>
        <v/>
      </c>
      <c r="K563" s="12" t="str">
        <f t="shared" si="58"/>
        <v/>
      </c>
      <c r="L563" s="125" t="str">
        <f t="shared" si="59"/>
        <v/>
      </c>
      <c r="M563" s="47" t="str">
        <f t="shared" si="60"/>
        <v/>
      </c>
      <c r="N563" s="47" t="str">
        <f t="shared" si="61"/>
        <v/>
      </c>
      <c r="O563" s="47" t="str">
        <f t="shared" si="62"/>
        <v/>
      </c>
    </row>
    <row r="564" spans="1:15" s="9" customFormat="1" x14ac:dyDescent="0.3">
      <c r="A564" s="166">
        <v>46164</v>
      </c>
      <c r="B564" s="78">
        <v>46164.465277777803</v>
      </c>
      <c r="C564" s="158">
        <f t="shared" si="56"/>
        <v>46164.465277777803</v>
      </c>
      <c r="D564" s="19" t="s">
        <v>20</v>
      </c>
      <c r="E564" s="8" t="s">
        <v>14</v>
      </c>
      <c r="F564" s="15" t="s">
        <v>19</v>
      </c>
      <c r="G564" s="16"/>
      <c r="H564" s="107">
        <v>13.9</v>
      </c>
      <c r="I564" s="111">
        <v>13.9</v>
      </c>
      <c r="J564" s="11" t="str">
        <f t="shared" si="57"/>
        <v/>
      </c>
      <c r="K564" s="12" t="str">
        <f t="shared" si="58"/>
        <v/>
      </c>
      <c r="L564" s="125">
        <f t="shared" si="59"/>
        <v>0</v>
      </c>
      <c r="M564" s="47" t="str">
        <f t="shared" si="60"/>
        <v/>
      </c>
      <c r="N564" s="47" t="str">
        <f t="shared" si="61"/>
        <v/>
      </c>
      <c r="O564" s="47" t="str">
        <f t="shared" si="62"/>
        <v>Within Tolerance</v>
      </c>
    </row>
    <row r="565" spans="1:15" s="9" customFormat="1" x14ac:dyDescent="0.3">
      <c r="A565" s="167">
        <v>46164</v>
      </c>
      <c r="B565" s="79">
        <v>46164.5625</v>
      </c>
      <c r="C565" s="157">
        <f t="shared" si="56"/>
        <v>46164.5625</v>
      </c>
      <c r="D565" s="19" t="s">
        <v>46</v>
      </c>
      <c r="E565" s="8" t="s">
        <v>14</v>
      </c>
      <c r="F565" s="15" t="s">
        <v>19</v>
      </c>
      <c r="G565" s="16"/>
      <c r="H565" s="107">
        <v>13.7</v>
      </c>
      <c r="I565" s="111">
        <v>13.8</v>
      </c>
      <c r="J565" s="11" t="str">
        <f t="shared" si="57"/>
        <v/>
      </c>
      <c r="K565" s="12" t="str">
        <f t="shared" si="58"/>
        <v/>
      </c>
      <c r="L565" s="125">
        <f t="shared" si="59"/>
        <v>0.10000000000000142</v>
      </c>
      <c r="M565" s="47" t="str">
        <f t="shared" si="60"/>
        <v/>
      </c>
      <c r="N565" s="47" t="str">
        <f t="shared" si="61"/>
        <v/>
      </c>
      <c r="O565" s="47" t="str">
        <f t="shared" si="62"/>
        <v>Within Tolerance</v>
      </c>
    </row>
    <row r="566" spans="1:15" s="9" customFormat="1" x14ac:dyDescent="0.3">
      <c r="A566" s="166">
        <v>46164</v>
      </c>
      <c r="B566" s="79">
        <v>46164.595833333296</v>
      </c>
      <c r="C566" s="157">
        <f t="shared" si="56"/>
        <v>46164.595833333296</v>
      </c>
      <c r="D566" s="19" t="s">
        <v>21</v>
      </c>
      <c r="E566" s="8" t="s">
        <v>10</v>
      </c>
      <c r="F566" s="15" t="s">
        <v>19</v>
      </c>
      <c r="G566" s="25" t="s">
        <v>93</v>
      </c>
      <c r="H566" s="107">
        <v>13.9</v>
      </c>
      <c r="I566" s="111">
        <v>13.9</v>
      </c>
      <c r="J566" s="11" t="str">
        <f t="shared" si="57"/>
        <v/>
      </c>
      <c r="K566" s="12" t="str">
        <f t="shared" si="58"/>
        <v/>
      </c>
      <c r="L566" s="125">
        <f t="shared" si="59"/>
        <v>0</v>
      </c>
      <c r="M566" s="47" t="str">
        <f t="shared" si="60"/>
        <v/>
      </c>
      <c r="N566" s="47" t="str">
        <f t="shared" si="61"/>
        <v/>
      </c>
      <c r="O566" s="47" t="str">
        <f t="shared" si="62"/>
        <v>Within Tolerance</v>
      </c>
    </row>
    <row r="567" spans="1:15" s="9" customFormat="1" x14ac:dyDescent="0.3">
      <c r="A567" s="167">
        <v>46164</v>
      </c>
      <c r="B567" s="79">
        <v>46164.677083333299</v>
      </c>
      <c r="C567" s="157">
        <f t="shared" si="56"/>
        <v>46164.677083333299</v>
      </c>
      <c r="D567" s="19" t="s">
        <v>18</v>
      </c>
      <c r="E567" s="8" t="s">
        <v>14</v>
      </c>
      <c r="F567" s="15" t="s">
        <v>19</v>
      </c>
      <c r="G567" s="16"/>
      <c r="H567" s="107">
        <v>13.4</v>
      </c>
      <c r="I567" s="111">
        <v>13.1</v>
      </c>
      <c r="J567" s="11" t="str">
        <f t="shared" si="57"/>
        <v/>
      </c>
      <c r="K567" s="12" t="str">
        <f t="shared" si="58"/>
        <v/>
      </c>
      <c r="L567" s="125">
        <f t="shared" si="59"/>
        <v>-0.30000000000000071</v>
      </c>
      <c r="M567" s="47" t="str">
        <f t="shared" si="60"/>
        <v/>
      </c>
      <c r="N567" s="47" t="str">
        <f t="shared" si="61"/>
        <v/>
      </c>
      <c r="O567" s="47" t="str">
        <f t="shared" si="62"/>
        <v>Out of Tolerance</v>
      </c>
    </row>
    <row r="568" spans="1:15" s="9" customFormat="1" x14ac:dyDescent="0.3">
      <c r="A568" s="166">
        <v>46164</v>
      </c>
      <c r="B568" s="79">
        <v>46164.972222222197</v>
      </c>
      <c r="C568" s="157">
        <f t="shared" si="56"/>
        <v>46164.972222222197</v>
      </c>
      <c r="D568" s="19" t="s">
        <v>55</v>
      </c>
      <c r="E568" s="8" t="s">
        <v>14</v>
      </c>
      <c r="F568" s="15" t="s">
        <v>19</v>
      </c>
      <c r="G568" s="16"/>
      <c r="H568" s="107">
        <v>13.7</v>
      </c>
      <c r="I568" s="111">
        <v>13.7</v>
      </c>
      <c r="J568" s="11" t="str">
        <f t="shared" si="57"/>
        <v/>
      </c>
      <c r="K568" s="12" t="str">
        <f t="shared" si="58"/>
        <v/>
      </c>
      <c r="L568" s="125">
        <f t="shared" si="59"/>
        <v>0</v>
      </c>
      <c r="M568" s="47" t="str">
        <f t="shared" si="60"/>
        <v/>
      </c>
      <c r="N568" s="47" t="str">
        <f t="shared" si="61"/>
        <v/>
      </c>
      <c r="O568" s="47" t="str">
        <f t="shared" si="62"/>
        <v>Within Tolerance</v>
      </c>
    </row>
    <row r="569" spans="1:15" s="9" customFormat="1" x14ac:dyDescent="0.3">
      <c r="A569" s="167">
        <v>46164</v>
      </c>
      <c r="B569" s="70">
        <v>46165.076388888898</v>
      </c>
      <c r="C569" s="159">
        <f t="shared" si="56"/>
        <v>46164.076388888898</v>
      </c>
      <c r="D569" s="19" t="s">
        <v>30</v>
      </c>
      <c r="E569" s="8" t="s">
        <v>14</v>
      </c>
      <c r="F569" s="15" t="s">
        <v>19</v>
      </c>
      <c r="G569" s="16"/>
      <c r="H569" s="107">
        <v>13.7</v>
      </c>
      <c r="I569" s="111">
        <v>13.8</v>
      </c>
      <c r="J569" s="11" t="str">
        <f t="shared" si="57"/>
        <v/>
      </c>
      <c r="K569" s="12" t="str">
        <f t="shared" si="58"/>
        <v/>
      </c>
      <c r="L569" s="125">
        <f t="shared" si="59"/>
        <v>0.10000000000000142</v>
      </c>
      <c r="M569" s="47" t="str">
        <f t="shared" si="60"/>
        <v/>
      </c>
      <c r="N569" s="47" t="str">
        <f t="shared" si="61"/>
        <v/>
      </c>
      <c r="O569" s="47" t="str">
        <f t="shared" si="62"/>
        <v>Within Tolerance</v>
      </c>
    </row>
    <row r="570" spans="1:15" s="9" customFormat="1" x14ac:dyDescent="0.3">
      <c r="A570" s="166">
        <v>46164</v>
      </c>
      <c r="B570" s="78">
        <v>46164.458333333299</v>
      </c>
      <c r="C570" s="158">
        <f t="shared" si="56"/>
        <v>46164.458333333299</v>
      </c>
      <c r="D570" s="19" t="s">
        <v>51</v>
      </c>
      <c r="E570" s="8" t="s">
        <v>10</v>
      </c>
      <c r="F570" s="7" t="s">
        <v>24</v>
      </c>
      <c r="G570" s="25" t="s">
        <v>93</v>
      </c>
      <c r="H570" s="107">
        <v>13.7</v>
      </c>
      <c r="I570" s="111">
        <v>13.6</v>
      </c>
      <c r="J570" s="11" t="str">
        <f t="shared" si="57"/>
        <v/>
      </c>
      <c r="K570" s="12" t="str">
        <f t="shared" si="58"/>
        <v/>
      </c>
      <c r="L570" s="125">
        <f t="shared" si="59"/>
        <v>-9.9999999999999645E-2</v>
      </c>
      <c r="M570" s="47" t="str">
        <f t="shared" si="60"/>
        <v/>
      </c>
      <c r="N570" s="47" t="str">
        <f t="shared" si="61"/>
        <v/>
      </c>
      <c r="O570" s="47" t="str">
        <f t="shared" si="62"/>
        <v>Within Tolerance</v>
      </c>
    </row>
    <row r="571" spans="1:15" s="9" customFormat="1" x14ac:dyDescent="0.3">
      <c r="A571" s="167">
        <v>46164</v>
      </c>
      <c r="B571" s="70">
        <v>46164.489583333299</v>
      </c>
      <c r="C571" s="159">
        <f t="shared" si="56"/>
        <v>46164.489583333299</v>
      </c>
      <c r="D571" s="19" t="s">
        <v>50</v>
      </c>
      <c r="E571" s="8" t="s">
        <v>10</v>
      </c>
      <c r="F571" s="7" t="s">
        <v>24</v>
      </c>
      <c r="G571" s="25" t="s">
        <v>93</v>
      </c>
      <c r="H571" s="107">
        <v>13.7</v>
      </c>
      <c r="I571" s="111">
        <v>13.7</v>
      </c>
      <c r="J571" s="11" t="str">
        <f t="shared" si="57"/>
        <v/>
      </c>
      <c r="K571" s="12" t="str">
        <f t="shared" si="58"/>
        <v/>
      </c>
      <c r="L571" s="125">
        <f t="shared" si="59"/>
        <v>0</v>
      </c>
      <c r="M571" s="47" t="str">
        <f t="shared" si="60"/>
        <v/>
      </c>
      <c r="N571" s="47" t="str">
        <f t="shared" si="61"/>
        <v/>
      </c>
      <c r="O571" s="47" t="str">
        <f t="shared" si="62"/>
        <v>Within Tolerance</v>
      </c>
    </row>
    <row r="572" spans="1:15" s="9" customFormat="1" x14ac:dyDescent="0.3">
      <c r="A572" s="166">
        <v>46165</v>
      </c>
      <c r="B572" s="61">
        <v>46165.333333333299</v>
      </c>
      <c r="C572" s="138">
        <f t="shared" si="56"/>
        <v>46165.333333333299</v>
      </c>
      <c r="D572" s="19" t="s">
        <v>35</v>
      </c>
      <c r="E572" s="8" t="s">
        <v>14</v>
      </c>
      <c r="F572" s="7" t="s">
        <v>11</v>
      </c>
      <c r="G572" s="25">
        <v>13.98</v>
      </c>
      <c r="H572" s="107">
        <v>14.1</v>
      </c>
      <c r="I572" s="111">
        <v>14.2</v>
      </c>
      <c r="J572" s="11">
        <f t="shared" si="57"/>
        <v>0.11999999999999922</v>
      </c>
      <c r="K572" s="12">
        <f t="shared" si="58"/>
        <v>0.21999999999999886</v>
      </c>
      <c r="L572" s="125">
        <f t="shared" si="59"/>
        <v>9.9999999999999645E-2</v>
      </c>
      <c r="M572" s="47" t="str">
        <f t="shared" si="60"/>
        <v>Within Tolerance</v>
      </c>
      <c r="N572" s="47" t="str">
        <f t="shared" si="61"/>
        <v>Out of Tolerance</v>
      </c>
      <c r="O572" s="47" t="str">
        <f t="shared" si="62"/>
        <v>Within Tolerance</v>
      </c>
    </row>
    <row r="573" spans="1:15" s="9" customFormat="1" x14ac:dyDescent="0.3">
      <c r="A573" s="167">
        <v>46165</v>
      </c>
      <c r="B573" s="61">
        <v>46165.378472222197</v>
      </c>
      <c r="C573" s="138">
        <f t="shared" si="56"/>
        <v>46165.378472222197</v>
      </c>
      <c r="D573" s="19" t="s">
        <v>42</v>
      </c>
      <c r="E573" s="8" t="s">
        <v>10</v>
      </c>
      <c r="F573" s="7" t="s">
        <v>11</v>
      </c>
      <c r="G573" s="25" t="s">
        <v>93</v>
      </c>
      <c r="H573" s="107">
        <v>14</v>
      </c>
      <c r="I573" s="111">
        <v>13.6</v>
      </c>
      <c r="J573" s="11" t="str">
        <f t="shared" si="57"/>
        <v/>
      </c>
      <c r="K573" s="12" t="str">
        <f t="shared" si="58"/>
        <v/>
      </c>
      <c r="L573" s="125">
        <f t="shared" si="59"/>
        <v>-0.40000000000000036</v>
      </c>
      <c r="M573" s="47" t="str">
        <f t="shared" si="60"/>
        <v/>
      </c>
      <c r="N573" s="47" t="str">
        <f t="shared" si="61"/>
        <v/>
      </c>
      <c r="O573" s="47" t="str">
        <f t="shared" si="62"/>
        <v>Out of Tolerance</v>
      </c>
    </row>
    <row r="574" spans="1:15" s="9" customFormat="1" x14ac:dyDescent="0.3">
      <c r="A574" s="166">
        <v>46165</v>
      </c>
      <c r="B574" s="61">
        <v>46165.458333333299</v>
      </c>
      <c r="C574" s="138">
        <f t="shared" si="56"/>
        <v>46165.458333333299</v>
      </c>
      <c r="D574" s="19" t="s">
        <v>42</v>
      </c>
      <c r="E574" s="8" t="s">
        <v>10</v>
      </c>
      <c r="F574" s="7" t="s">
        <v>11</v>
      </c>
      <c r="G574" s="25" t="s">
        <v>93</v>
      </c>
      <c r="H574" s="107">
        <v>14.1</v>
      </c>
      <c r="I574" s="111">
        <v>13.8</v>
      </c>
      <c r="J574" s="11" t="str">
        <f t="shared" si="57"/>
        <v/>
      </c>
      <c r="K574" s="12" t="str">
        <f t="shared" si="58"/>
        <v/>
      </c>
      <c r="L574" s="125">
        <f t="shared" si="59"/>
        <v>-0.29999999999999893</v>
      </c>
      <c r="M574" s="47" t="str">
        <f t="shared" si="60"/>
        <v/>
      </c>
      <c r="N574" s="47" t="str">
        <f t="shared" si="61"/>
        <v/>
      </c>
      <c r="O574" s="47" t="str">
        <f t="shared" si="62"/>
        <v>Out of Tolerance</v>
      </c>
    </row>
    <row r="575" spans="1:15" s="9" customFormat="1" x14ac:dyDescent="0.3">
      <c r="A575" s="167">
        <v>46165</v>
      </c>
      <c r="B575" s="61">
        <v>46165.541666666701</v>
      </c>
      <c r="C575" s="138">
        <f t="shared" si="56"/>
        <v>46165.541666666701</v>
      </c>
      <c r="D575" s="19" t="s">
        <v>42</v>
      </c>
      <c r="E575" s="8" t="s">
        <v>10</v>
      </c>
      <c r="F575" s="7" t="s">
        <v>11</v>
      </c>
      <c r="G575" s="25" t="s">
        <v>93</v>
      </c>
      <c r="H575" s="107">
        <v>14</v>
      </c>
      <c r="I575" s="111">
        <v>13.7</v>
      </c>
      <c r="J575" s="11" t="str">
        <f t="shared" si="57"/>
        <v/>
      </c>
      <c r="K575" s="12" t="str">
        <f t="shared" si="58"/>
        <v/>
      </c>
      <c r="L575" s="125">
        <f t="shared" si="59"/>
        <v>-0.30000000000000071</v>
      </c>
      <c r="M575" s="47" t="str">
        <f t="shared" si="60"/>
        <v/>
      </c>
      <c r="N575" s="47" t="str">
        <f t="shared" si="61"/>
        <v/>
      </c>
      <c r="O575" s="47" t="str">
        <f t="shared" si="62"/>
        <v>Out of Tolerance</v>
      </c>
    </row>
    <row r="576" spans="1:15" s="9" customFormat="1" x14ac:dyDescent="0.3">
      <c r="A576" s="166">
        <v>46165</v>
      </c>
      <c r="B576" s="61">
        <v>46165.635416666701</v>
      </c>
      <c r="C576" s="138">
        <f t="shared" si="56"/>
        <v>46165.635416666701</v>
      </c>
      <c r="D576" s="19" t="s">
        <v>13</v>
      </c>
      <c r="E576" s="8" t="s">
        <v>14</v>
      </c>
      <c r="F576" s="7" t="s">
        <v>11</v>
      </c>
      <c r="G576" s="25" t="s">
        <v>93</v>
      </c>
      <c r="H576" s="107">
        <v>13.9</v>
      </c>
      <c r="I576" s="111"/>
      <c r="J576" s="11" t="str">
        <f t="shared" si="57"/>
        <v/>
      </c>
      <c r="K576" s="12" t="str">
        <f t="shared" si="58"/>
        <v/>
      </c>
      <c r="L576" s="125" t="str">
        <f t="shared" si="59"/>
        <v/>
      </c>
      <c r="M576" s="47" t="str">
        <f t="shared" si="60"/>
        <v/>
      </c>
      <c r="N576" s="47" t="str">
        <f t="shared" si="61"/>
        <v/>
      </c>
      <c r="O576" s="47" t="str">
        <f t="shared" si="62"/>
        <v/>
      </c>
    </row>
    <row r="577" spans="1:15" s="9" customFormat="1" x14ac:dyDescent="0.3">
      <c r="A577" s="167">
        <v>46165</v>
      </c>
      <c r="B577" s="61">
        <v>46165.677083333299</v>
      </c>
      <c r="C577" s="138">
        <f t="shared" si="56"/>
        <v>46165.677083333299</v>
      </c>
      <c r="D577" s="19" t="s">
        <v>13</v>
      </c>
      <c r="E577" s="8" t="s">
        <v>14</v>
      </c>
      <c r="F577" s="7" t="s">
        <v>11</v>
      </c>
      <c r="G577" s="25" t="s">
        <v>93</v>
      </c>
      <c r="H577" s="107">
        <v>14</v>
      </c>
      <c r="I577" s="111">
        <v>14</v>
      </c>
      <c r="J577" s="11" t="str">
        <f t="shared" si="57"/>
        <v/>
      </c>
      <c r="K577" s="12" t="str">
        <f t="shared" si="58"/>
        <v/>
      </c>
      <c r="L577" s="125">
        <f t="shared" si="59"/>
        <v>0</v>
      </c>
      <c r="M577" s="47" t="str">
        <f t="shared" si="60"/>
        <v/>
      </c>
      <c r="N577" s="47" t="str">
        <f t="shared" si="61"/>
        <v/>
      </c>
      <c r="O577" s="47" t="str">
        <f t="shared" si="62"/>
        <v>Within Tolerance</v>
      </c>
    </row>
    <row r="578" spans="1:15" s="9" customFormat="1" x14ac:dyDescent="0.3">
      <c r="A578" s="166">
        <v>46165</v>
      </c>
      <c r="B578" s="61">
        <v>46165.75</v>
      </c>
      <c r="C578" s="138">
        <f t="shared" ref="C578:C615" si="63">A578+MOD(B578,1)</f>
        <v>46165.75</v>
      </c>
      <c r="D578" s="19" t="s">
        <v>13</v>
      </c>
      <c r="E578" s="8" t="s">
        <v>14</v>
      </c>
      <c r="F578" s="7" t="s">
        <v>11</v>
      </c>
      <c r="G578" s="25" t="s">
        <v>93</v>
      </c>
      <c r="H578" s="107">
        <v>14</v>
      </c>
      <c r="I578" s="111">
        <v>14</v>
      </c>
      <c r="J578" s="11" t="str">
        <f t="shared" si="57"/>
        <v/>
      </c>
      <c r="K578" s="12" t="str">
        <f t="shared" si="58"/>
        <v/>
      </c>
      <c r="L578" s="125">
        <f t="shared" si="59"/>
        <v>0</v>
      </c>
      <c r="M578" s="47" t="str">
        <f t="shared" si="60"/>
        <v/>
      </c>
      <c r="N578" s="47" t="str">
        <f t="shared" si="61"/>
        <v/>
      </c>
      <c r="O578" s="47" t="str">
        <f t="shared" si="62"/>
        <v>Within Tolerance</v>
      </c>
    </row>
    <row r="579" spans="1:15" s="9" customFormat="1" x14ac:dyDescent="0.3">
      <c r="A579" s="167">
        <v>46165</v>
      </c>
      <c r="B579" s="61">
        <v>46165.833333333299</v>
      </c>
      <c r="C579" s="138">
        <f t="shared" si="63"/>
        <v>46165.833333333299</v>
      </c>
      <c r="D579" s="19" t="s">
        <v>13</v>
      </c>
      <c r="E579" s="8" t="s">
        <v>14</v>
      </c>
      <c r="F579" s="7" t="s">
        <v>11</v>
      </c>
      <c r="G579" s="25" t="s">
        <v>93</v>
      </c>
      <c r="H579" s="107">
        <v>14.1</v>
      </c>
      <c r="I579" s="111">
        <v>14.1</v>
      </c>
      <c r="J579" s="11" t="str">
        <f t="shared" ref="J579:J615" si="64">IF(OR(H579="",G579=""),"",H579-G579)</f>
        <v/>
      </c>
      <c r="K579" s="12" t="str">
        <f t="shared" ref="K579:K615" si="65">IF(OR(TRIM(G579&amp;"")="",TRIM(I579&amp;"")="",G579="-",I579="-"),"",I579-G579)</f>
        <v/>
      </c>
      <c r="L579" s="125">
        <f t="shared" ref="L579:L615" si="66">IF(OR(TRIM(H579&amp;"")="",TRIM(I579&amp;"")="",H579="-",I579="-"),"",I579-H579)</f>
        <v>0</v>
      </c>
      <c r="M579" s="47" t="str">
        <f t="shared" ref="M579:M615" si="67">IF(J579="","",IF(ABS(J579)&lt;=0.2,"Within Tolerance","Out of Tolerance"))</f>
        <v/>
      </c>
      <c r="N579" s="47" t="str">
        <f t="shared" ref="N579:N615" si="68">IF(K579="","",IF(ABS(K579)&lt;=0.2,"Within Tolerance","Out of Tolerance"))</f>
        <v/>
      </c>
      <c r="O579" s="47" t="str">
        <f t="shared" ref="O579:O615" si="69">IF(L579="","",IF(ABS(L579)&lt;=0.2,"Within Tolerance","Out of Tolerance"))</f>
        <v>Within Tolerance</v>
      </c>
    </row>
    <row r="580" spans="1:15" s="9" customFormat="1" x14ac:dyDescent="0.3">
      <c r="A580" s="166">
        <v>46165</v>
      </c>
      <c r="B580" s="61">
        <v>46165.916666666701</v>
      </c>
      <c r="C580" s="138">
        <f t="shared" si="63"/>
        <v>46165.916666666701</v>
      </c>
      <c r="D580" s="19" t="s">
        <v>13</v>
      </c>
      <c r="E580" s="8" t="s">
        <v>14</v>
      </c>
      <c r="F580" s="7" t="s">
        <v>11</v>
      </c>
      <c r="G580" s="25" t="s">
        <v>93</v>
      </c>
      <c r="H580" s="107">
        <v>14</v>
      </c>
      <c r="I580" s="111">
        <v>14.1</v>
      </c>
      <c r="J580" s="11" t="str">
        <f t="shared" si="64"/>
        <v/>
      </c>
      <c r="K580" s="12" t="str">
        <f t="shared" si="65"/>
        <v/>
      </c>
      <c r="L580" s="125">
        <f t="shared" si="66"/>
        <v>9.9999999999999645E-2</v>
      </c>
      <c r="M580" s="47" t="str">
        <f t="shared" si="67"/>
        <v/>
      </c>
      <c r="N580" s="47" t="str">
        <f t="shared" si="68"/>
        <v/>
      </c>
      <c r="O580" s="47" t="str">
        <f t="shared" si="69"/>
        <v>Within Tolerance</v>
      </c>
    </row>
    <row r="581" spans="1:15" s="9" customFormat="1" x14ac:dyDescent="0.3">
      <c r="A581" s="167">
        <v>46165</v>
      </c>
      <c r="B581" s="61">
        <v>46166</v>
      </c>
      <c r="C581" s="138">
        <f t="shared" si="63"/>
        <v>46165</v>
      </c>
      <c r="D581" s="19" t="s">
        <v>13</v>
      </c>
      <c r="E581" s="8" t="s">
        <v>14</v>
      </c>
      <c r="F581" s="7" t="s">
        <v>11</v>
      </c>
      <c r="G581" s="25" t="s">
        <v>93</v>
      </c>
      <c r="H581" s="107">
        <v>14</v>
      </c>
      <c r="I581" s="111">
        <v>14.1</v>
      </c>
      <c r="J581" s="11" t="str">
        <f t="shared" si="64"/>
        <v/>
      </c>
      <c r="K581" s="12" t="str">
        <f t="shared" si="65"/>
        <v/>
      </c>
      <c r="L581" s="125">
        <f t="shared" si="66"/>
        <v>9.9999999999999645E-2</v>
      </c>
      <c r="M581" s="47" t="str">
        <f t="shared" si="67"/>
        <v/>
      </c>
      <c r="N581" s="47" t="str">
        <f t="shared" si="68"/>
        <v/>
      </c>
      <c r="O581" s="47" t="str">
        <f t="shared" si="69"/>
        <v>Within Tolerance</v>
      </c>
    </row>
    <row r="582" spans="1:15" s="9" customFormat="1" x14ac:dyDescent="0.3">
      <c r="A582" s="166">
        <v>46166</v>
      </c>
      <c r="B582" s="61">
        <v>46166.104166666701</v>
      </c>
      <c r="C582" s="138">
        <f t="shared" si="63"/>
        <v>46166.104166666701</v>
      </c>
      <c r="D582" s="19" t="s">
        <v>41</v>
      </c>
      <c r="E582" s="8" t="s">
        <v>10</v>
      </c>
      <c r="F582" s="7" t="s">
        <v>11</v>
      </c>
      <c r="G582" s="25" t="s">
        <v>93</v>
      </c>
      <c r="H582" s="107">
        <v>14</v>
      </c>
      <c r="I582" s="111">
        <v>14</v>
      </c>
      <c r="J582" s="11" t="str">
        <f t="shared" si="64"/>
        <v/>
      </c>
      <c r="K582" s="12" t="str">
        <f t="shared" si="65"/>
        <v/>
      </c>
      <c r="L582" s="125">
        <f t="shared" si="66"/>
        <v>0</v>
      </c>
      <c r="M582" s="47" t="str">
        <f t="shared" si="67"/>
        <v/>
      </c>
      <c r="N582" s="47" t="str">
        <f t="shared" si="68"/>
        <v/>
      </c>
      <c r="O582" s="47" t="str">
        <f t="shared" si="69"/>
        <v>Within Tolerance</v>
      </c>
    </row>
    <row r="583" spans="1:15" s="9" customFormat="1" x14ac:dyDescent="0.3">
      <c r="A583" s="167">
        <v>46166</v>
      </c>
      <c r="B583" s="61">
        <v>46166.166666666701</v>
      </c>
      <c r="C583" s="138">
        <f t="shared" si="63"/>
        <v>46166.166666666701</v>
      </c>
      <c r="D583" s="19" t="s">
        <v>41</v>
      </c>
      <c r="E583" s="8" t="s">
        <v>10</v>
      </c>
      <c r="F583" s="7" t="s">
        <v>11</v>
      </c>
      <c r="G583" s="25" t="s">
        <v>93</v>
      </c>
      <c r="H583" s="107">
        <v>14.1</v>
      </c>
      <c r="I583" s="111">
        <v>14.1</v>
      </c>
      <c r="J583" s="11" t="str">
        <f t="shared" si="64"/>
        <v/>
      </c>
      <c r="K583" s="12" t="str">
        <f t="shared" si="65"/>
        <v/>
      </c>
      <c r="L583" s="125">
        <f t="shared" si="66"/>
        <v>0</v>
      </c>
      <c r="M583" s="47" t="str">
        <f t="shared" si="67"/>
        <v/>
      </c>
      <c r="N583" s="47" t="str">
        <f t="shared" si="68"/>
        <v/>
      </c>
      <c r="O583" s="47" t="str">
        <f t="shared" si="69"/>
        <v>Within Tolerance</v>
      </c>
    </row>
    <row r="584" spans="1:15" s="9" customFormat="1" x14ac:dyDescent="0.3">
      <c r="A584" s="166">
        <v>46166</v>
      </c>
      <c r="B584" s="61">
        <v>46166.25</v>
      </c>
      <c r="C584" s="138">
        <f t="shared" si="63"/>
        <v>46166.25</v>
      </c>
      <c r="D584" s="19" t="s">
        <v>41</v>
      </c>
      <c r="E584" s="8" t="s">
        <v>10</v>
      </c>
      <c r="F584" s="7" t="s">
        <v>11</v>
      </c>
      <c r="G584" s="25" t="s">
        <v>93</v>
      </c>
      <c r="H584" s="107">
        <v>14.1</v>
      </c>
      <c r="I584" s="111">
        <v>14.3</v>
      </c>
      <c r="J584" s="11" t="str">
        <f t="shared" si="64"/>
        <v/>
      </c>
      <c r="K584" s="12" t="str">
        <f t="shared" si="65"/>
        <v/>
      </c>
      <c r="L584" s="125">
        <f t="shared" si="66"/>
        <v>0.20000000000000107</v>
      </c>
      <c r="M584" s="47" t="str">
        <f t="shared" si="67"/>
        <v/>
      </c>
      <c r="N584" s="47" t="str">
        <f t="shared" si="68"/>
        <v/>
      </c>
      <c r="O584" s="47" t="str">
        <f t="shared" si="69"/>
        <v>Out of Tolerance</v>
      </c>
    </row>
    <row r="585" spans="1:15" s="9" customFormat="1" x14ac:dyDescent="0.3">
      <c r="A585" s="167">
        <v>46165</v>
      </c>
      <c r="B585" s="61">
        <v>46165.329861111102</v>
      </c>
      <c r="C585" s="138">
        <f t="shared" si="63"/>
        <v>46165.329861111102</v>
      </c>
      <c r="D585" s="19" t="s">
        <v>52</v>
      </c>
      <c r="E585" s="8" t="s">
        <v>17</v>
      </c>
      <c r="F585" s="7" t="s">
        <v>15</v>
      </c>
      <c r="G585" s="25" t="s">
        <v>93</v>
      </c>
      <c r="H585" s="107">
        <v>14.1</v>
      </c>
      <c r="I585" s="111">
        <v>14.2</v>
      </c>
      <c r="J585" s="11" t="str">
        <f t="shared" si="64"/>
        <v/>
      </c>
      <c r="K585" s="12" t="str">
        <f t="shared" si="65"/>
        <v/>
      </c>
      <c r="L585" s="125">
        <f t="shared" si="66"/>
        <v>9.9999999999999645E-2</v>
      </c>
      <c r="M585" s="47" t="str">
        <f t="shared" si="67"/>
        <v/>
      </c>
      <c r="N585" s="47" t="str">
        <f t="shared" si="68"/>
        <v/>
      </c>
      <c r="O585" s="47" t="str">
        <f t="shared" si="69"/>
        <v>Within Tolerance</v>
      </c>
    </row>
    <row r="586" spans="1:15" s="9" customFormat="1" x14ac:dyDescent="0.3">
      <c r="A586" s="166">
        <v>46165</v>
      </c>
      <c r="B586" s="61">
        <v>46165.395833333299</v>
      </c>
      <c r="C586" s="138">
        <f t="shared" si="63"/>
        <v>46165.395833333299</v>
      </c>
      <c r="D586" s="19" t="s">
        <v>52</v>
      </c>
      <c r="E586" s="8" t="s">
        <v>17</v>
      </c>
      <c r="F586" s="7" t="s">
        <v>15</v>
      </c>
      <c r="G586" s="25">
        <v>14.12</v>
      </c>
      <c r="H586" s="107">
        <v>14.2</v>
      </c>
      <c r="I586" s="111">
        <v>14.1</v>
      </c>
      <c r="J586" s="11">
        <f t="shared" si="64"/>
        <v>8.0000000000000071E-2</v>
      </c>
      <c r="K586" s="12">
        <f t="shared" si="65"/>
        <v>-1.9999999999999574E-2</v>
      </c>
      <c r="L586" s="125">
        <f t="shared" si="66"/>
        <v>-9.9999999999999645E-2</v>
      </c>
      <c r="M586" s="47" t="str">
        <f t="shared" si="67"/>
        <v>Within Tolerance</v>
      </c>
      <c r="N586" s="47" t="str">
        <f t="shared" si="68"/>
        <v>Within Tolerance</v>
      </c>
      <c r="O586" s="47" t="str">
        <f t="shared" si="69"/>
        <v>Within Tolerance</v>
      </c>
    </row>
    <row r="587" spans="1:15" s="9" customFormat="1" x14ac:dyDescent="0.3">
      <c r="A587" s="167">
        <v>46165</v>
      </c>
      <c r="B587" s="61">
        <v>46165.479166666701</v>
      </c>
      <c r="C587" s="138">
        <f t="shared" si="63"/>
        <v>46165.479166666701</v>
      </c>
      <c r="D587" s="19" t="s">
        <v>40</v>
      </c>
      <c r="E587" s="8" t="s">
        <v>17</v>
      </c>
      <c r="F587" s="7" t="s">
        <v>15</v>
      </c>
      <c r="G587" s="25" t="s">
        <v>93</v>
      </c>
      <c r="H587" s="107">
        <v>14</v>
      </c>
      <c r="I587" s="111">
        <v>13.9</v>
      </c>
      <c r="J587" s="11" t="str">
        <f t="shared" si="64"/>
        <v/>
      </c>
      <c r="K587" s="12" t="str">
        <f t="shared" si="65"/>
        <v/>
      </c>
      <c r="L587" s="125">
        <f t="shared" si="66"/>
        <v>-9.9999999999999645E-2</v>
      </c>
      <c r="M587" s="47" t="str">
        <f t="shared" si="67"/>
        <v/>
      </c>
      <c r="N587" s="47" t="str">
        <f t="shared" si="68"/>
        <v/>
      </c>
      <c r="O587" s="47" t="str">
        <f t="shared" si="69"/>
        <v>Within Tolerance</v>
      </c>
    </row>
    <row r="588" spans="1:15" s="9" customFormat="1" x14ac:dyDescent="0.3">
      <c r="A588" s="166">
        <v>46165</v>
      </c>
      <c r="B588" s="61">
        <v>46165.583333333299</v>
      </c>
      <c r="C588" s="138">
        <f t="shared" si="63"/>
        <v>46165.583333333299</v>
      </c>
      <c r="D588" s="19" t="s">
        <v>40</v>
      </c>
      <c r="E588" s="8" t="s">
        <v>17</v>
      </c>
      <c r="F588" s="7" t="s">
        <v>15</v>
      </c>
      <c r="G588" s="25" t="s">
        <v>93</v>
      </c>
      <c r="H588" s="107">
        <v>14</v>
      </c>
      <c r="I588" s="111">
        <v>13.9</v>
      </c>
      <c r="J588" s="11" t="str">
        <f t="shared" si="64"/>
        <v/>
      </c>
      <c r="K588" s="12" t="str">
        <f t="shared" si="65"/>
        <v/>
      </c>
      <c r="L588" s="125">
        <f t="shared" si="66"/>
        <v>-9.9999999999999645E-2</v>
      </c>
      <c r="M588" s="47" t="str">
        <f t="shared" si="67"/>
        <v/>
      </c>
      <c r="N588" s="47" t="str">
        <f t="shared" si="68"/>
        <v/>
      </c>
      <c r="O588" s="47" t="str">
        <f t="shared" si="69"/>
        <v>Within Tolerance</v>
      </c>
    </row>
    <row r="589" spans="1:15" s="9" customFormat="1" x14ac:dyDescent="0.3">
      <c r="A589" s="167">
        <v>46165</v>
      </c>
      <c r="B589" s="61">
        <v>46165.666666666701</v>
      </c>
      <c r="C589" s="138">
        <f t="shared" si="63"/>
        <v>46165.666666666701</v>
      </c>
      <c r="D589" s="19" t="s">
        <v>40</v>
      </c>
      <c r="E589" s="8" t="s">
        <v>17</v>
      </c>
      <c r="F589" s="7" t="s">
        <v>15</v>
      </c>
      <c r="G589" s="25" t="s">
        <v>93</v>
      </c>
      <c r="H589" s="107">
        <v>14.4</v>
      </c>
      <c r="I589" s="111">
        <v>14.3</v>
      </c>
      <c r="J589" s="11" t="str">
        <f t="shared" si="64"/>
        <v/>
      </c>
      <c r="K589" s="12" t="str">
        <f t="shared" si="65"/>
        <v/>
      </c>
      <c r="L589" s="125">
        <f t="shared" si="66"/>
        <v>-9.9999999999999645E-2</v>
      </c>
      <c r="M589" s="47" t="str">
        <f t="shared" si="67"/>
        <v/>
      </c>
      <c r="N589" s="47" t="str">
        <f t="shared" si="68"/>
        <v/>
      </c>
      <c r="O589" s="47" t="str">
        <f t="shared" si="69"/>
        <v>Within Tolerance</v>
      </c>
    </row>
    <row r="590" spans="1:15" s="9" customFormat="1" x14ac:dyDescent="0.3">
      <c r="A590" s="166">
        <v>46165</v>
      </c>
      <c r="B590" s="61">
        <v>46165.756944444402</v>
      </c>
      <c r="C590" s="138">
        <f t="shared" si="63"/>
        <v>46165.756944444402</v>
      </c>
      <c r="D590" s="19" t="s">
        <v>41</v>
      </c>
      <c r="E590" s="8" t="s">
        <v>10</v>
      </c>
      <c r="F590" s="7" t="s">
        <v>15</v>
      </c>
      <c r="G590" s="25" t="s">
        <v>93</v>
      </c>
      <c r="H590" s="107">
        <v>14</v>
      </c>
      <c r="I590" s="111">
        <v>13.9</v>
      </c>
      <c r="J590" s="11" t="str">
        <f t="shared" si="64"/>
        <v/>
      </c>
      <c r="K590" s="12" t="str">
        <f t="shared" si="65"/>
        <v/>
      </c>
      <c r="L590" s="125">
        <f t="shared" si="66"/>
        <v>-9.9999999999999645E-2</v>
      </c>
      <c r="M590" s="47" t="str">
        <f t="shared" si="67"/>
        <v/>
      </c>
      <c r="N590" s="47" t="str">
        <f t="shared" si="68"/>
        <v/>
      </c>
      <c r="O590" s="47" t="str">
        <f t="shared" si="69"/>
        <v>Within Tolerance</v>
      </c>
    </row>
    <row r="591" spans="1:15" s="9" customFormat="1" x14ac:dyDescent="0.3">
      <c r="A591" s="167">
        <v>46165</v>
      </c>
      <c r="B591" s="61">
        <v>46165.833333333299</v>
      </c>
      <c r="C591" s="138">
        <f t="shared" si="63"/>
        <v>46165.833333333299</v>
      </c>
      <c r="D591" s="19" t="s">
        <v>41</v>
      </c>
      <c r="E591" s="8" t="s">
        <v>10</v>
      </c>
      <c r="F591" s="7" t="s">
        <v>15</v>
      </c>
      <c r="G591" s="25" t="s">
        <v>93</v>
      </c>
      <c r="H591" s="107">
        <v>14.2</v>
      </c>
      <c r="I591" s="111">
        <v>14.2</v>
      </c>
      <c r="J591" s="11" t="str">
        <f t="shared" si="64"/>
        <v/>
      </c>
      <c r="K591" s="12" t="str">
        <f t="shared" si="65"/>
        <v/>
      </c>
      <c r="L591" s="125">
        <f t="shared" si="66"/>
        <v>0</v>
      </c>
      <c r="M591" s="47" t="str">
        <f t="shared" si="67"/>
        <v/>
      </c>
      <c r="N591" s="47" t="str">
        <f t="shared" si="68"/>
        <v/>
      </c>
      <c r="O591" s="47" t="str">
        <f t="shared" si="69"/>
        <v>Within Tolerance</v>
      </c>
    </row>
    <row r="592" spans="1:15" s="9" customFormat="1" x14ac:dyDescent="0.3">
      <c r="A592" s="166">
        <v>46165</v>
      </c>
      <c r="B592" s="61">
        <v>46165.895833333299</v>
      </c>
      <c r="C592" s="138">
        <f t="shared" si="63"/>
        <v>46165.895833333299</v>
      </c>
      <c r="D592" s="19" t="s">
        <v>41</v>
      </c>
      <c r="E592" s="8" t="s">
        <v>10</v>
      </c>
      <c r="F592" s="7" t="s">
        <v>15</v>
      </c>
      <c r="G592" s="25" t="s">
        <v>93</v>
      </c>
      <c r="H592" s="107">
        <v>14.1</v>
      </c>
      <c r="I592" s="111">
        <v>14.1</v>
      </c>
      <c r="J592" s="11" t="str">
        <f t="shared" si="64"/>
        <v/>
      </c>
      <c r="K592" s="12" t="str">
        <f t="shared" si="65"/>
        <v/>
      </c>
      <c r="L592" s="125">
        <f t="shared" si="66"/>
        <v>0</v>
      </c>
      <c r="M592" s="47" t="str">
        <f t="shared" si="67"/>
        <v/>
      </c>
      <c r="N592" s="47" t="str">
        <f t="shared" si="68"/>
        <v/>
      </c>
      <c r="O592" s="47" t="str">
        <f t="shared" si="69"/>
        <v>Within Tolerance</v>
      </c>
    </row>
    <row r="593" spans="1:15" s="9" customFormat="1" x14ac:dyDescent="0.3">
      <c r="A593" s="167">
        <v>46165</v>
      </c>
      <c r="B593" s="61">
        <v>46166</v>
      </c>
      <c r="C593" s="138">
        <f t="shared" si="63"/>
        <v>46165</v>
      </c>
      <c r="D593" s="19" t="s">
        <v>41</v>
      </c>
      <c r="E593" s="8" t="s">
        <v>10</v>
      </c>
      <c r="F593" s="7" t="s">
        <v>15</v>
      </c>
      <c r="G593" s="25" t="s">
        <v>93</v>
      </c>
      <c r="H593" s="107">
        <v>14.1</v>
      </c>
      <c r="I593" s="111">
        <v>14.3</v>
      </c>
      <c r="J593" s="11" t="str">
        <f t="shared" si="64"/>
        <v/>
      </c>
      <c r="K593" s="12" t="str">
        <f t="shared" si="65"/>
        <v/>
      </c>
      <c r="L593" s="125">
        <f t="shared" si="66"/>
        <v>0.20000000000000107</v>
      </c>
      <c r="M593" s="47" t="str">
        <f t="shared" si="67"/>
        <v/>
      </c>
      <c r="N593" s="47" t="str">
        <f t="shared" si="68"/>
        <v/>
      </c>
      <c r="O593" s="47" t="str">
        <f t="shared" si="69"/>
        <v>Out of Tolerance</v>
      </c>
    </row>
    <row r="594" spans="1:15" s="9" customFormat="1" x14ac:dyDescent="0.3">
      <c r="A594" s="166">
        <v>46166</v>
      </c>
      <c r="B594" s="61">
        <v>46166.083333333299</v>
      </c>
      <c r="C594" s="138">
        <f t="shared" si="63"/>
        <v>46166.083333333299</v>
      </c>
      <c r="D594" s="19" t="s">
        <v>41</v>
      </c>
      <c r="E594" s="8" t="s">
        <v>10</v>
      </c>
      <c r="F594" s="7" t="s">
        <v>15</v>
      </c>
      <c r="G594" s="25" t="s">
        <v>93</v>
      </c>
      <c r="H594" s="107">
        <v>14</v>
      </c>
      <c r="I594" s="111">
        <v>14.1</v>
      </c>
      <c r="J594" s="11" t="str">
        <f t="shared" si="64"/>
        <v/>
      </c>
      <c r="K594" s="12" t="str">
        <f t="shared" si="65"/>
        <v/>
      </c>
      <c r="L594" s="125">
        <f t="shared" si="66"/>
        <v>9.9999999999999645E-2</v>
      </c>
      <c r="M594" s="47" t="str">
        <f t="shared" si="67"/>
        <v/>
      </c>
      <c r="N594" s="47" t="str">
        <f t="shared" si="68"/>
        <v/>
      </c>
      <c r="O594" s="47" t="str">
        <f t="shared" si="69"/>
        <v>Within Tolerance</v>
      </c>
    </row>
    <row r="595" spans="1:15" s="9" customFormat="1" x14ac:dyDescent="0.3">
      <c r="A595" s="167">
        <v>46166</v>
      </c>
      <c r="B595" s="61">
        <v>46166.166666666701</v>
      </c>
      <c r="C595" s="138">
        <f t="shared" si="63"/>
        <v>46166.166666666701</v>
      </c>
      <c r="D595" s="19" t="s">
        <v>41</v>
      </c>
      <c r="E595" s="8" t="s">
        <v>10</v>
      </c>
      <c r="F595" s="7" t="s">
        <v>15</v>
      </c>
      <c r="G595" s="25" t="s">
        <v>93</v>
      </c>
      <c r="H595" s="107">
        <v>14.2</v>
      </c>
      <c r="I595" s="111">
        <v>14.1</v>
      </c>
      <c r="J595" s="11" t="str">
        <f t="shared" si="64"/>
        <v/>
      </c>
      <c r="K595" s="12" t="str">
        <f t="shared" si="65"/>
        <v/>
      </c>
      <c r="L595" s="125">
        <f t="shared" si="66"/>
        <v>-9.9999999999999645E-2</v>
      </c>
      <c r="M595" s="47" t="str">
        <f t="shared" si="67"/>
        <v/>
      </c>
      <c r="N595" s="47" t="str">
        <f t="shared" si="68"/>
        <v/>
      </c>
      <c r="O595" s="47" t="str">
        <f t="shared" si="69"/>
        <v>Within Tolerance</v>
      </c>
    </row>
    <row r="596" spans="1:15" s="9" customFormat="1" x14ac:dyDescent="0.3">
      <c r="A596" s="166">
        <v>46166</v>
      </c>
      <c r="B596" s="61">
        <v>46166.236111111102</v>
      </c>
      <c r="C596" s="138">
        <f t="shared" si="63"/>
        <v>46166.236111111102</v>
      </c>
      <c r="D596" s="19" t="s">
        <v>29</v>
      </c>
      <c r="E596" s="8" t="s">
        <v>10</v>
      </c>
      <c r="F596" s="7" t="s">
        <v>15</v>
      </c>
      <c r="G596" s="25" t="s">
        <v>93</v>
      </c>
      <c r="H596" s="107">
        <v>14</v>
      </c>
      <c r="I596" s="111">
        <v>14.1</v>
      </c>
      <c r="J596" s="11" t="str">
        <f t="shared" si="64"/>
        <v/>
      </c>
      <c r="K596" s="12" t="str">
        <f t="shared" si="65"/>
        <v/>
      </c>
      <c r="L596" s="125">
        <f t="shared" si="66"/>
        <v>9.9999999999999645E-2</v>
      </c>
      <c r="M596" s="47" t="str">
        <f t="shared" si="67"/>
        <v/>
      </c>
      <c r="N596" s="47" t="str">
        <f t="shared" si="68"/>
        <v/>
      </c>
      <c r="O596" s="47" t="str">
        <f t="shared" si="69"/>
        <v>Within Tolerance</v>
      </c>
    </row>
    <row r="597" spans="1:15" s="9" customFormat="1" x14ac:dyDescent="0.3">
      <c r="A597" s="167">
        <v>46165</v>
      </c>
      <c r="B597" s="78">
        <v>46165.451388888898</v>
      </c>
      <c r="C597" s="158">
        <f t="shared" si="63"/>
        <v>46165.451388888898</v>
      </c>
      <c r="D597" s="19" t="s">
        <v>21</v>
      </c>
      <c r="E597" s="8" t="s">
        <v>10</v>
      </c>
      <c r="F597" s="15" t="s">
        <v>19</v>
      </c>
      <c r="G597" s="25" t="s">
        <v>93</v>
      </c>
      <c r="H597" s="107">
        <v>13.8</v>
      </c>
      <c r="I597" s="111">
        <v>13.8</v>
      </c>
      <c r="J597" s="11" t="str">
        <f t="shared" si="64"/>
        <v/>
      </c>
      <c r="K597" s="12" t="str">
        <f t="shared" si="65"/>
        <v/>
      </c>
      <c r="L597" s="125">
        <f t="shared" si="66"/>
        <v>0</v>
      </c>
      <c r="M597" s="47" t="str">
        <f t="shared" si="67"/>
        <v/>
      </c>
      <c r="N597" s="47" t="str">
        <f t="shared" si="68"/>
        <v/>
      </c>
      <c r="O597" s="47" t="str">
        <f t="shared" si="69"/>
        <v>Within Tolerance</v>
      </c>
    </row>
    <row r="598" spans="1:15" s="9" customFormat="1" x14ac:dyDescent="0.3">
      <c r="A598" s="166">
        <v>46165</v>
      </c>
      <c r="B598" s="79">
        <v>46165.555555555598</v>
      </c>
      <c r="C598" s="157">
        <f t="shared" si="63"/>
        <v>46165.555555555598</v>
      </c>
      <c r="D598" s="19" t="s">
        <v>18</v>
      </c>
      <c r="E598" s="8" t="s">
        <v>14</v>
      </c>
      <c r="F598" s="15" t="s">
        <v>19</v>
      </c>
      <c r="G598" s="25" t="s">
        <v>93</v>
      </c>
      <c r="H598" s="107">
        <v>13.7</v>
      </c>
      <c r="I598" s="111">
        <v>13.7</v>
      </c>
      <c r="J598" s="11" t="str">
        <f t="shared" si="64"/>
        <v/>
      </c>
      <c r="K598" s="12" t="str">
        <f t="shared" si="65"/>
        <v/>
      </c>
      <c r="L598" s="125">
        <f t="shared" si="66"/>
        <v>0</v>
      </c>
      <c r="M598" s="47" t="str">
        <f t="shared" si="67"/>
        <v/>
      </c>
      <c r="N598" s="47" t="str">
        <f t="shared" si="68"/>
        <v/>
      </c>
      <c r="O598" s="47" t="str">
        <f t="shared" si="69"/>
        <v>Within Tolerance</v>
      </c>
    </row>
    <row r="599" spans="1:15" s="9" customFormat="1" x14ac:dyDescent="0.3">
      <c r="A599" s="167">
        <v>46165</v>
      </c>
      <c r="B599" s="79">
        <v>46165.774305555598</v>
      </c>
      <c r="C599" s="157">
        <f t="shared" si="63"/>
        <v>46165.774305555598</v>
      </c>
      <c r="D599" s="19" t="s">
        <v>37</v>
      </c>
      <c r="E599" s="8" t="s">
        <v>14</v>
      </c>
      <c r="F599" s="15" t="s">
        <v>19</v>
      </c>
      <c r="G599" s="25" t="s">
        <v>93</v>
      </c>
      <c r="H599" s="107">
        <v>13.6</v>
      </c>
      <c r="I599" s="111">
        <v>13.5</v>
      </c>
      <c r="J599" s="11" t="str">
        <f t="shared" si="64"/>
        <v/>
      </c>
      <c r="K599" s="12" t="str">
        <f t="shared" si="65"/>
        <v/>
      </c>
      <c r="L599" s="125">
        <f t="shared" si="66"/>
        <v>-9.9999999999999645E-2</v>
      </c>
      <c r="M599" s="47" t="str">
        <f t="shared" si="67"/>
        <v/>
      </c>
      <c r="N599" s="47" t="str">
        <f t="shared" si="68"/>
        <v/>
      </c>
      <c r="O599" s="47" t="str">
        <f t="shared" si="69"/>
        <v>Within Tolerance</v>
      </c>
    </row>
    <row r="600" spans="1:15" s="9" customFormat="1" x14ac:dyDescent="0.3">
      <c r="A600" s="166">
        <v>46165</v>
      </c>
      <c r="B600" s="70">
        <v>46165.795138888898</v>
      </c>
      <c r="C600" s="159">
        <f t="shared" si="63"/>
        <v>46165.795138888898</v>
      </c>
      <c r="D600" s="19" t="s">
        <v>55</v>
      </c>
      <c r="E600" s="8" t="s">
        <v>14</v>
      </c>
      <c r="F600" s="15" t="s">
        <v>19</v>
      </c>
      <c r="G600" s="25" t="s">
        <v>93</v>
      </c>
      <c r="H600" s="107">
        <v>13.8</v>
      </c>
      <c r="I600" s="111">
        <v>13.7</v>
      </c>
      <c r="J600" s="11" t="str">
        <f t="shared" si="64"/>
        <v/>
      </c>
      <c r="K600" s="12" t="str">
        <f t="shared" si="65"/>
        <v/>
      </c>
      <c r="L600" s="125">
        <f t="shared" si="66"/>
        <v>-0.10000000000000142</v>
      </c>
      <c r="M600" s="47" t="str">
        <f t="shared" si="67"/>
        <v/>
      </c>
      <c r="N600" s="47" t="str">
        <f t="shared" si="68"/>
        <v/>
      </c>
      <c r="O600" s="47" t="str">
        <f t="shared" si="69"/>
        <v>Within Tolerance</v>
      </c>
    </row>
    <row r="601" spans="1:15" s="9" customFormat="1" x14ac:dyDescent="0.3">
      <c r="A601" s="167">
        <v>46165</v>
      </c>
      <c r="B601" s="69">
        <v>46165.4375</v>
      </c>
      <c r="C601" s="141">
        <f t="shared" si="63"/>
        <v>46165.4375</v>
      </c>
      <c r="D601" s="27" t="s">
        <v>51</v>
      </c>
      <c r="E601" s="8" t="s">
        <v>10</v>
      </c>
      <c r="F601" s="7" t="s">
        <v>24</v>
      </c>
      <c r="G601" s="25" t="s">
        <v>93</v>
      </c>
      <c r="H601" s="107">
        <v>13.9</v>
      </c>
      <c r="I601" s="111">
        <v>13.7</v>
      </c>
      <c r="J601" s="11" t="str">
        <f t="shared" si="64"/>
        <v/>
      </c>
      <c r="K601" s="12" t="str">
        <f t="shared" si="65"/>
        <v/>
      </c>
      <c r="L601" s="125">
        <f t="shared" si="66"/>
        <v>-0.20000000000000107</v>
      </c>
      <c r="M601" s="47" t="str">
        <f t="shared" si="67"/>
        <v/>
      </c>
      <c r="N601" s="47" t="str">
        <f t="shared" si="68"/>
        <v/>
      </c>
      <c r="O601" s="47" t="str">
        <f t="shared" si="69"/>
        <v>Out of Tolerance</v>
      </c>
    </row>
    <row r="602" spans="1:15" s="9" customFormat="1" x14ac:dyDescent="0.3">
      <c r="A602" s="166">
        <v>46165</v>
      </c>
      <c r="B602" s="70">
        <v>46165.451388888898</v>
      </c>
      <c r="C602" s="149">
        <f t="shared" si="63"/>
        <v>46165.451388888898</v>
      </c>
      <c r="D602" s="28" t="s">
        <v>50</v>
      </c>
      <c r="E602" s="8" t="s">
        <v>10</v>
      </c>
      <c r="F602" s="7" t="s">
        <v>24</v>
      </c>
      <c r="G602" s="25" t="s">
        <v>93</v>
      </c>
      <c r="H602" s="107">
        <v>13.8</v>
      </c>
      <c r="I602" s="111">
        <v>13.7</v>
      </c>
      <c r="J602" s="11" t="str">
        <f t="shared" si="64"/>
        <v/>
      </c>
      <c r="K602" s="12" t="str">
        <f t="shared" si="65"/>
        <v/>
      </c>
      <c r="L602" s="125">
        <f t="shared" si="66"/>
        <v>-0.10000000000000142</v>
      </c>
      <c r="M602" s="47" t="str">
        <f t="shared" si="67"/>
        <v/>
      </c>
      <c r="N602" s="47" t="str">
        <f t="shared" si="68"/>
        <v/>
      </c>
      <c r="O602" s="47" t="str">
        <f t="shared" si="69"/>
        <v>Within Tolerance</v>
      </c>
    </row>
    <row r="603" spans="1:15" s="9" customFormat="1" x14ac:dyDescent="0.3">
      <c r="A603" s="167">
        <v>46166</v>
      </c>
      <c r="B603" s="61">
        <v>46166.333333333299</v>
      </c>
      <c r="C603" s="138">
        <f t="shared" si="63"/>
        <v>46166.333333333299</v>
      </c>
      <c r="D603" s="19" t="s">
        <v>41</v>
      </c>
      <c r="E603" s="8" t="s">
        <v>10</v>
      </c>
      <c r="F603" s="7" t="s">
        <v>11</v>
      </c>
      <c r="G603" s="25">
        <v>14</v>
      </c>
      <c r="H603" s="107">
        <v>14.2</v>
      </c>
      <c r="I603" s="111">
        <v>14.3</v>
      </c>
      <c r="J603" s="11">
        <f t="shared" si="64"/>
        <v>0.19999999999999929</v>
      </c>
      <c r="K603" s="12">
        <f t="shared" si="65"/>
        <v>0.30000000000000071</v>
      </c>
      <c r="L603" s="125">
        <f t="shared" si="66"/>
        <v>0.10000000000000142</v>
      </c>
      <c r="M603" s="47" t="str">
        <f t="shared" si="67"/>
        <v>Within Tolerance</v>
      </c>
      <c r="N603" s="47" t="str">
        <f t="shared" si="68"/>
        <v>Out of Tolerance</v>
      </c>
      <c r="O603" s="47" t="str">
        <f t="shared" si="69"/>
        <v>Within Tolerance</v>
      </c>
    </row>
    <row r="604" spans="1:15" s="9" customFormat="1" x14ac:dyDescent="0.3">
      <c r="A604" s="166">
        <v>46166</v>
      </c>
      <c r="B604" s="61">
        <v>46166.416666666701</v>
      </c>
      <c r="C604" s="138">
        <f t="shared" si="63"/>
        <v>46166.416666666701</v>
      </c>
      <c r="D604" s="19" t="s">
        <v>41</v>
      </c>
      <c r="E604" s="8" t="s">
        <v>10</v>
      </c>
      <c r="F604" s="7" t="s">
        <v>11</v>
      </c>
      <c r="G604" s="25" t="s">
        <v>93</v>
      </c>
      <c r="H604" s="107">
        <v>14.2</v>
      </c>
      <c r="I604" s="111">
        <v>14.1</v>
      </c>
      <c r="J604" s="11" t="str">
        <f t="shared" si="64"/>
        <v/>
      </c>
      <c r="K604" s="12" t="str">
        <f t="shared" si="65"/>
        <v/>
      </c>
      <c r="L604" s="125">
        <f t="shared" si="66"/>
        <v>-9.9999999999999645E-2</v>
      </c>
      <c r="M604" s="47" t="str">
        <f t="shared" si="67"/>
        <v/>
      </c>
      <c r="N604" s="47" t="str">
        <f t="shared" si="68"/>
        <v/>
      </c>
      <c r="O604" s="47" t="str">
        <f t="shared" si="69"/>
        <v>Within Tolerance</v>
      </c>
    </row>
    <row r="605" spans="1:15" s="9" customFormat="1" x14ac:dyDescent="0.3">
      <c r="A605" s="167">
        <v>46166</v>
      </c>
      <c r="B605" s="61">
        <v>46166.5</v>
      </c>
      <c r="C605" s="138">
        <f t="shared" si="63"/>
        <v>46166.5</v>
      </c>
      <c r="D605" s="19" t="s">
        <v>41</v>
      </c>
      <c r="E605" s="8" t="s">
        <v>10</v>
      </c>
      <c r="F605" s="7" t="s">
        <v>11</v>
      </c>
      <c r="G605" s="25" t="s">
        <v>93</v>
      </c>
      <c r="H605" s="107">
        <v>14.3</v>
      </c>
      <c r="I605" s="111">
        <v>14.2</v>
      </c>
      <c r="J605" s="11" t="str">
        <f t="shared" si="64"/>
        <v/>
      </c>
      <c r="K605" s="12" t="str">
        <f t="shared" si="65"/>
        <v/>
      </c>
      <c r="L605" s="125">
        <f t="shared" si="66"/>
        <v>-0.10000000000000142</v>
      </c>
      <c r="M605" s="47" t="str">
        <f t="shared" si="67"/>
        <v/>
      </c>
      <c r="N605" s="47" t="str">
        <f t="shared" si="68"/>
        <v/>
      </c>
      <c r="O605" s="47" t="str">
        <f t="shared" si="69"/>
        <v>Within Tolerance</v>
      </c>
    </row>
    <row r="606" spans="1:15" s="9" customFormat="1" x14ac:dyDescent="0.3">
      <c r="A606" s="166">
        <v>46166</v>
      </c>
      <c r="B606" s="61">
        <v>46166.583333333299</v>
      </c>
      <c r="C606" s="138">
        <f t="shared" si="63"/>
        <v>46166.583333333299</v>
      </c>
      <c r="D606" s="19" t="s">
        <v>41</v>
      </c>
      <c r="E606" s="8" t="s">
        <v>10</v>
      </c>
      <c r="F606" s="7" t="s">
        <v>11</v>
      </c>
      <c r="G606" s="25" t="s">
        <v>93</v>
      </c>
      <c r="H606" s="107">
        <v>14.3</v>
      </c>
      <c r="I606" s="111">
        <v>14.2</v>
      </c>
      <c r="J606" s="11" t="str">
        <f t="shared" si="64"/>
        <v/>
      </c>
      <c r="K606" s="12" t="str">
        <f t="shared" si="65"/>
        <v/>
      </c>
      <c r="L606" s="125">
        <f t="shared" si="66"/>
        <v>-0.10000000000000142</v>
      </c>
      <c r="M606" s="47" t="str">
        <f t="shared" si="67"/>
        <v/>
      </c>
      <c r="N606" s="47" t="str">
        <f t="shared" si="68"/>
        <v/>
      </c>
      <c r="O606" s="47" t="str">
        <f t="shared" si="69"/>
        <v>Within Tolerance</v>
      </c>
    </row>
    <row r="607" spans="1:15" s="9" customFormat="1" x14ac:dyDescent="0.3">
      <c r="A607" s="167">
        <v>46166</v>
      </c>
      <c r="B607" s="61">
        <v>46166.666666666701</v>
      </c>
      <c r="C607" s="138">
        <f t="shared" si="63"/>
        <v>46166.666666666701</v>
      </c>
      <c r="D607" s="19" t="s">
        <v>41</v>
      </c>
      <c r="E607" s="8" t="s">
        <v>10</v>
      </c>
      <c r="F607" s="7" t="s">
        <v>11</v>
      </c>
      <c r="G607" s="25" t="s">
        <v>93</v>
      </c>
      <c r="H607" s="107">
        <v>14.2</v>
      </c>
      <c r="I607" s="111">
        <v>14.2</v>
      </c>
      <c r="J607" s="11" t="str">
        <f t="shared" si="64"/>
        <v/>
      </c>
      <c r="K607" s="12" t="str">
        <f t="shared" si="65"/>
        <v/>
      </c>
      <c r="L607" s="125">
        <f t="shared" si="66"/>
        <v>0</v>
      </c>
      <c r="M607" s="47" t="str">
        <f t="shared" si="67"/>
        <v/>
      </c>
      <c r="N607" s="47" t="str">
        <f t="shared" si="68"/>
        <v/>
      </c>
      <c r="O607" s="47" t="str">
        <f t="shared" si="69"/>
        <v>Within Tolerance</v>
      </c>
    </row>
    <row r="608" spans="1:15" s="9" customFormat="1" x14ac:dyDescent="0.3">
      <c r="A608" s="166">
        <v>46166</v>
      </c>
      <c r="B608" s="61">
        <v>46166.333333333299</v>
      </c>
      <c r="C608" s="138">
        <f t="shared" si="63"/>
        <v>46166.333333333299</v>
      </c>
      <c r="D608" s="19" t="s">
        <v>29</v>
      </c>
      <c r="E608" s="8" t="s">
        <v>10</v>
      </c>
      <c r="F608" s="7" t="s">
        <v>15</v>
      </c>
      <c r="G608" s="25">
        <v>13.99</v>
      </c>
      <c r="H608" s="107">
        <v>14.1</v>
      </c>
      <c r="I608" s="111">
        <v>14.1</v>
      </c>
      <c r="J608" s="11">
        <f t="shared" si="64"/>
        <v>0.10999999999999943</v>
      </c>
      <c r="K608" s="12">
        <f t="shared" si="65"/>
        <v>0.10999999999999943</v>
      </c>
      <c r="L608" s="125">
        <f t="shared" si="66"/>
        <v>0</v>
      </c>
      <c r="M608" s="47" t="str">
        <f t="shared" si="67"/>
        <v>Within Tolerance</v>
      </c>
      <c r="N608" s="47" t="str">
        <f t="shared" si="68"/>
        <v>Within Tolerance</v>
      </c>
      <c r="O608" s="47" t="str">
        <f t="shared" si="69"/>
        <v>Within Tolerance</v>
      </c>
    </row>
    <row r="609" spans="1:15" s="9" customFormat="1" x14ac:dyDescent="0.3">
      <c r="A609" s="167">
        <v>46166</v>
      </c>
      <c r="B609" s="61">
        <v>46166.416666666701</v>
      </c>
      <c r="C609" s="138">
        <f t="shared" si="63"/>
        <v>46166.416666666701</v>
      </c>
      <c r="D609" s="19" t="s">
        <v>29</v>
      </c>
      <c r="E609" s="8" t="s">
        <v>10</v>
      </c>
      <c r="F609" s="7" t="s">
        <v>15</v>
      </c>
      <c r="G609" s="25" t="s">
        <v>93</v>
      </c>
      <c r="H609" s="107">
        <v>14</v>
      </c>
      <c r="I609" s="111">
        <v>13.9</v>
      </c>
      <c r="J609" s="11" t="str">
        <f t="shared" si="64"/>
        <v/>
      </c>
      <c r="K609" s="12" t="str">
        <f t="shared" si="65"/>
        <v/>
      </c>
      <c r="L609" s="125">
        <f t="shared" si="66"/>
        <v>-9.9999999999999645E-2</v>
      </c>
      <c r="M609" s="47" t="str">
        <f t="shared" si="67"/>
        <v/>
      </c>
      <c r="N609" s="47" t="str">
        <f t="shared" si="68"/>
        <v/>
      </c>
      <c r="O609" s="47" t="str">
        <f t="shared" si="69"/>
        <v>Within Tolerance</v>
      </c>
    </row>
    <row r="610" spans="1:15" s="9" customFormat="1" x14ac:dyDescent="0.3">
      <c r="A610" s="166">
        <v>46166</v>
      </c>
      <c r="B610" s="61">
        <v>46166.5</v>
      </c>
      <c r="C610" s="138">
        <f t="shared" si="63"/>
        <v>46166.5</v>
      </c>
      <c r="D610" s="19" t="s">
        <v>29</v>
      </c>
      <c r="E610" s="8" t="s">
        <v>10</v>
      </c>
      <c r="F610" s="7" t="s">
        <v>15</v>
      </c>
      <c r="G610" s="25" t="s">
        <v>93</v>
      </c>
      <c r="H610" s="107">
        <v>14.1</v>
      </c>
      <c r="I610" s="111">
        <v>13.9</v>
      </c>
      <c r="J610" s="11" t="str">
        <f t="shared" si="64"/>
        <v/>
      </c>
      <c r="K610" s="12" t="str">
        <f t="shared" si="65"/>
        <v/>
      </c>
      <c r="L610" s="125">
        <f t="shared" si="66"/>
        <v>-0.19999999999999929</v>
      </c>
      <c r="M610" s="47" t="str">
        <f t="shared" si="67"/>
        <v/>
      </c>
      <c r="N610" s="47" t="str">
        <f t="shared" si="68"/>
        <v/>
      </c>
      <c r="O610" s="47" t="str">
        <f t="shared" si="69"/>
        <v>Within Tolerance</v>
      </c>
    </row>
    <row r="611" spans="1:15" s="9" customFormat="1" x14ac:dyDescent="0.3">
      <c r="A611" s="167">
        <v>46166</v>
      </c>
      <c r="B611" s="61">
        <v>46166.534722222197</v>
      </c>
      <c r="C611" s="138">
        <f t="shared" si="63"/>
        <v>46166.534722222197</v>
      </c>
      <c r="D611" s="19" t="s">
        <v>29</v>
      </c>
      <c r="E611" s="8" t="s">
        <v>10</v>
      </c>
      <c r="F611" s="7" t="s">
        <v>15</v>
      </c>
      <c r="G611" s="25" t="s">
        <v>93</v>
      </c>
      <c r="H611" s="107">
        <v>14.1</v>
      </c>
      <c r="I611" s="111">
        <v>14.1</v>
      </c>
      <c r="J611" s="11" t="str">
        <f t="shared" si="64"/>
        <v/>
      </c>
      <c r="K611" s="12" t="str">
        <f t="shared" si="65"/>
        <v/>
      </c>
      <c r="L611" s="125">
        <f t="shared" si="66"/>
        <v>0</v>
      </c>
      <c r="M611" s="47" t="str">
        <f t="shared" si="67"/>
        <v/>
      </c>
      <c r="N611" s="47" t="str">
        <f t="shared" si="68"/>
        <v/>
      </c>
      <c r="O611" s="47" t="str">
        <f t="shared" si="69"/>
        <v>Within Tolerance</v>
      </c>
    </row>
    <row r="612" spans="1:15" s="9" customFormat="1" x14ac:dyDescent="0.3">
      <c r="A612" s="166">
        <v>46166</v>
      </c>
      <c r="B612" s="61">
        <v>46166.666666666701</v>
      </c>
      <c r="C612" s="138">
        <f t="shared" si="63"/>
        <v>46166.666666666701</v>
      </c>
      <c r="D612" s="19" t="s">
        <v>29</v>
      </c>
      <c r="E612" s="8" t="s">
        <v>10</v>
      </c>
      <c r="F612" s="7" t="s">
        <v>15</v>
      </c>
      <c r="G612" s="25" t="s">
        <v>93</v>
      </c>
      <c r="H612" s="107">
        <v>14.1</v>
      </c>
      <c r="I612" s="111">
        <v>14.2</v>
      </c>
      <c r="J612" s="11" t="str">
        <f t="shared" si="64"/>
        <v/>
      </c>
      <c r="K612" s="12" t="str">
        <f t="shared" si="65"/>
        <v/>
      </c>
      <c r="L612" s="125">
        <f t="shared" si="66"/>
        <v>9.9999999999999645E-2</v>
      </c>
      <c r="M612" s="47" t="str">
        <f t="shared" si="67"/>
        <v/>
      </c>
      <c r="N612" s="47" t="str">
        <f t="shared" si="68"/>
        <v/>
      </c>
      <c r="O612" s="47" t="str">
        <f t="shared" si="69"/>
        <v>Within Tolerance</v>
      </c>
    </row>
    <row r="613" spans="1:15" s="9" customFormat="1" x14ac:dyDescent="0.3">
      <c r="A613" s="167">
        <v>46166</v>
      </c>
      <c r="B613" s="82">
        <v>46166.420138888898</v>
      </c>
      <c r="C613" s="163">
        <f t="shared" si="63"/>
        <v>46166.420138888898</v>
      </c>
      <c r="D613" s="33" t="s">
        <v>46</v>
      </c>
      <c r="E613" s="8" t="s">
        <v>14</v>
      </c>
      <c r="F613" s="15" t="s">
        <v>19</v>
      </c>
      <c r="G613" s="25" t="s">
        <v>93</v>
      </c>
      <c r="H613" s="107">
        <v>13.9</v>
      </c>
      <c r="I613" s="111">
        <v>13.9</v>
      </c>
      <c r="J613" s="11" t="str">
        <f t="shared" si="64"/>
        <v/>
      </c>
      <c r="K613" s="12" t="str">
        <f t="shared" si="65"/>
        <v/>
      </c>
      <c r="L613" s="125">
        <f t="shared" si="66"/>
        <v>0</v>
      </c>
      <c r="M613" s="47" t="str">
        <f t="shared" si="67"/>
        <v/>
      </c>
      <c r="N613" s="47" t="str">
        <f t="shared" si="68"/>
        <v/>
      </c>
      <c r="O613" s="47" t="str">
        <f t="shared" si="69"/>
        <v>Within Tolerance</v>
      </c>
    </row>
    <row r="614" spans="1:15" s="9" customFormat="1" x14ac:dyDescent="0.3">
      <c r="A614" s="166">
        <v>46166</v>
      </c>
      <c r="B614" s="72">
        <v>46166.458333333299</v>
      </c>
      <c r="C614" s="151">
        <f t="shared" si="63"/>
        <v>46166.458333333299</v>
      </c>
      <c r="D614" s="29" t="s">
        <v>20</v>
      </c>
      <c r="E614" s="8" t="s">
        <v>14</v>
      </c>
      <c r="F614" s="15" t="s">
        <v>19</v>
      </c>
      <c r="G614" s="25" t="s">
        <v>93</v>
      </c>
      <c r="H614" s="107">
        <v>13.9</v>
      </c>
      <c r="I614" s="111">
        <v>13.8</v>
      </c>
      <c r="J614" s="11" t="str">
        <f t="shared" si="64"/>
        <v/>
      </c>
      <c r="K614" s="12" t="str">
        <f t="shared" si="65"/>
        <v/>
      </c>
      <c r="L614" s="125">
        <f t="shared" si="66"/>
        <v>-9.9999999999999645E-2</v>
      </c>
      <c r="M614" s="47" t="str">
        <f t="shared" si="67"/>
        <v/>
      </c>
      <c r="N614" s="47" t="str">
        <f t="shared" si="68"/>
        <v/>
      </c>
      <c r="O614" s="47" t="str">
        <f t="shared" si="69"/>
        <v>Within Tolerance</v>
      </c>
    </row>
    <row r="615" spans="1:15" s="9" customFormat="1" x14ac:dyDescent="0.3">
      <c r="A615" s="167">
        <v>46166</v>
      </c>
      <c r="B615" s="81">
        <v>46166.416666666701</v>
      </c>
      <c r="C615" s="164">
        <f t="shared" si="63"/>
        <v>46166.416666666701</v>
      </c>
      <c r="D615" s="34" t="s">
        <v>50</v>
      </c>
      <c r="E615" s="8" t="s">
        <v>10</v>
      </c>
      <c r="F615" s="7" t="s">
        <v>24</v>
      </c>
      <c r="G615" s="25" t="s">
        <v>93</v>
      </c>
      <c r="H615" s="108">
        <v>13.8</v>
      </c>
      <c r="I615" s="111">
        <v>13.7</v>
      </c>
      <c r="J615" s="11" t="str">
        <f t="shared" si="64"/>
        <v/>
      </c>
      <c r="K615" s="12" t="str">
        <f t="shared" si="65"/>
        <v/>
      </c>
      <c r="L615" s="125">
        <f t="shared" si="66"/>
        <v>-0.10000000000000142</v>
      </c>
      <c r="M615" s="47" t="str">
        <f t="shared" si="67"/>
        <v/>
      </c>
      <c r="N615" s="47" t="str">
        <f t="shared" si="68"/>
        <v/>
      </c>
      <c r="O615" s="47" t="str">
        <f t="shared" si="69"/>
        <v>Within Tolerance</v>
      </c>
    </row>
  </sheetData>
  <sheetProtection selectLockedCells="1" selectUnlockedCells="1"/>
  <conditionalFormatting sqref="J2:L615">
    <cfRule type="cellIs" dxfId="4" priority="2" stopIfTrue="1" operator="notBetween">
      <formula>-0.25</formula>
      <formula>0.25</formula>
    </cfRule>
  </conditionalFormatting>
  <pageMargins left="0.7" right="0.7" top="0.75" bottom="0.75" header="0.3" footer="0.3"/>
  <pageSetup scale="98" firstPageNumber="0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6E21-3FD2-4DAC-BA56-3D6F9ACE0809}">
  <sheetPr>
    <pageSetUpPr fitToPage="1"/>
  </sheetPr>
  <dimension ref="A1:Q619"/>
  <sheetViews>
    <sheetView zoomScale="95" zoomScaleNormal="95" workbookViewId="0">
      <pane ySplit="1" topLeftCell="A598" activePane="bottomLeft" state="frozen"/>
      <selection activeCell="L4468" sqref="L4468"/>
      <selection pane="bottomLeft" activeCell="B1" sqref="B1:B1048576"/>
    </sheetView>
  </sheetViews>
  <sheetFormatPr defaultColWidth="10.109375" defaultRowHeight="14.4" x14ac:dyDescent="0.3"/>
  <cols>
    <col min="1" max="1" width="11.33203125" style="86" bestFit="1" customWidth="1"/>
    <col min="2" max="2" width="10.88671875" style="103" customWidth="1"/>
    <col min="3" max="3" width="25.6640625" style="231" customWidth="1"/>
    <col min="4" max="4" width="16.33203125" style="17" customWidth="1"/>
    <col min="5" max="6" width="10.109375" style="17" customWidth="1"/>
    <col min="7" max="9" width="10.109375" style="45" customWidth="1"/>
    <col min="10" max="10" width="13.77734375" style="17" customWidth="1"/>
    <col min="11" max="11" width="11.21875" style="17" customWidth="1"/>
    <col min="12" max="12" width="11.44140625" style="17" customWidth="1"/>
    <col min="13" max="13" width="19.77734375" style="17" customWidth="1"/>
    <col min="14" max="14" width="25.109375" style="17" customWidth="1"/>
    <col min="15" max="15" width="39.5546875" style="17" customWidth="1"/>
    <col min="16" max="16" width="10.109375" style="17"/>
    <col min="17" max="17" width="10.88671875" style="17" customWidth="1"/>
    <col min="18" max="18" width="10.5546875" style="17" customWidth="1"/>
    <col min="19" max="16384" width="10.109375" style="17"/>
  </cols>
  <sheetData>
    <row r="1" spans="1:15" ht="48.75" customHeight="1" x14ac:dyDescent="0.3">
      <c r="A1" s="136" t="s">
        <v>0</v>
      </c>
      <c r="B1" s="101" t="s">
        <v>1</v>
      </c>
      <c r="C1" s="216" t="s">
        <v>104</v>
      </c>
      <c r="D1" s="37" t="s">
        <v>2</v>
      </c>
      <c r="E1" s="37" t="s">
        <v>3</v>
      </c>
      <c r="F1" s="38" t="s">
        <v>95</v>
      </c>
      <c r="G1" s="39" t="s">
        <v>4</v>
      </c>
      <c r="H1" s="39" t="s">
        <v>5</v>
      </c>
      <c r="I1" s="39" t="s">
        <v>6</v>
      </c>
      <c r="J1" s="40" t="s">
        <v>7</v>
      </c>
      <c r="K1" s="40" t="s">
        <v>8</v>
      </c>
      <c r="L1" s="41" t="s">
        <v>59</v>
      </c>
      <c r="M1" s="40" t="s">
        <v>99</v>
      </c>
      <c r="N1" s="40" t="s">
        <v>97</v>
      </c>
      <c r="O1" s="41" t="s">
        <v>100</v>
      </c>
    </row>
    <row r="2" spans="1:15" x14ac:dyDescent="0.3">
      <c r="A2" s="168">
        <v>46143</v>
      </c>
      <c r="B2" s="64">
        <v>46143.361111111102</v>
      </c>
      <c r="C2" s="142">
        <f t="shared" ref="C2:C65" si="0">A2+MOD(B2,1)</f>
        <v>46143.361111111102</v>
      </c>
      <c r="D2" s="19" t="s">
        <v>13</v>
      </c>
      <c r="E2" s="8" t="s">
        <v>14</v>
      </c>
      <c r="F2" s="7" t="s">
        <v>11</v>
      </c>
      <c r="G2" s="13" t="s">
        <v>93</v>
      </c>
      <c r="H2" s="26">
        <v>13.04</v>
      </c>
      <c r="I2" s="7">
        <v>12.91</v>
      </c>
      <c r="J2" s="42" t="str">
        <f>IF(OR(TRIM(G2&amp;"")="",TRIM(H2&amp;"")="",G2="-",H2="-"),"",H2-G2)</f>
        <v/>
      </c>
      <c r="K2" s="42" t="str">
        <f>IF(OR(TRIM(G2&amp;"")="",TRIM(I2&amp;"")="",G2="-",I2="-"),"",I2-G2)</f>
        <v/>
      </c>
      <c r="L2" s="42">
        <f>IF(OR(TRIM(H2&amp;"")="",TRIM(I2&amp;"")="",H2="-",I2="-"),"",I2-H2)</f>
        <v>-0.12999999999999901</v>
      </c>
      <c r="M2" s="17" t="str">
        <f>IF(J2="","",IF(ABS(J2)&lt;=0.2,"Within Tolerance","Out of Tolerance"))</f>
        <v/>
      </c>
      <c r="N2" s="17" t="str">
        <f>IF(K2="","",IF(ABS(K2)&lt;=0.2,"Within Tolerance","Out of Tolerance"))</f>
        <v/>
      </c>
      <c r="O2" s="17" t="str">
        <f>IF(L2="","",IF(ABS(L2)&lt;=0.2,"Within Tolerance","Out of Tolerance"))</f>
        <v>Within Tolerance</v>
      </c>
    </row>
    <row r="3" spans="1:15" x14ac:dyDescent="0.3">
      <c r="A3" s="169">
        <v>46143</v>
      </c>
      <c r="B3" s="64">
        <v>46143.520833333299</v>
      </c>
      <c r="C3" s="142">
        <f t="shared" si="0"/>
        <v>46143.520833333299</v>
      </c>
      <c r="D3" s="19" t="s">
        <v>13</v>
      </c>
      <c r="E3" s="8" t="s">
        <v>14</v>
      </c>
      <c r="F3" s="7" t="s">
        <v>11</v>
      </c>
      <c r="G3" s="13">
        <v>13.46</v>
      </c>
      <c r="H3" s="26">
        <v>13.12</v>
      </c>
      <c r="I3" s="7">
        <v>13.14</v>
      </c>
      <c r="J3" s="42">
        <f t="shared" ref="J3:J66" si="1">IF(OR(TRIM(G3&amp;"")="",TRIM(H3&amp;"")="",G3="-",H3="-"),"",H3-G3)</f>
        <v>-0.34000000000000163</v>
      </c>
      <c r="K3" s="42">
        <f t="shared" ref="K3:K66" si="2">IF(OR(TRIM(G3&amp;"")="",TRIM(I3&amp;"")="",G3="-",I3="-"),"",I3-G3)</f>
        <v>-0.32000000000000028</v>
      </c>
      <c r="L3" s="42">
        <f t="shared" ref="L3:L66" si="3">IF(OR(TRIM(H3&amp;"")="",TRIM(I3&amp;"")="",H3="-",I3="-"),"",I3-H3)</f>
        <v>2.000000000000135E-2</v>
      </c>
      <c r="M3" s="17" t="str">
        <f t="shared" ref="M3:M66" si="4">IF(J3="","",IF(ABS(J3)&lt;=0.2,"Within Tolerance","Out of Tolerance"))</f>
        <v>Out of Tolerance</v>
      </c>
      <c r="N3" s="17" t="str">
        <f t="shared" ref="N3:N66" si="5">IF(K3="","",IF(ABS(K3)&lt;=0.2,"Within Tolerance","Out of Tolerance"))</f>
        <v>Out of Tolerance</v>
      </c>
      <c r="O3" s="17" t="str">
        <f t="shared" ref="O3:O66" si="6">IF(L3="","",IF(ABS(L3)&lt;=0.2,"Within Tolerance","Out of Tolerance"))</f>
        <v>Within Tolerance</v>
      </c>
    </row>
    <row r="4" spans="1:15" x14ac:dyDescent="0.3">
      <c r="A4" s="168">
        <v>46143</v>
      </c>
      <c r="B4" s="64">
        <v>46143.604166666701</v>
      </c>
      <c r="C4" s="142">
        <f t="shared" si="0"/>
        <v>46143.604166666701</v>
      </c>
      <c r="D4" s="19" t="s">
        <v>13</v>
      </c>
      <c r="E4" s="8" t="s">
        <v>14</v>
      </c>
      <c r="F4" s="7" t="s">
        <v>11</v>
      </c>
      <c r="G4" s="13" t="s">
        <v>93</v>
      </c>
      <c r="H4" s="26">
        <v>13.1</v>
      </c>
      <c r="I4" s="21" t="s">
        <v>93</v>
      </c>
      <c r="J4" s="42" t="str">
        <f t="shared" si="1"/>
        <v/>
      </c>
      <c r="K4" s="42" t="str">
        <f t="shared" si="2"/>
        <v/>
      </c>
      <c r="L4" s="42" t="str">
        <f t="shared" si="3"/>
        <v/>
      </c>
      <c r="M4" s="17" t="str">
        <f t="shared" si="4"/>
        <v/>
      </c>
      <c r="N4" s="17" t="str">
        <f t="shared" si="5"/>
        <v/>
      </c>
      <c r="O4" s="17" t="str">
        <f t="shared" si="6"/>
        <v/>
      </c>
    </row>
    <row r="5" spans="1:15" x14ac:dyDescent="0.3">
      <c r="A5" s="169">
        <v>46143</v>
      </c>
      <c r="B5" s="64">
        <v>46143.666666666701</v>
      </c>
      <c r="C5" s="142">
        <f t="shared" si="0"/>
        <v>46143.666666666701</v>
      </c>
      <c r="D5" s="19" t="s">
        <v>13</v>
      </c>
      <c r="E5" s="8" t="s">
        <v>14</v>
      </c>
      <c r="F5" s="7" t="s">
        <v>11</v>
      </c>
      <c r="G5" s="13" t="s">
        <v>93</v>
      </c>
      <c r="H5" s="26">
        <v>13.03</v>
      </c>
      <c r="I5" s="7">
        <v>13.05</v>
      </c>
      <c r="J5" s="42" t="str">
        <f t="shared" si="1"/>
        <v/>
      </c>
      <c r="K5" s="42" t="str">
        <f t="shared" si="2"/>
        <v/>
      </c>
      <c r="L5" s="42">
        <f t="shared" si="3"/>
        <v>2.000000000000135E-2</v>
      </c>
      <c r="M5" s="17" t="str">
        <f t="shared" si="4"/>
        <v/>
      </c>
      <c r="N5" s="17" t="str">
        <f t="shared" si="5"/>
        <v/>
      </c>
      <c r="O5" s="17" t="str">
        <f t="shared" si="6"/>
        <v>Within Tolerance</v>
      </c>
    </row>
    <row r="6" spans="1:15" x14ac:dyDescent="0.3">
      <c r="A6" s="168">
        <v>46143</v>
      </c>
      <c r="B6" s="64">
        <v>46143.75</v>
      </c>
      <c r="C6" s="142">
        <f t="shared" si="0"/>
        <v>46143.75</v>
      </c>
      <c r="D6" s="19" t="s">
        <v>13</v>
      </c>
      <c r="E6" s="8" t="s">
        <v>14</v>
      </c>
      <c r="F6" s="7" t="s">
        <v>11</v>
      </c>
      <c r="G6" s="13" t="s">
        <v>93</v>
      </c>
      <c r="H6" s="26">
        <v>13.16</v>
      </c>
      <c r="I6" s="7">
        <v>13.14</v>
      </c>
      <c r="J6" s="42" t="str">
        <f t="shared" si="1"/>
        <v/>
      </c>
      <c r="K6" s="42" t="str">
        <f t="shared" si="2"/>
        <v/>
      </c>
      <c r="L6" s="42">
        <f t="shared" si="3"/>
        <v>-1.9999999999999574E-2</v>
      </c>
      <c r="M6" s="17" t="str">
        <f t="shared" si="4"/>
        <v/>
      </c>
      <c r="N6" s="17" t="str">
        <f t="shared" si="5"/>
        <v/>
      </c>
      <c r="O6" s="17" t="str">
        <f t="shared" si="6"/>
        <v>Within Tolerance</v>
      </c>
    </row>
    <row r="7" spans="1:15" x14ac:dyDescent="0.3">
      <c r="A7" s="169">
        <v>46143</v>
      </c>
      <c r="B7" s="64">
        <v>46143.833333333299</v>
      </c>
      <c r="C7" s="142">
        <f t="shared" si="0"/>
        <v>46143.833333333299</v>
      </c>
      <c r="D7" s="19" t="s">
        <v>13</v>
      </c>
      <c r="E7" s="8" t="s">
        <v>14</v>
      </c>
      <c r="F7" s="7" t="s">
        <v>11</v>
      </c>
      <c r="G7" s="13" t="s">
        <v>93</v>
      </c>
      <c r="H7" s="26">
        <v>13.17</v>
      </c>
      <c r="I7" s="7">
        <v>13.21</v>
      </c>
      <c r="J7" s="42" t="str">
        <f t="shared" si="1"/>
        <v/>
      </c>
      <c r="K7" s="42" t="str">
        <f t="shared" si="2"/>
        <v/>
      </c>
      <c r="L7" s="42">
        <f t="shared" si="3"/>
        <v>4.0000000000000924E-2</v>
      </c>
      <c r="M7" s="17" t="str">
        <f t="shared" si="4"/>
        <v/>
      </c>
      <c r="N7" s="17" t="str">
        <f t="shared" si="5"/>
        <v/>
      </c>
      <c r="O7" s="17" t="str">
        <f t="shared" si="6"/>
        <v>Within Tolerance</v>
      </c>
    </row>
    <row r="8" spans="1:15" x14ac:dyDescent="0.3">
      <c r="A8" s="168">
        <v>46144</v>
      </c>
      <c r="B8" s="64">
        <v>46144</v>
      </c>
      <c r="C8" s="142">
        <f t="shared" si="0"/>
        <v>46144</v>
      </c>
      <c r="D8" s="19" t="s">
        <v>13</v>
      </c>
      <c r="E8" s="8" t="s">
        <v>14</v>
      </c>
      <c r="F8" s="7" t="s">
        <v>11</v>
      </c>
      <c r="G8" s="13" t="s">
        <v>93</v>
      </c>
      <c r="H8" s="26">
        <v>13.11</v>
      </c>
      <c r="I8" s="7">
        <v>13.18</v>
      </c>
      <c r="J8" s="42" t="str">
        <f t="shared" si="1"/>
        <v/>
      </c>
      <c r="K8" s="42" t="str">
        <f t="shared" si="2"/>
        <v/>
      </c>
      <c r="L8" s="42">
        <f t="shared" si="3"/>
        <v>7.0000000000000284E-2</v>
      </c>
      <c r="M8" s="17" t="str">
        <f t="shared" si="4"/>
        <v/>
      </c>
      <c r="N8" s="17" t="str">
        <f t="shared" si="5"/>
        <v/>
      </c>
      <c r="O8" s="17" t="str">
        <f t="shared" si="6"/>
        <v>Within Tolerance</v>
      </c>
    </row>
    <row r="9" spans="1:15" x14ac:dyDescent="0.3">
      <c r="A9" s="169">
        <v>46144</v>
      </c>
      <c r="B9" s="64">
        <v>46144.083333333299</v>
      </c>
      <c r="C9" s="142">
        <f t="shared" si="0"/>
        <v>46144.083333333299</v>
      </c>
      <c r="D9" s="19" t="s">
        <v>13</v>
      </c>
      <c r="E9" s="8" t="s">
        <v>14</v>
      </c>
      <c r="F9" s="7" t="s">
        <v>11</v>
      </c>
      <c r="G9" s="13" t="s">
        <v>93</v>
      </c>
      <c r="H9" s="26">
        <v>13.19</v>
      </c>
      <c r="I9" s="7">
        <v>13.15</v>
      </c>
      <c r="J9" s="42" t="str">
        <f t="shared" si="1"/>
        <v/>
      </c>
      <c r="K9" s="42" t="str">
        <f t="shared" si="2"/>
        <v/>
      </c>
      <c r="L9" s="42">
        <f t="shared" si="3"/>
        <v>-3.9999999999999147E-2</v>
      </c>
      <c r="M9" s="17" t="str">
        <f t="shared" si="4"/>
        <v/>
      </c>
      <c r="N9" s="17" t="str">
        <f t="shared" si="5"/>
        <v/>
      </c>
      <c r="O9" s="17" t="str">
        <f t="shared" si="6"/>
        <v>Within Tolerance</v>
      </c>
    </row>
    <row r="10" spans="1:15" x14ac:dyDescent="0.3">
      <c r="A10" s="168">
        <v>46144</v>
      </c>
      <c r="B10" s="64">
        <v>46144.180555555598</v>
      </c>
      <c r="C10" s="142">
        <f t="shared" si="0"/>
        <v>46144.180555555598</v>
      </c>
      <c r="D10" s="19" t="s">
        <v>18</v>
      </c>
      <c r="E10" s="8" t="s">
        <v>14</v>
      </c>
      <c r="F10" s="7" t="s">
        <v>11</v>
      </c>
      <c r="G10" s="13" t="s">
        <v>93</v>
      </c>
      <c r="H10" s="26">
        <v>13.43</v>
      </c>
      <c r="I10" s="7">
        <v>13.4</v>
      </c>
      <c r="J10" s="42" t="str">
        <f t="shared" si="1"/>
        <v/>
      </c>
      <c r="K10" s="42" t="str">
        <f t="shared" si="2"/>
        <v/>
      </c>
      <c r="L10" s="42">
        <f t="shared" si="3"/>
        <v>-2.9999999999999361E-2</v>
      </c>
      <c r="M10" s="17" t="str">
        <f t="shared" si="4"/>
        <v/>
      </c>
      <c r="N10" s="17" t="str">
        <f t="shared" si="5"/>
        <v/>
      </c>
      <c r="O10" s="17" t="str">
        <f t="shared" si="6"/>
        <v>Within Tolerance</v>
      </c>
    </row>
    <row r="11" spans="1:15" x14ac:dyDescent="0.3">
      <c r="A11" s="169">
        <v>46144</v>
      </c>
      <c r="B11" s="64">
        <v>46144.25</v>
      </c>
      <c r="C11" s="142">
        <f t="shared" si="0"/>
        <v>46144.25</v>
      </c>
      <c r="D11" s="19" t="s">
        <v>18</v>
      </c>
      <c r="E11" s="8" t="s">
        <v>14</v>
      </c>
      <c r="F11" s="7" t="s">
        <v>11</v>
      </c>
      <c r="G11" s="13" t="s">
        <v>93</v>
      </c>
      <c r="H11" s="26">
        <v>13.23</v>
      </c>
      <c r="I11" s="7">
        <v>13.06</v>
      </c>
      <c r="J11" s="42" t="str">
        <f t="shared" si="1"/>
        <v/>
      </c>
      <c r="K11" s="42" t="str">
        <f t="shared" si="2"/>
        <v/>
      </c>
      <c r="L11" s="42">
        <f t="shared" si="3"/>
        <v>-0.16999999999999993</v>
      </c>
      <c r="M11" s="17" t="str">
        <f t="shared" si="4"/>
        <v/>
      </c>
      <c r="N11" s="17" t="str">
        <f t="shared" si="5"/>
        <v/>
      </c>
      <c r="O11" s="17" t="str">
        <f t="shared" si="6"/>
        <v>Within Tolerance</v>
      </c>
    </row>
    <row r="12" spans="1:15" x14ac:dyDescent="0.3">
      <c r="A12" s="168">
        <v>46143</v>
      </c>
      <c r="B12" s="64">
        <v>46143.75</v>
      </c>
      <c r="C12" s="142">
        <f t="shared" si="0"/>
        <v>46143.75</v>
      </c>
      <c r="D12" s="19" t="s">
        <v>29</v>
      </c>
      <c r="E12" s="8" t="s">
        <v>10</v>
      </c>
      <c r="F12" s="7" t="s">
        <v>15</v>
      </c>
      <c r="G12" s="13" t="s">
        <v>93</v>
      </c>
      <c r="H12" s="26">
        <v>10.77</v>
      </c>
      <c r="I12" s="21" t="s">
        <v>93</v>
      </c>
      <c r="J12" s="42" t="str">
        <f t="shared" si="1"/>
        <v/>
      </c>
      <c r="K12" s="42" t="str">
        <f t="shared" si="2"/>
        <v/>
      </c>
      <c r="L12" s="42" t="str">
        <f t="shared" si="3"/>
        <v/>
      </c>
      <c r="M12" s="17" t="str">
        <f t="shared" si="4"/>
        <v/>
      </c>
      <c r="N12" s="17" t="str">
        <f t="shared" si="5"/>
        <v/>
      </c>
      <c r="O12" s="17" t="str">
        <f t="shared" si="6"/>
        <v/>
      </c>
    </row>
    <row r="13" spans="1:15" x14ac:dyDescent="0.3">
      <c r="A13" s="169">
        <v>46143</v>
      </c>
      <c r="B13" s="64">
        <v>46143.767361111102</v>
      </c>
      <c r="C13" s="142">
        <f t="shared" si="0"/>
        <v>46143.767361111102</v>
      </c>
      <c r="D13" s="19" t="s">
        <v>29</v>
      </c>
      <c r="E13" s="8" t="s">
        <v>10</v>
      </c>
      <c r="F13" s="7" t="s">
        <v>15</v>
      </c>
      <c r="G13" s="13" t="s">
        <v>93</v>
      </c>
      <c r="H13" s="26">
        <v>10.7</v>
      </c>
      <c r="I13" s="21" t="s">
        <v>93</v>
      </c>
      <c r="J13" s="42" t="str">
        <f t="shared" si="1"/>
        <v/>
      </c>
      <c r="K13" s="42" t="str">
        <f t="shared" si="2"/>
        <v/>
      </c>
      <c r="L13" s="42" t="str">
        <f t="shared" si="3"/>
        <v/>
      </c>
      <c r="M13" s="17" t="str">
        <f t="shared" si="4"/>
        <v/>
      </c>
      <c r="N13" s="17" t="str">
        <f t="shared" si="5"/>
        <v/>
      </c>
      <c r="O13" s="17" t="str">
        <f t="shared" si="6"/>
        <v/>
      </c>
    </row>
    <row r="14" spans="1:15" x14ac:dyDescent="0.3">
      <c r="A14" s="168">
        <v>46143</v>
      </c>
      <c r="B14" s="64">
        <v>46143.78125</v>
      </c>
      <c r="C14" s="142">
        <f t="shared" si="0"/>
        <v>46143.78125</v>
      </c>
      <c r="D14" s="19" t="s">
        <v>29</v>
      </c>
      <c r="E14" s="8" t="s">
        <v>10</v>
      </c>
      <c r="F14" s="7" t="s">
        <v>15</v>
      </c>
      <c r="G14" s="13" t="s">
        <v>93</v>
      </c>
      <c r="H14" s="26">
        <v>10.67</v>
      </c>
      <c r="I14" s="7">
        <v>10.58</v>
      </c>
      <c r="J14" s="42" t="str">
        <f t="shared" si="1"/>
        <v/>
      </c>
      <c r="K14" s="42" t="str">
        <f t="shared" si="2"/>
        <v/>
      </c>
      <c r="L14" s="42">
        <f t="shared" si="3"/>
        <v>-8.9999999999999858E-2</v>
      </c>
      <c r="M14" s="17" t="str">
        <f t="shared" si="4"/>
        <v/>
      </c>
      <c r="N14" s="17" t="str">
        <f t="shared" si="5"/>
        <v/>
      </c>
      <c r="O14" s="17" t="str">
        <f t="shared" si="6"/>
        <v>Within Tolerance</v>
      </c>
    </row>
    <row r="15" spans="1:15" x14ac:dyDescent="0.3">
      <c r="A15" s="169">
        <v>46143</v>
      </c>
      <c r="B15" s="64">
        <v>46143.833333333299</v>
      </c>
      <c r="C15" s="142">
        <f t="shared" si="0"/>
        <v>46143.833333333299</v>
      </c>
      <c r="D15" s="19" t="s">
        <v>29</v>
      </c>
      <c r="E15" s="8" t="s">
        <v>10</v>
      </c>
      <c r="F15" s="7" t="s">
        <v>15</v>
      </c>
      <c r="G15" s="13" t="s">
        <v>93</v>
      </c>
      <c r="H15" s="26">
        <v>10.71</v>
      </c>
      <c r="I15" s="7">
        <v>10.56</v>
      </c>
      <c r="J15" s="42" t="str">
        <f t="shared" si="1"/>
        <v/>
      </c>
      <c r="K15" s="42" t="str">
        <f t="shared" si="2"/>
        <v/>
      </c>
      <c r="L15" s="42">
        <f t="shared" si="3"/>
        <v>-0.15000000000000036</v>
      </c>
      <c r="M15" s="17" t="str">
        <f t="shared" si="4"/>
        <v/>
      </c>
      <c r="N15" s="17" t="str">
        <f t="shared" si="5"/>
        <v/>
      </c>
      <c r="O15" s="17" t="str">
        <f t="shared" si="6"/>
        <v>Within Tolerance</v>
      </c>
    </row>
    <row r="16" spans="1:15" x14ac:dyDescent="0.3">
      <c r="A16" s="168">
        <v>46143</v>
      </c>
      <c r="B16" s="64">
        <v>46143.916666666701</v>
      </c>
      <c r="C16" s="142">
        <f t="shared" si="0"/>
        <v>46143.916666666701</v>
      </c>
      <c r="D16" s="19" t="s">
        <v>29</v>
      </c>
      <c r="E16" s="8" t="s">
        <v>10</v>
      </c>
      <c r="F16" s="7" t="s">
        <v>15</v>
      </c>
      <c r="G16" s="13" t="s">
        <v>93</v>
      </c>
      <c r="H16" s="26">
        <v>10.64</v>
      </c>
      <c r="I16" s="7">
        <v>10.57</v>
      </c>
      <c r="J16" s="42" t="str">
        <f t="shared" si="1"/>
        <v/>
      </c>
      <c r="K16" s="42" t="str">
        <f t="shared" si="2"/>
        <v/>
      </c>
      <c r="L16" s="42">
        <f t="shared" si="3"/>
        <v>-7.0000000000000284E-2</v>
      </c>
      <c r="M16" s="17" t="str">
        <f t="shared" si="4"/>
        <v/>
      </c>
      <c r="N16" s="17" t="str">
        <f t="shared" si="5"/>
        <v/>
      </c>
      <c r="O16" s="17" t="str">
        <f t="shared" si="6"/>
        <v>Within Tolerance</v>
      </c>
    </row>
    <row r="17" spans="1:15" x14ac:dyDescent="0.3">
      <c r="A17" s="169">
        <v>46144</v>
      </c>
      <c r="B17" s="64">
        <v>46144</v>
      </c>
      <c r="C17" s="142">
        <f t="shared" si="0"/>
        <v>46144</v>
      </c>
      <c r="D17" s="19" t="s">
        <v>29</v>
      </c>
      <c r="E17" s="8" t="s">
        <v>10</v>
      </c>
      <c r="F17" s="7" t="s">
        <v>15</v>
      </c>
      <c r="G17" s="13" t="s">
        <v>93</v>
      </c>
      <c r="H17" s="26">
        <v>10.62</v>
      </c>
      <c r="I17" s="7">
        <v>10.52</v>
      </c>
      <c r="J17" s="42" t="str">
        <f t="shared" si="1"/>
        <v/>
      </c>
      <c r="K17" s="42" t="str">
        <f t="shared" si="2"/>
        <v/>
      </c>
      <c r="L17" s="42">
        <f t="shared" si="3"/>
        <v>-9.9999999999999645E-2</v>
      </c>
      <c r="M17" s="17" t="str">
        <f t="shared" si="4"/>
        <v/>
      </c>
      <c r="N17" s="17" t="str">
        <f t="shared" si="5"/>
        <v/>
      </c>
      <c r="O17" s="17" t="str">
        <f t="shared" si="6"/>
        <v>Within Tolerance</v>
      </c>
    </row>
    <row r="18" spans="1:15" x14ac:dyDescent="0.3">
      <c r="A18" s="168">
        <v>46144</v>
      </c>
      <c r="B18" s="64">
        <v>46144.083333333299</v>
      </c>
      <c r="C18" s="142">
        <f t="shared" si="0"/>
        <v>46144.083333333299</v>
      </c>
      <c r="D18" s="19" t="s">
        <v>29</v>
      </c>
      <c r="E18" s="8" t="s">
        <v>10</v>
      </c>
      <c r="F18" s="7" t="s">
        <v>15</v>
      </c>
      <c r="G18" s="13" t="s">
        <v>93</v>
      </c>
      <c r="H18" s="26">
        <v>10.7</v>
      </c>
      <c r="I18" s="7">
        <v>10.58</v>
      </c>
      <c r="J18" s="42" t="str">
        <f t="shared" si="1"/>
        <v/>
      </c>
      <c r="K18" s="42" t="str">
        <f t="shared" si="2"/>
        <v/>
      </c>
      <c r="L18" s="42">
        <f t="shared" si="3"/>
        <v>-0.11999999999999922</v>
      </c>
      <c r="M18" s="17" t="str">
        <f t="shared" si="4"/>
        <v/>
      </c>
      <c r="N18" s="17" t="str">
        <f t="shared" si="5"/>
        <v/>
      </c>
      <c r="O18" s="17" t="str">
        <f t="shared" si="6"/>
        <v>Within Tolerance</v>
      </c>
    </row>
    <row r="19" spans="1:15" x14ac:dyDescent="0.3">
      <c r="A19" s="169">
        <v>46144</v>
      </c>
      <c r="B19" s="64">
        <v>46144.166666666701</v>
      </c>
      <c r="C19" s="142">
        <f t="shared" si="0"/>
        <v>46144.166666666701</v>
      </c>
      <c r="D19" s="19" t="s">
        <v>29</v>
      </c>
      <c r="E19" s="8" t="s">
        <v>10</v>
      </c>
      <c r="F19" s="7" t="s">
        <v>15</v>
      </c>
      <c r="G19" s="13" t="s">
        <v>93</v>
      </c>
      <c r="H19" s="26">
        <v>10.73</v>
      </c>
      <c r="I19" s="7">
        <v>10.59</v>
      </c>
      <c r="J19" s="42" t="str">
        <f t="shared" si="1"/>
        <v/>
      </c>
      <c r="K19" s="42" t="str">
        <f t="shared" si="2"/>
        <v/>
      </c>
      <c r="L19" s="42">
        <f t="shared" si="3"/>
        <v>-0.14000000000000057</v>
      </c>
      <c r="M19" s="17" t="str">
        <f t="shared" si="4"/>
        <v/>
      </c>
      <c r="N19" s="17" t="str">
        <f t="shared" si="5"/>
        <v/>
      </c>
      <c r="O19" s="17" t="str">
        <f t="shared" si="6"/>
        <v>Within Tolerance</v>
      </c>
    </row>
    <row r="20" spans="1:15" x14ac:dyDescent="0.3">
      <c r="A20" s="168">
        <v>46144</v>
      </c>
      <c r="B20" s="64">
        <v>46144.222222222197</v>
      </c>
      <c r="C20" s="142">
        <f t="shared" si="0"/>
        <v>46144.222222222197</v>
      </c>
      <c r="D20" s="19" t="s">
        <v>52</v>
      </c>
      <c r="E20" s="8" t="s">
        <v>17</v>
      </c>
      <c r="F20" s="7" t="s">
        <v>15</v>
      </c>
      <c r="G20" s="13" t="s">
        <v>93</v>
      </c>
      <c r="H20" s="26">
        <v>8.8000000000000007</v>
      </c>
      <c r="I20" s="7">
        <v>8.6999999999999993</v>
      </c>
      <c r="J20" s="42" t="str">
        <f t="shared" si="1"/>
        <v/>
      </c>
      <c r="K20" s="42" t="str">
        <f t="shared" si="2"/>
        <v/>
      </c>
      <c r="L20" s="42">
        <f t="shared" si="3"/>
        <v>-0.10000000000000142</v>
      </c>
      <c r="M20" s="17" t="str">
        <f t="shared" si="4"/>
        <v/>
      </c>
      <c r="N20" s="17" t="str">
        <f t="shared" si="5"/>
        <v/>
      </c>
      <c r="O20" s="17" t="str">
        <f t="shared" si="6"/>
        <v>Within Tolerance</v>
      </c>
    </row>
    <row r="21" spans="1:15" x14ac:dyDescent="0.3">
      <c r="A21" s="169">
        <v>46144</v>
      </c>
      <c r="B21" s="64">
        <v>46144.270833333299</v>
      </c>
      <c r="C21" s="142">
        <f t="shared" si="0"/>
        <v>46144.270833333299</v>
      </c>
      <c r="D21" s="19" t="s">
        <v>52</v>
      </c>
      <c r="E21" s="8" t="s">
        <v>17</v>
      </c>
      <c r="F21" s="7" t="s">
        <v>15</v>
      </c>
      <c r="G21" s="13" t="s">
        <v>93</v>
      </c>
      <c r="H21" s="26">
        <v>8.67</v>
      </c>
      <c r="I21" s="7">
        <v>8.64</v>
      </c>
      <c r="J21" s="42" t="str">
        <f t="shared" si="1"/>
        <v/>
      </c>
      <c r="K21" s="42" t="str">
        <f t="shared" si="2"/>
        <v/>
      </c>
      <c r="L21" s="42">
        <f t="shared" si="3"/>
        <v>-2.9999999999999361E-2</v>
      </c>
      <c r="M21" s="17" t="str">
        <f t="shared" si="4"/>
        <v/>
      </c>
      <c r="N21" s="17" t="str">
        <f t="shared" si="5"/>
        <v/>
      </c>
      <c r="O21" s="17" t="str">
        <f t="shared" si="6"/>
        <v>Within Tolerance</v>
      </c>
    </row>
    <row r="22" spans="1:15" x14ac:dyDescent="0.3">
      <c r="A22" s="170">
        <v>46143</v>
      </c>
      <c r="B22" s="64">
        <v>46143.399305555598</v>
      </c>
      <c r="C22" s="217">
        <f t="shared" si="0"/>
        <v>46143.399305555598</v>
      </c>
      <c r="D22" s="24" t="s">
        <v>21</v>
      </c>
      <c r="E22" s="8" t="s">
        <v>10</v>
      </c>
      <c r="F22" s="7" t="s">
        <v>19</v>
      </c>
      <c r="G22" s="13" t="s">
        <v>93</v>
      </c>
      <c r="H22" s="26">
        <v>11.34</v>
      </c>
      <c r="I22" s="7">
        <v>11.32</v>
      </c>
      <c r="J22" s="42" t="str">
        <f t="shared" si="1"/>
        <v/>
      </c>
      <c r="K22" s="42" t="str">
        <f t="shared" si="2"/>
        <v/>
      </c>
      <c r="L22" s="42">
        <f t="shared" si="3"/>
        <v>-1.9999999999999574E-2</v>
      </c>
      <c r="M22" s="17" t="str">
        <f t="shared" si="4"/>
        <v/>
      </c>
      <c r="N22" s="17" t="str">
        <f t="shared" si="5"/>
        <v/>
      </c>
      <c r="O22" s="17" t="str">
        <f t="shared" si="6"/>
        <v>Within Tolerance</v>
      </c>
    </row>
    <row r="23" spans="1:15" x14ac:dyDescent="0.3">
      <c r="A23" s="171">
        <v>46143</v>
      </c>
      <c r="B23" s="64">
        <v>46143.444444444402</v>
      </c>
      <c r="C23" s="217">
        <f t="shared" si="0"/>
        <v>46143.444444444402</v>
      </c>
      <c r="D23" s="23" t="s">
        <v>51</v>
      </c>
      <c r="E23" s="8" t="s">
        <v>10</v>
      </c>
      <c r="F23" s="7" t="s">
        <v>24</v>
      </c>
      <c r="G23" s="13" t="s">
        <v>93</v>
      </c>
      <c r="H23" s="26">
        <v>9.85</v>
      </c>
      <c r="I23" s="7">
        <v>9.7799999999999994</v>
      </c>
      <c r="J23" s="42" t="str">
        <f t="shared" si="1"/>
        <v/>
      </c>
      <c r="K23" s="42" t="str">
        <f t="shared" si="2"/>
        <v/>
      </c>
      <c r="L23" s="42">
        <f t="shared" si="3"/>
        <v>-7.0000000000000284E-2</v>
      </c>
      <c r="M23" s="17" t="str">
        <f t="shared" si="4"/>
        <v/>
      </c>
      <c r="N23" s="17" t="str">
        <f t="shared" si="5"/>
        <v/>
      </c>
      <c r="O23" s="17" t="str">
        <f t="shared" si="6"/>
        <v>Within Tolerance</v>
      </c>
    </row>
    <row r="24" spans="1:15" x14ac:dyDescent="0.3">
      <c r="A24" s="170">
        <v>46143</v>
      </c>
      <c r="B24" s="64">
        <v>46143.486111111102</v>
      </c>
      <c r="C24" s="217">
        <f t="shared" si="0"/>
        <v>46143.486111111102</v>
      </c>
      <c r="D24" s="23" t="s">
        <v>50</v>
      </c>
      <c r="E24" s="8" t="s">
        <v>10</v>
      </c>
      <c r="F24" s="7" t="s">
        <v>24</v>
      </c>
      <c r="G24" s="13" t="s">
        <v>93</v>
      </c>
      <c r="H24" s="26">
        <v>9.5</v>
      </c>
      <c r="I24" s="7">
        <v>9.69</v>
      </c>
      <c r="J24" s="42" t="str">
        <f t="shared" si="1"/>
        <v/>
      </c>
      <c r="K24" s="42" t="str">
        <f t="shared" si="2"/>
        <v/>
      </c>
      <c r="L24" s="42">
        <f t="shared" si="3"/>
        <v>0.1899999999999995</v>
      </c>
      <c r="M24" s="17" t="str">
        <f t="shared" si="4"/>
        <v/>
      </c>
      <c r="N24" s="17" t="str">
        <f t="shared" si="5"/>
        <v/>
      </c>
      <c r="O24" s="17" t="str">
        <f t="shared" si="6"/>
        <v>Within Tolerance</v>
      </c>
    </row>
    <row r="25" spans="1:15" x14ac:dyDescent="0.3">
      <c r="A25" s="171">
        <v>46143</v>
      </c>
      <c r="B25" s="64">
        <v>46143.715277777803</v>
      </c>
      <c r="C25" s="217">
        <f t="shared" si="0"/>
        <v>46143.715277777803</v>
      </c>
      <c r="D25" s="23" t="s">
        <v>33</v>
      </c>
      <c r="E25" s="8" t="s">
        <v>17</v>
      </c>
      <c r="F25" s="7" t="s">
        <v>24</v>
      </c>
      <c r="G25" s="13">
        <v>8.4700000000000006</v>
      </c>
      <c r="H25" s="26">
        <v>8.7100000000000009</v>
      </c>
      <c r="I25" s="7">
        <v>8.57</v>
      </c>
      <c r="J25" s="42">
        <f t="shared" si="1"/>
        <v>0.24000000000000021</v>
      </c>
      <c r="K25" s="42">
        <f t="shared" si="2"/>
        <v>9.9999999999999645E-2</v>
      </c>
      <c r="L25" s="42">
        <f t="shared" si="3"/>
        <v>-0.14000000000000057</v>
      </c>
      <c r="M25" s="17" t="str">
        <f t="shared" si="4"/>
        <v>Out of Tolerance</v>
      </c>
      <c r="N25" s="17" t="str">
        <f t="shared" si="5"/>
        <v>Within Tolerance</v>
      </c>
      <c r="O25" s="17" t="str">
        <f t="shared" si="6"/>
        <v>Within Tolerance</v>
      </c>
    </row>
    <row r="26" spans="1:15" x14ac:dyDescent="0.3">
      <c r="A26" s="170">
        <v>46143</v>
      </c>
      <c r="B26" s="64">
        <v>46143.833333333299</v>
      </c>
      <c r="C26" s="217">
        <f t="shared" si="0"/>
        <v>46143.833333333299</v>
      </c>
      <c r="D26" s="23" t="s">
        <v>51</v>
      </c>
      <c r="E26" s="8" t="s">
        <v>10</v>
      </c>
      <c r="F26" s="7" t="s">
        <v>24</v>
      </c>
      <c r="G26" s="13" t="s">
        <v>93</v>
      </c>
      <c r="H26" s="26">
        <v>9.99</v>
      </c>
      <c r="I26" s="7">
        <v>9.75</v>
      </c>
      <c r="J26" s="42" t="str">
        <f t="shared" si="1"/>
        <v/>
      </c>
      <c r="K26" s="42" t="str">
        <f t="shared" si="2"/>
        <v/>
      </c>
      <c r="L26" s="42">
        <f t="shared" si="3"/>
        <v>-0.24000000000000021</v>
      </c>
      <c r="M26" s="17" t="str">
        <f t="shared" si="4"/>
        <v/>
      </c>
      <c r="N26" s="17" t="str">
        <f t="shared" si="5"/>
        <v/>
      </c>
      <c r="O26" s="17" t="str">
        <f t="shared" si="6"/>
        <v>Out of Tolerance</v>
      </c>
    </row>
    <row r="27" spans="1:15" x14ac:dyDescent="0.3">
      <c r="A27" s="169">
        <v>46144</v>
      </c>
      <c r="B27" s="64">
        <v>46144.333333333299</v>
      </c>
      <c r="C27" s="142">
        <f t="shared" si="0"/>
        <v>46144.333333333299</v>
      </c>
      <c r="D27" s="19" t="s">
        <v>18</v>
      </c>
      <c r="E27" s="8" t="s">
        <v>14</v>
      </c>
      <c r="F27" s="7" t="s">
        <v>11</v>
      </c>
      <c r="G27" s="13">
        <v>12.76</v>
      </c>
      <c r="H27" s="26">
        <v>13.28</v>
      </c>
      <c r="I27" s="7">
        <v>13.13</v>
      </c>
      <c r="J27" s="42">
        <f t="shared" si="1"/>
        <v>0.51999999999999957</v>
      </c>
      <c r="K27" s="42">
        <f t="shared" si="2"/>
        <v>0.37000000000000099</v>
      </c>
      <c r="L27" s="42">
        <f t="shared" si="3"/>
        <v>-0.14999999999999858</v>
      </c>
      <c r="M27" s="17" t="str">
        <f t="shared" si="4"/>
        <v>Out of Tolerance</v>
      </c>
      <c r="N27" s="17" t="str">
        <f t="shared" si="5"/>
        <v>Out of Tolerance</v>
      </c>
      <c r="O27" s="17" t="str">
        <f t="shared" si="6"/>
        <v>Within Tolerance</v>
      </c>
    </row>
    <row r="28" spans="1:15" x14ac:dyDescent="0.3">
      <c r="A28" s="168">
        <v>46144</v>
      </c>
      <c r="B28" s="64">
        <v>46144.416666666701</v>
      </c>
      <c r="C28" s="142">
        <f t="shared" si="0"/>
        <v>46144.416666666701</v>
      </c>
      <c r="D28" s="19" t="s">
        <v>18</v>
      </c>
      <c r="E28" s="8" t="s">
        <v>14</v>
      </c>
      <c r="F28" s="7" t="s">
        <v>11</v>
      </c>
      <c r="G28" s="13" t="s">
        <v>93</v>
      </c>
      <c r="H28" s="26">
        <v>13.33</v>
      </c>
      <c r="I28" s="21" t="s">
        <v>93</v>
      </c>
      <c r="J28" s="42" t="str">
        <f t="shared" si="1"/>
        <v/>
      </c>
      <c r="K28" s="42" t="str">
        <f t="shared" si="2"/>
        <v/>
      </c>
      <c r="L28" s="42" t="str">
        <f t="shared" si="3"/>
        <v/>
      </c>
      <c r="M28" s="17" t="str">
        <f t="shared" si="4"/>
        <v/>
      </c>
      <c r="N28" s="17" t="str">
        <f t="shared" si="5"/>
        <v/>
      </c>
      <c r="O28" s="17" t="str">
        <f t="shared" si="6"/>
        <v/>
      </c>
    </row>
    <row r="29" spans="1:15" x14ac:dyDescent="0.3">
      <c r="A29" s="169">
        <v>46144</v>
      </c>
      <c r="B29" s="64">
        <v>46144.5</v>
      </c>
      <c r="C29" s="142">
        <f t="shared" si="0"/>
        <v>46144.5</v>
      </c>
      <c r="D29" s="19" t="s">
        <v>18</v>
      </c>
      <c r="E29" s="8" t="s">
        <v>14</v>
      </c>
      <c r="F29" s="7" t="s">
        <v>11</v>
      </c>
      <c r="G29" s="13" t="s">
        <v>93</v>
      </c>
      <c r="H29" s="26">
        <v>13.26</v>
      </c>
      <c r="I29" s="7">
        <v>13.15</v>
      </c>
      <c r="J29" s="42" t="str">
        <f t="shared" si="1"/>
        <v/>
      </c>
      <c r="K29" s="42" t="str">
        <f t="shared" si="2"/>
        <v/>
      </c>
      <c r="L29" s="42">
        <f t="shared" si="3"/>
        <v>-0.10999999999999943</v>
      </c>
      <c r="M29" s="17" t="str">
        <f t="shared" si="4"/>
        <v/>
      </c>
      <c r="N29" s="17" t="str">
        <f t="shared" si="5"/>
        <v/>
      </c>
      <c r="O29" s="17" t="str">
        <f t="shared" si="6"/>
        <v>Within Tolerance</v>
      </c>
    </row>
    <row r="30" spans="1:15" x14ac:dyDescent="0.3">
      <c r="A30" s="168">
        <v>46144</v>
      </c>
      <c r="B30" s="64">
        <v>46144.583333333299</v>
      </c>
      <c r="C30" s="142">
        <f t="shared" si="0"/>
        <v>46144.583333333299</v>
      </c>
      <c r="D30" s="19" t="s">
        <v>18</v>
      </c>
      <c r="E30" s="8" t="s">
        <v>14</v>
      </c>
      <c r="F30" s="7" t="s">
        <v>11</v>
      </c>
      <c r="G30" s="13" t="s">
        <v>93</v>
      </c>
      <c r="H30" s="26">
        <v>13.34</v>
      </c>
      <c r="I30" s="7">
        <v>13.26</v>
      </c>
      <c r="J30" s="42" t="str">
        <f t="shared" si="1"/>
        <v/>
      </c>
      <c r="K30" s="42" t="str">
        <f t="shared" si="2"/>
        <v/>
      </c>
      <c r="L30" s="42">
        <f t="shared" si="3"/>
        <v>-8.0000000000000071E-2</v>
      </c>
      <c r="M30" s="17" t="str">
        <f t="shared" si="4"/>
        <v/>
      </c>
      <c r="N30" s="17" t="str">
        <f t="shared" si="5"/>
        <v/>
      </c>
      <c r="O30" s="17" t="str">
        <f t="shared" si="6"/>
        <v>Within Tolerance</v>
      </c>
    </row>
    <row r="31" spans="1:15" x14ac:dyDescent="0.3">
      <c r="A31" s="169">
        <v>46144</v>
      </c>
      <c r="B31" s="64">
        <v>46144.673611111102</v>
      </c>
      <c r="C31" s="142">
        <f t="shared" si="0"/>
        <v>46144.673611111102</v>
      </c>
      <c r="D31" s="19" t="s">
        <v>18</v>
      </c>
      <c r="E31" s="8" t="s">
        <v>14</v>
      </c>
      <c r="F31" s="7" t="s">
        <v>11</v>
      </c>
      <c r="G31" s="13" t="s">
        <v>93</v>
      </c>
      <c r="H31" s="26">
        <v>13.41</v>
      </c>
      <c r="I31" s="7">
        <v>13.21</v>
      </c>
      <c r="J31" s="42" t="str">
        <f t="shared" si="1"/>
        <v/>
      </c>
      <c r="K31" s="42" t="str">
        <f t="shared" si="2"/>
        <v/>
      </c>
      <c r="L31" s="42">
        <f t="shared" si="3"/>
        <v>-0.19999999999999929</v>
      </c>
      <c r="M31" s="17" t="str">
        <f t="shared" si="4"/>
        <v/>
      </c>
      <c r="N31" s="17" t="str">
        <f t="shared" si="5"/>
        <v/>
      </c>
      <c r="O31" s="17" t="str">
        <f t="shared" si="6"/>
        <v>Within Tolerance</v>
      </c>
    </row>
    <row r="32" spans="1:15" x14ac:dyDescent="0.3">
      <c r="A32" s="168">
        <v>46144</v>
      </c>
      <c r="B32" s="64">
        <v>46144.75</v>
      </c>
      <c r="C32" s="142">
        <f t="shared" si="0"/>
        <v>46144.75</v>
      </c>
      <c r="D32" s="19" t="s">
        <v>18</v>
      </c>
      <c r="E32" s="8" t="s">
        <v>14</v>
      </c>
      <c r="F32" s="7" t="s">
        <v>11</v>
      </c>
      <c r="G32" s="13" t="s">
        <v>93</v>
      </c>
      <c r="H32" s="26">
        <v>13.22</v>
      </c>
      <c r="I32" s="7">
        <v>13.07</v>
      </c>
      <c r="J32" s="42" t="str">
        <f t="shared" si="1"/>
        <v/>
      </c>
      <c r="K32" s="42" t="str">
        <f t="shared" si="2"/>
        <v/>
      </c>
      <c r="L32" s="42">
        <f t="shared" si="3"/>
        <v>-0.15000000000000036</v>
      </c>
      <c r="M32" s="17" t="str">
        <f t="shared" si="4"/>
        <v/>
      </c>
      <c r="N32" s="17" t="str">
        <f t="shared" si="5"/>
        <v/>
      </c>
      <c r="O32" s="17" t="str">
        <f t="shared" si="6"/>
        <v>Within Tolerance</v>
      </c>
    </row>
    <row r="33" spans="1:15" x14ac:dyDescent="0.3">
      <c r="A33" s="169">
        <v>46144</v>
      </c>
      <c r="B33" s="64">
        <v>46144.833333333299</v>
      </c>
      <c r="C33" s="142">
        <f t="shared" si="0"/>
        <v>46144.833333333299</v>
      </c>
      <c r="D33" s="19" t="s">
        <v>18</v>
      </c>
      <c r="E33" s="8" t="s">
        <v>14</v>
      </c>
      <c r="F33" s="7" t="s">
        <v>11</v>
      </c>
      <c r="G33" s="13" t="s">
        <v>93</v>
      </c>
      <c r="H33" s="26">
        <v>13.42</v>
      </c>
      <c r="I33" s="7">
        <v>13.33</v>
      </c>
      <c r="J33" s="42" t="str">
        <f t="shared" si="1"/>
        <v/>
      </c>
      <c r="K33" s="42" t="str">
        <f t="shared" si="2"/>
        <v/>
      </c>
      <c r="L33" s="42">
        <f t="shared" si="3"/>
        <v>-8.9999999999999858E-2</v>
      </c>
      <c r="M33" s="17" t="str">
        <f t="shared" si="4"/>
        <v/>
      </c>
      <c r="N33" s="17" t="str">
        <f t="shared" si="5"/>
        <v/>
      </c>
      <c r="O33" s="17" t="str">
        <f t="shared" si="6"/>
        <v>Within Tolerance</v>
      </c>
    </row>
    <row r="34" spans="1:15" x14ac:dyDescent="0.3">
      <c r="A34" s="168">
        <v>46144</v>
      </c>
      <c r="B34" s="64">
        <v>46144.909722222197</v>
      </c>
      <c r="C34" s="142">
        <f t="shared" si="0"/>
        <v>46144.909722222197</v>
      </c>
      <c r="D34" s="19" t="s">
        <v>41</v>
      </c>
      <c r="E34" s="8" t="s">
        <v>10</v>
      </c>
      <c r="F34" s="7" t="s">
        <v>11</v>
      </c>
      <c r="G34" s="13" t="s">
        <v>93</v>
      </c>
      <c r="H34" s="26">
        <v>9.82</v>
      </c>
      <c r="I34" s="21" t="s">
        <v>93</v>
      </c>
      <c r="J34" s="42" t="str">
        <f t="shared" si="1"/>
        <v/>
      </c>
      <c r="K34" s="42" t="str">
        <f t="shared" si="2"/>
        <v/>
      </c>
      <c r="L34" s="42" t="str">
        <f t="shared" si="3"/>
        <v/>
      </c>
      <c r="M34" s="17" t="str">
        <f t="shared" si="4"/>
        <v/>
      </c>
      <c r="N34" s="17" t="str">
        <f t="shared" si="5"/>
        <v/>
      </c>
      <c r="O34" s="17" t="str">
        <f t="shared" si="6"/>
        <v/>
      </c>
    </row>
    <row r="35" spans="1:15" x14ac:dyDescent="0.3">
      <c r="A35" s="169">
        <v>46145</v>
      </c>
      <c r="B35" s="64">
        <v>46145</v>
      </c>
      <c r="C35" s="142">
        <f t="shared" si="0"/>
        <v>46145</v>
      </c>
      <c r="D35" s="19" t="s">
        <v>41</v>
      </c>
      <c r="E35" s="8" t="s">
        <v>10</v>
      </c>
      <c r="F35" s="7" t="s">
        <v>11</v>
      </c>
      <c r="G35" s="13" t="s">
        <v>93</v>
      </c>
      <c r="H35" s="26">
        <v>9.35</v>
      </c>
      <c r="I35" s="7">
        <v>9.39</v>
      </c>
      <c r="J35" s="42" t="str">
        <f t="shared" si="1"/>
        <v/>
      </c>
      <c r="K35" s="42" t="str">
        <f t="shared" si="2"/>
        <v/>
      </c>
      <c r="L35" s="42">
        <f t="shared" si="3"/>
        <v>4.0000000000000924E-2</v>
      </c>
      <c r="M35" s="17" t="str">
        <f t="shared" si="4"/>
        <v/>
      </c>
      <c r="N35" s="17" t="str">
        <f t="shared" si="5"/>
        <v/>
      </c>
      <c r="O35" s="17" t="str">
        <f t="shared" si="6"/>
        <v>Within Tolerance</v>
      </c>
    </row>
    <row r="36" spans="1:15" x14ac:dyDescent="0.3">
      <c r="A36" s="168">
        <v>46145</v>
      </c>
      <c r="B36" s="64">
        <v>46145.083333333299</v>
      </c>
      <c r="C36" s="142">
        <f t="shared" si="0"/>
        <v>46145.083333333299</v>
      </c>
      <c r="D36" s="19" t="s">
        <v>41</v>
      </c>
      <c r="E36" s="8" t="s">
        <v>10</v>
      </c>
      <c r="F36" s="7" t="s">
        <v>11</v>
      </c>
      <c r="G36" s="13" t="s">
        <v>93</v>
      </c>
      <c r="H36" s="26">
        <v>9.42</v>
      </c>
      <c r="I36" s="21" t="s">
        <v>93</v>
      </c>
      <c r="J36" s="42" t="str">
        <f t="shared" si="1"/>
        <v/>
      </c>
      <c r="K36" s="42" t="str">
        <f t="shared" si="2"/>
        <v/>
      </c>
      <c r="L36" s="42" t="str">
        <f t="shared" si="3"/>
        <v/>
      </c>
      <c r="M36" s="17" t="str">
        <f t="shared" si="4"/>
        <v/>
      </c>
      <c r="N36" s="17" t="str">
        <f t="shared" si="5"/>
        <v/>
      </c>
      <c r="O36" s="17" t="str">
        <f t="shared" si="6"/>
        <v/>
      </c>
    </row>
    <row r="37" spans="1:15" x14ac:dyDescent="0.3">
      <c r="A37" s="169">
        <v>46145</v>
      </c>
      <c r="B37" s="64">
        <v>46145.166666666701</v>
      </c>
      <c r="C37" s="142">
        <f t="shared" si="0"/>
        <v>46145.166666666701</v>
      </c>
      <c r="D37" s="19" t="s">
        <v>41</v>
      </c>
      <c r="E37" s="8" t="s">
        <v>10</v>
      </c>
      <c r="F37" s="7" t="s">
        <v>11</v>
      </c>
      <c r="G37" s="13" t="s">
        <v>93</v>
      </c>
      <c r="H37" s="26">
        <v>9.44</v>
      </c>
      <c r="I37" s="7">
        <v>9.59</v>
      </c>
      <c r="J37" s="42" t="str">
        <f t="shared" si="1"/>
        <v/>
      </c>
      <c r="K37" s="42" t="str">
        <f t="shared" si="2"/>
        <v/>
      </c>
      <c r="L37" s="42">
        <f t="shared" si="3"/>
        <v>0.15000000000000036</v>
      </c>
      <c r="M37" s="17" t="str">
        <f t="shared" si="4"/>
        <v/>
      </c>
      <c r="N37" s="17" t="str">
        <f t="shared" si="5"/>
        <v/>
      </c>
      <c r="O37" s="17" t="str">
        <f t="shared" si="6"/>
        <v>Within Tolerance</v>
      </c>
    </row>
    <row r="38" spans="1:15" x14ac:dyDescent="0.3">
      <c r="A38" s="168">
        <v>46145</v>
      </c>
      <c r="B38" s="64">
        <v>46145.25</v>
      </c>
      <c r="C38" s="142">
        <f t="shared" si="0"/>
        <v>46145.25</v>
      </c>
      <c r="D38" s="19" t="s">
        <v>41</v>
      </c>
      <c r="E38" s="8" t="s">
        <v>10</v>
      </c>
      <c r="F38" s="7" t="s">
        <v>11</v>
      </c>
      <c r="G38" s="13" t="s">
        <v>93</v>
      </c>
      <c r="H38" s="26">
        <v>9.4700000000000006</v>
      </c>
      <c r="I38" s="7">
        <v>9.5399999999999991</v>
      </c>
      <c r="J38" s="42" t="str">
        <f t="shared" si="1"/>
        <v/>
      </c>
      <c r="K38" s="42" t="str">
        <f t="shared" si="2"/>
        <v/>
      </c>
      <c r="L38" s="42">
        <f t="shared" si="3"/>
        <v>6.9999999999998508E-2</v>
      </c>
      <c r="M38" s="17" t="str">
        <f t="shared" si="4"/>
        <v/>
      </c>
      <c r="N38" s="17" t="str">
        <f t="shared" si="5"/>
        <v/>
      </c>
      <c r="O38" s="17" t="str">
        <f t="shared" si="6"/>
        <v>Within Tolerance</v>
      </c>
    </row>
    <row r="39" spans="1:15" x14ac:dyDescent="0.3">
      <c r="A39" s="169">
        <v>46144</v>
      </c>
      <c r="B39" s="64">
        <v>46144.333333333299</v>
      </c>
      <c r="C39" s="142">
        <f t="shared" si="0"/>
        <v>46144.333333333299</v>
      </c>
      <c r="D39" s="19" t="s">
        <v>52</v>
      </c>
      <c r="E39" s="8" t="s">
        <v>17</v>
      </c>
      <c r="F39" s="7" t="s">
        <v>15</v>
      </c>
      <c r="G39" s="13" t="s">
        <v>93</v>
      </c>
      <c r="H39" s="26">
        <v>8.6300000000000008</v>
      </c>
      <c r="I39" s="7">
        <v>8.6999999999999993</v>
      </c>
      <c r="J39" s="42" t="str">
        <f t="shared" si="1"/>
        <v/>
      </c>
      <c r="K39" s="42" t="str">
        <f t="shared" si="2"/>
        <v/>
      </c>
      <c r="L39" s="42">
        <f t="shared" si="3"/>
        <v>6.9999999999998508E-2</v>
      </c>
      <c r="M39" s="17" t="str">
        <f t="shared" si="4"/>
        <v/>
      </c>
      <c r="N39" s="17" t="str">
        <f t="shared" si="5"/>
        <v/>
      </c>
      <c r="O39" s="17" t="str">
        <f t="shared" si="6"/>
        <v>Within Tolerance</v>
      </c>
    </row>
    <row r="40" spans="1:15" x14ac:dyDescent="0.3">
      <c r="A40" s="168">
        <v>46144</v>
      </c>
      <c r="B40" s="64">
        <v>46144.388888888898</v>
      </c>
      <c r="C40" s="142">
        <f t="shared" si="0"/>
        <v>46144.388888888898</v>
      </c>
      <c r="D40" s="19" t="s">
        <v>41</v>
      </c>
      <c r="E40" s="8" t="s">
        <v>10</v>
      </c>
      <c r="F40" s="7" t="s">
        <v>15</v>
      </c>
      <c r="G40" s="13" t="s">
        <v>93</v>
      </c>
      <c r="H40" s="26">
        <v>9.48</v>
      </c>
      <c r="I40" s="7">
        <v>9.5</v>
      </c>
      <c r="J40" s="42" t="str">
        <f t="shared" si="1"/>
        <v/>
      </c>
      <c r="K40" s="42" t="str">
        <f t="shared" si="2"/>
        <v/>
      </c>
      <c r="L40" s="42">
        <f t="shared" si="3"/>
        <v>1.9999999999999574E-2</v>
      </c>
      <c r="M40" s="17" t="str">
        <f t="shared" si="4"/>
        <v/>
      </c>
      <c r="N40" s="17" t="str">
        <f t="shared" si="5"/>
        <v/>
      </c>
      <c r="O40" s="17" t="str">
        <f t="shared" si="6"/>
        <v>Within Tolerance</v>
      </c>
    </row>
    <row r="41" spans="1:15" x14ac:dyDescent="0.3">
      <c r="A41" s="169">
        <v>46144</v>
      </c>
      <c r="B41" s="64">
        <v>46144.479166666701</v>
      </c>
      <c r="C41" s="142">
        <f t="shared" si="0"/>
        <v>46144.479166666701</v>
      </c>
      <c r="D41" s="19" t="s">
        <v>41</v>
      </c>
      <c r="E41" s="8" t="s">
        <v>10</v>
      </c>
      <c r="F41" s="7" t="s">
        <v>15</v>
      </c>
      <c r="G41" s="13">
        <v>9.4700000000000006</v>
      </c>
      <c r="H41" s="26">
        <v>9.61</v>
      </c>
      <c r="I41" s="7">
        <v>9.56</v>
      </c>
      <c r="J41" s="42">
        <f t="shared" si="1"/>
        <v>0.13999999999999879</v>
      </c>
      <c r="K41" s="42">
        <f t="shared" si="2"/>
        <v>8.9999999999999858E-2</v>
      </c>
      <c r="L41" s="42">
        <f t="shared" si="3"/>
        <v>-4.9999999999998934E-2</v>
      </c>
      <c r="M41" s="17" t="str">
        <f t="shared" si="4"/>
        <v>Within Tolerance</v>
      </c>
      <c r="N41" s="17" t="str">
        <f t="shared" si="5"/>
        <v>Within Tolerance</v>
      </c>
      <c r="O41" s="17" t="str">
        <f t="shared" si="6"/>
        <v>Within Tolerance</v>
      </c>
    </row>
    <row r="42" spans="1:15" x14ac:dyDescent="0.3">
      <c r="A42" s="168">
        <v>46144</v>
      </c>
      <c r="B42" s="64">
        <v>46144.5625</v>
      </c>
      <c r="C42" s="142">
        <f t="shared" si="0"/>
        <v>46144.5625</v>
      </c>
      <c r="D42" s="19" t="s">
        <v>41</v>
      </c>
      <c r="E42" s="8" t="s">
        <v>10</v>
      </c>
      <c r="F42" s="7" t="s">
        <v>15</v>
      </c>
      <c r="G42" s="13" t="s">
        <v>93</v>
      </c>
      <c r="H42" s="26">
        <v>9.7200000000000006</v>
      </c>
      <c r="I42" s="7">
        <v>9.5</v>
      </c>
      <c r="J42" s="42" t="str">
        <f t="shared" si="1"/>
        <v/>
      </c>
      <c r="K42" s="42" t="str">
        <f t="shared" si="2"/>
        <v/>
      </c>
      <c r="L42" s="42">
        <f t="shared" si="3"/>
        <v>-0.22000000000000064</v>
      </c>
      <c r="M42" s="17" t="str">
        <f t="shared" si="4"/>
        <v/>
      </c>
      <c r="N42" s="17" t="str">
        <f t="shared" si="5"/>
        <v/>
      </c>
      <c r="O42" s="17" t="str">
        <f t="shared" si="6"/>
        <v>Out of Tolerance</v>
      </c>
    </row>
    <row r="43" spans="1:15" x14ac:dyDescent="0.3">
      <c r="A43" s="169">
        <v>46144</v>
      </c>
      <c r="B43" s="64">
        <v>46144.666666666701</v>
      </c>
      <c r="C43" s="142">
        <f t="shared" si="0"/>
        <v>46144.666666666701</v>
      </c>
      <c r="D43" s="19" t="s">
        <v>41</v>
      </c>
      <c r="E43" s="8" t="s">
        <v>10</v>
      </c>
      <c r="F43" s="7" t="s">
        <v>15</v>
      </c>
      <c r="G43" s="13" t="s">
        <v>93</v>
      </c>
      <c r="H43" s="26">
        <v>9.5</v>
      </c>
      <c r="I43" s="7">
        <v>9.39</v>
      </c>
      <c r="J43" s="42" t="str">
        <f t="shared" si="1"/>
        <v/>
      </c>
      <c r="K43" s="42" t="str">
        <f t="shared" si="2"/>
        <v/>
      </c>
      <c r="L43" s="42">
        <f t="shared" si="3"/>
        <v>-0.10999999999999943</v>
      </c>
      <c r="M43" s="17" t="str">
        <f t="shared" si="4"/>
        <v/>
      </c>
      <c r="N43" s="17" t="str">
        <f t="shared" si="5"/>
        <v/>
      </c>
      <c r="O43" s="17" t="str">
        <f t="shared" si="6"/>
        <v>Within Tolerance</v>
      </c>
    </row>
    <row r="44" spans="1:15" x14ac:dyDescent="0.3">
      <c r="A44" s="168">
        <v>46144</v>
      </c>
      <c r="B44" s="64">
        <v>46144.75</v>
      </c>
      <c r="C44" s="142">
        <f t="shared" si="0"/>
        <v>46144.75</v>
      </c>
      <c r="D44" s="19" t="s">
        <v>41</v>
      </c>
      <c r="E44" s="8" t="s">
        <v>10</v>
      </c>
      <c r="F44" s="7" t="s">
        <v>15</v>
      </c>
      <c r="G44" s="13" t="s">
        <v>93</v>
      </c>
      <c r="H44" s="26">
        <v>9.5299999999999994</v>
      </c>
      <c r="I44" s="7">
        <v>9.4</v>
      </c>
      <c r="J44" s="42" t="str">
        <f t="shared" si="1"/>
        <v/>
      </c>
      <c r="K44" s="42" t="str">
        <f t="shared" si="2"/>
        <v/>
      </c>
      <c r="L44" s="42">
        <f t="shared" si="3"/>
        <v>-0.12999999999999901</v>
      </c>
      <c r="M44" s="17" t="str">
        <f t="shared" si="4"/>
        <v/>
      </c>
      <c r="N44" s="17" t="str">
        <f t="shared" si="5"/>
        <v/>
      </c>
      <c r="O44" s="17" t="str">
        <f t="shared" si="6"/>
        <v>Within Tolerance</v>
      </c>
    </row>
    <row r="45" spans="1:15" x14ac:dyDescent="0.3">
      <c r="A45" s="169">
        <v>46144</v>
      </c>
      <c r="B45" s="64">
        <v>46144.829861111102</v>
      </c>
      <c r="C45" s="142">
        <f t="shared" si="0"/>
        <v>46144.829861111102</v>
      </c>
      <c r="D45" s="19" t="s">
        <v>29</v>
      </c>
      <c r="E45" s="8" t="s">
        <v>10</v>
      </c>
      <c r="F45" s="7" t="s">
        <v>15</v>
      </c>
      <c r="G45" s="13" t="s">
        <v>93</v>
      </c>
      <c r="H45" s="26">
        <v>10.54</v>
      </c>
      <c r="I45" s="7">
        <v>10.220000000000001</v>
      </c>
      <c r="J45" s="42" t="str">
        <f t="shared" si="1"/>
        <v/>
      </c>
      <c r="K45" s="42" t="str">
        <f t="shared" si="2"/>
        <v/>
      </c>
      <c r="L45" s="42">
        <f t="shared" si="3"/>
        <v>-0.31999999999999851</v>
      </c>
      <c r="M45" s="17" t="str">
        <f t="shared" si="4"/>
        <v/>
      </c>
      <c r="N45" s="17" t="str">
        <f t="shared" si="5"/>
        <v/>
      </c>
      <c r="O45" s="17" t="str">
        <f t="shared" si="6"/>
        <v>Out of Tolerance</v>
      </c>
    </row>
    <row r="46" spans="1:15" x14ac:dyDescent="0.3">
      <c r="A46" s="168">
        <v>46144</v>
      </c>
      <c r="B46" s="64">
        <v>46144.916666666701</v>
      </c>
      <c r="C46" s="142">
        <f t="shared" si="0"/>
        <v>46144.916666666701</v>
      </c>
      <c r="D46" s="19" t="s">
        <v>29</v>
      </c>
      <c r="E46" s="8" t="s">
        <v>10</v>
      </c>
      <c r="F46" s="7" t="s">
        <v>15</v>
      </c>
      <c r="G46" s="13" t="s">
        <v>93</v>
      </c>
      <c r="H46" s="26">
        <v>10.62</v>
      </c>
      <c r="I46" s="7">
        <v>10.47</v>
      </c>
      <c r="J46" s="42" t="str">
        <f t="shared" si="1"/>
        <v/>
      </c>
      <c r="K46" s="42" t="str">
        <f t="shared" si="2"/>
        <v/>
      </c>
      <c r="L46" s="42">
        <f t="shared" si="3"/>
        <v>-0.14999999999999858</v>
      </c>
      <c r="M46" s="17" t="str">
        <f t="shared" si="4"/>
        <v/>
      </c>
      <c r="N46" s="17" t="str">
        <f t="shared" si="5"/>
        <v/>
      </c>
      <c r="O46" s="17" t="str">
        <f t="shared" si="6"/>
        <v>Within Tolerance</v>
      </c>
    </row>
    <row r="47" spans="1:15" x14ac:dyDescent="0.3">
      <c r="A47" s="169">
        <v>46145</v>
      </c>
      <c r="B47" s="64">
        <v>46145</v>
      </c>
      <c r="C47" s="142">
        <f t="shared" si="0"/>
        <v>46145</v>
      </c>
      <c r="D47" s="19" t="s">
        <v>29</v>
      </c>
      <c r="E47" s="8" t="s">
        <v>10</v>
      </c>
      <c r="F47" s="7" t="s">
        <v>15</v>
      </c>
      <c r="G47" s="13" t="s">
        <v>93</v>
      </c>
      <c r="H47" s="26">
        <v>10.62</v>
      </c>
      <c r="I47" s="7">
        <v>10.46</v>
      </c>
      <c r="J47" s="42" t="str">
        <f t="shared" si="1"/>
        <v/>
      </c>
      <c r="K47" s="42" t="str">
        <f t="shared" si="2"/>
        <v/>
      </c>
      <c r="L47" s="42">
        <f t="shared" si="3"/>
        <v>-0.15999999999999837</v>
      </c>
      <c r="M47" s="17" t="str">
        <f t="shared" si="4"/>
        <v/>
      </c>
      <c r="N47" s="17" t="str">
        <f t="shared" si="5"/>
        <v/>
      </c>
      <c r="O47" s="17" t="str">
        <f t="shared" si="6"/>
        <v>Within Tolerance</v>
      </c>
    </row>
    <row r="48" spans="1:15" x14ac:dyDescent="0.3">
      <c r="A48" s="168">
        <v>46145</v>
      </c>
      <c r="B48" s="64">
        <v>46145.083333333299</v>
      </c>
      <c r="C48" s="142">
        <f t="shared" si="0"/>
        <v>46145.083333333299</v>
      </c>
      <c r="D48" s="19" t="s">
        <v>29</v>
      </c>
      <c r="E48" s="8" t="s">
        <v>10</v>
      </c>
      <c r="F48" s="7" t="s">
        <v>15</v>
      </c>
      <c r="G48" s="13">
        <v>10.57</v>
      </c>
      <c r="H48" s="26">
        <v>10.7</v>
      </c>
      <c r="I48" s="7">
        <v>10.51</v>
      </c>
      <c r="J48" s="42">
        <f t="shared" si="1"/>
        <v>0.12999999999999901</v>
      </c>
      <c r="K48" s="42">
        <f t="shared" si="2"/>
        <v>-6.0000000000000497E-2</v>
      </c>
      <c r="L48" s="42">
        <f t="shared" si="3"/>
        <v>-0.1899999999999995</v>
      </c>
      <c r="M48" s="17" t="str">
        <f t="shared" si="4"/>
        <v>Within Tolerance</v>
      </c>
      <c r="N48" s="17" t="str">
        <f t="shared" si="5"/>
        <v>Within Tolerance</v>
      </c>
      <c r="O48" s="17" t="str">
        <f t="shared" si="6"/>
        <v>Within Tolerance</v>
      </c>
    </row>
    <row r="49" spans="1:15" x14ac:dyDescent="0.3">
      <c r="A49" s="169">
        <v>46145</v>
      </c>
      <c r="B49" s="64">
        <v>46145.166666666701</v>
      </c>
      <c r="C49" s="142">
        <f t="shared" si="0"/>
        <v>46145.166666666701</v>
      </c>
      <c r="D49" s="19" t="s">
        <v>29</v>
      </c>
      <c r="E49" s="8" t="s">
        <v>10</v>
      </c>
      <c r="F49" s="7" t="s">
        <v>15</v>
      </c>
      <c r="G49" s="13" t="s">
        <v>93</v>
      </c>
      <c r="H49" s="26">
        <v>10.6</v>
      </c>
      <c r="I49" s="7">
        <v>10.49</v>
      </c>
      <c r="J49" s="42" t="str">
        <f t="shared" si="1"/>
        <v/>
      </c>
      <c r="K49" s="42" t="str">
        <f t="shared" si="2"/>
        <v/>
      </c>
      <c r="L49" s="42">
        <f t="shared" si="3"/>
        <v>-0.10999999999999943</v>
      </c>
      <c r="M49" s="17" t="str">
        <f t="shared" si="4"/>
        <v/>
      </c>
      <c r="N49" s="17" t="str">
        <f t="shared" si="5"/>
        <v/>
      </c>
      <c r="O49" s="17" t="str">
        <f t="shared" si="6"/>
        <v>Within Tolerance</v>
      </c>
    </row>
    <row r="50" spans="1:15" x14ac:dyDescent="0.3">
      <c r="A50" s="168">
        <v>46145</v>
      </c>
      <c r="B50" s="64">
        <v>46145.25</v>
      </c>
      <c r="C50" s="142">
        <f t="shared" si="0"/>
        <v>46145.25</v>
      </c>
      <c r="D50" s="19" t="s">
        <v>29</v>
      </c>
      <c r="E50" s="8" t="s">
        <v>10</v>
      </c>
      <c r="F50" s="7" t="s">
        <v>15</v>
      </c>
      <c r="G50" s="13">
        <v>10.57</v>
      </c>
      <c r="H50" s="26">
        <v>10.71</v>
      </c>
      <c r="I50" s="7">
        <v>10.49</v>
      </c>
      <c r="J50" s="42">
        <f t="shared" si="1"/>
        <v>0.14000000000000057</v>
      </c>
      <c r="K50" s="42">
        <f t="shared" si="2"/>
        <v>-8.0000000000000071E-2</v>
      </c>
      <c r="L50" s="42">
        <f t="shared" si="3"/>
        <v>-0.22000000000000064</v>
      </c>
      <c r="M50" s="17" t="str">
        <f t="shared" si="4"/>
        <v>Within Tolerance</v>
      </c>
      <c r="N50" s="17" t="str">
        <f t="shared" si="5"/>
        <v>Within Tolerance</v>
      </c>
      <c r="O50" s="17" t="str">
        <f t="shared" si="6"/>
        <v>Out of Tolerance</v>
      </c>
    </row>
    <row r="51" spans="1:15" x14ac:dyDescent="0.3">
      <c r="A51" s="169">
        <v>46144</v>
      </c>
      <c r="B51" s="64">
        <v>46144.423611111102</v>
      </c>
      <c r="C51" s="142">
        <f t="shared" si="0"/>
        <v>46144.423611111102</v>
      </c>
      <c r="D51" s="19" t="s">
        <v>20</v>
      </c>
      <c r="E51" s="8" t="s">
        <v>14</v>
      </c>
      <c r="F51" s="7" t="s">
        <v>19</v>
      </c>
      <c r="G51" s="13" t="s">
        <v>93</v>
      </c>
      <c r="H51" s="26">
        <v>12.28</v>
      </c>
      <c r="I51" s="7">
        <v>13.4</v>
      </c>
      <c r="J51" s="42" t="str">
        <f t="shared" si="1"/>
        <v/>
      </c>
      <c r="K51" s="42" t="str">
        <f t="shared" si="2"/>
        <v/>
      </c>
      <c r="L51" s="42">
        <f t="shared" si="3"/>
        <v>1.120000000000001</v>
      </c>
      <c r="M51" s="17" t="str">
        <f t="shared" si="4"/>
        <v/>
      </c>
      <c r="N51" s="17" t="str">
        <f t="shared" si="5"/>
        <v/>
      </c>
      <c r="O51" s="17" t="str">
        <f t="shared" si="6"/>
        <v>Out of Tolerance</v>
      </c>
    </row>
    <row r="52" spans="1:15" x14ac:dyDescent="0.3">
      <c r="A52" s="168">
        <v>46144</v>
      </c>
      <c r="B52" s="64">
        <v>46144.458333333299</v>
      </c>
      <c r="C52" s="142">
        <f t="shared" si="0"/>
        <v>46144.458333333299</v>
      </c>
      <c r="D52" s="19" t="s">
        <v>21</v>
      </c>
      <c r="E52" s="8" t="s">
        <v>10</v>
      </c>
      <c r="F52" s="7" t="s">
        <v>19</v>
      </c>
      <c r="G52" s="13" t="s">
        <v>93</v>
      </c>
      <c r="H52" s="26">
        <v>11.38</v>
      </c>
      <c r="I52" s="7">
        <v>11.23</v>
      </c>
      <c r="J52" s="42" t="str">
        <f t="shared" si="1"/>
        <v/>
      </c>
      <c r="K52" s="42" t="str">
        <f t="shared" si="2"/>
        <v/>
      </c>
      <c r="L52" s="42">
        <f t="shared" si="3"/>
        <v>-0.15000000000000036</v>
      </c>
      <c r="M52" s="17" t="str">
        <f t="shared" si="4"/>
        <v/>
      </c>
      <c r="N52" s="17" t="str">
        <f t="shared" si="5"/>
        <v/>
      </c>
      <c r="O52" s="17" t="str">
        <f t="shared" si="6"/>
        <v>Within Tolerance</v>
      </c>
    </row>
    <row r="53" spans="1:15" x14ac:dyDescent="0.3">
      <c r="A53" s="169">
        <v>46144</v>
      </c>
      <c r="B53" s="64">
        <v>46144.760416666701</v>
      </c>
      <c r="C53" s="142">
        <f t="shared" si="0"/>
        <v>46144.760416666701</v>
      </c>
      <c r="D53" s="7" t="s">
        <v>31</v>
      </c>
      <c r="E53" s="8" t="s">
        <v>14</v>
      </c>
      <c r="F53" s="7" t="s">
        <v>19</v>
      </c>
      <c r="G53" s="13" t="s">
        <v>93</v>
      </c>
      <c r="H53" s="26">
        <v>13.32</v>
      </c>
      <c r="I53" s="7">
        <v>13.3</v>
      </c>
      <c r="J53" s="42" t="str">
        <f t="shared" si="1"/>
        <v/>
      </c>
      <c r="K53" s="42" t="str">
        <f t="shared" si="2"/>
        <v/>
      </c>
      <c r="L53" s="42">
        <f t="shared" si="3"/>
        <v>-1.9999999999999574E-2</v>
      </c>
      <c r="M53" s="17" t="str">
        <f t="shared" si="4"/>
        <v/>
      </c>
      <c r="N53" s="17" t="str">
        <f t="shared" si="5"/>
        <v/>
      </c>
      <c r="O53" s="17" t="str">
        <f t="shared" si="6"/>
        <v>Within Tolerance</v>
      </c>
    </row>
    <row r="54" spans="1:15" x14ac:dyDescent="0.3">
      <c r="A54" s="168">
        <v>46144</v>
      </c>
      <c r="B54" s="64">
        <v>46144.454861111102</v>
      </c>
      <c r="C54" s="142">
        <f t="shared" si="0"/>
        <v>46144.454861111102</v>
      </c>
      <c r="D54" s="19" t="s">
        <v>51</v>
      </c>
      <c r="E54" s="8" t="s">
        <v>10</v>
      </c>
      <c r="F54" s="7" t="s">
        <v>24</v>
      </c>
      <c r="G54" s="13" t="s">
        <v>93</v>
      </c>
      <c r="H54" s="26">
        <v>9.81</v>
      </c>
      <c r="I54" s="7">
        <v>9.7100000000000009</v>
      </c>
      <c r="J54" s="42" t="str">
        <f t="shared" si="1"/>
        <v/>
      </c>
      <c r="K54" s="42" t="str">
        <f t="shared" si="2"/>
        <v/>
      </c>
      <c r="L54" s="42">
        <f t="shared" si="3"/>
        <v>-9.9999999999999645E-2</v>
      </c>
      <c r="M54" s="17" t="str">
        <f t="shared" si="4"/>
        <v/>
      </c>
      <c r="N54" s="17" t="str">
        <f t="shared" si="5"/>
        <v/>
      </c>
      <c r="O54" s="17" t="str">
        <f t="shared" si="6"/>
        <v>Within Tolerance</v>
      </c>
    </row>
    <row r="55" spans="1:15" x14ac:dyDescent="0.3">
      <c r="A55" s="169">
        <v>46144</v>
      </c>
      <c r="B55" s="64">
        <v>46144.555555555598</v>
      </c>
      <c r="C55" s="142">
        <f t="shared" si="0"/>
        <v>46144.555555555598</v>
      </c>
      <c r="D55" s="19" t="s">
        <v>50</v>
      </c>
      <c r="E55" s="8" t="s">
        <v>10</v>
      </c>
      <c r="F55" s="7" t="s">
        <v>24</v>
      </c>
      <c r="G55" s="13" t="s">
        <v>93</v>
      </c>
      <c r="H55" s="26">
        <v>9.7100000000000009</v>
      </c>
      <c r="I55" s="7">
        <v>9.77</v>
      </c>
      <c r="J55" s="42" t="str">
        <f t="shared" si="1"/>
        <v/>
      </c>
      <c r="K55" s="42" t="str">
        <f t="shared" si="2"/>
        <v/>
      </c>
      <c r="L55" s="42">
        <f t="shared" si="3"/>
        <v>5.9999999999998721E-2</v>
      </c>
      <c r="M55" s="17" t="str">
        <f t="shared" si="4"/>
        <v/>
      </c>
      <c r="N55" s="17" t="str">
        <f t="shared" si="5"/>
        <v/>
      </c>
      <c r="O55" s="17" t="str">
        <f t="shared" si="6"/>
        <v>Within Tolerance</v>
      </c>
    </row>
    <row r="56" spans="1:15" x14ac:dyDescent="0.3">
      <c r="A56" s="168">
        <v>46144</v>
      </c>
      <c r="B56" s="64">
        <v>0.2986111111111111</v>
      </c>
      <c r="C56" s="142">
        <f t="shared" si="0"/>
        <v>46144.298611111109</v>
      </c>
      <c r="D56" s="19" t="s">
        <v>60</v>
      </c>
      <c r="E56" s="8" t="s">
        <v>17</v>
      </c>
      <c r="F56" s="7" t="s">
        <v>61</v>
      </c>
      <c r="G56" s="13">
        <v>8.9700000000000006</v>
      </c>
      <c r="H56" s="26">
        <v>8.99</v>
      </c>
      <c r="I56" s="21" t="s">
        <v>93</v>
      </c>
      <c r="J56" s="42">
        <f t="shared" si="1"/>
        <v>1.9999999999999574E-2</v>
      </c>
      <c r="K56" s="42" t="str">
        <f t="shared" si="2"/>
        <v/>
      </c>
      <c r="L56" s="42" t="str">
        <f t="shared" si="3"/>
        <v/>
      </c>
      <c r="M56" s="17" t="str">
        <f t="shared" si="4"/>
        <v>Within Tolerance</v>
      </c>
      <c r="N56" s="17" t="str">
        <f t="shared" si="5"/>
        <v/>
      </c>
      <c r="O56" s="17" t="str">
        <f t="shared" si="6"/>
        <v/>
      </c>
    </row>
    <row r="57" spans="1:15" x14ac:dyDescent="0.3">
      <c r="A57" s="169">
        <v>46144</v>
      </c>
      <c r="B57" s="64">
        <v>46144.666666666701</v>
      </c>
      <c r="C57" s="142">
        <f t="shared" si="0"/>
        <v>46144.666666666701</v>
      </c>
      <c r="D57" s="19" t="s">
        <v>62</v>
      </c>
      <c r="E57" s="8" t="s">
        <v>10</v>
      </c>
      <c r="F57" s="7" t="s">
        <v>24</v>
      </c>
      <c r="G57" s="13" t="s">
        <v>93</v>
      </c>
      <c r="H57" s="26">
        <v>9.65</v>
      </c>
      <c r="I57" s="7">
        <v>9.57</v>
      </c>
      <c r="J57" s="42" t="str">
        <f t="shared" si="1"/>
        <v/>
      </c>
      <c r="K57" s="42" t="str">
        <f t="shared" si="2"/>
        <v/>
      </c>
      <c r="L57" s="42">
        <f t="shared" si="3"/>
        <v>-8.0000000000000071E-2</v>
      </c>
      <c r="M57" s="17" t="str">
        <f t="shared" si="4"/>
        <v/>
      </c>
      <c r="N57" s="17" t="str">
        <f t="shared" si="5"/>
        <v/>
      </c>
      <c r="O57" s="17" t="str">
        <f t="shared" si="6"/>
        <v>Within Tolerance</v>
      </c>
    </row>
    <row r="58" spans="1:15" x14ac:dyDescent="0.3">
      <c r="A58" s="168">
        <v>46145</v>
      </c>
      <c r="B58" s="64">
        <v>46145.333333333299</v>
      </c>
      <c r="C58" s="142">
        <f t="shared" si="0"/>
        <v>46145.333333333299</v>
      </c>
      <c r="D58" s="19" t="s">
        <v>41</v>
      </c>
      <c r="E58" s="8" t="s">
        <v>10</v>
      </c>
      <c r="F58" s="7" t="s">
        <v>11</v>
      </c>
      <c r="G58" s="13" t="s">
        <v>93</v>
      </c>
      <c r="H58" s="26">
        <v>9.4700000000000006</v>
      </c>
      <c r="I58" s="48">
        <v>9.34</v>
      </c>
      <c r="J58" s="42" t="str">
        <f t="shared" si="1"/>
        <v/>
      </c>
      <c r="K58" s="42" t="str">
        <f t="shared" si="2"/>
        <v/>
      </c>
      <c r="L58" s="42">
        <f t="shared" si="3"/>
        <v>-0.13000000000000078</v>
      </c>
      <c r="M58" s="17" t="str">
        <f t="shared" si="4"/>
        <v/>
      </c>
      <c r="N58" s="17" t="str">
        <f t="shared" si="5"/>
        <v/>
      </c>
      <c r="O58" s="17" t="str">
        <f t="shared" si="6"/>
        <v>Within Tolerance</v>
      </c>
    </row>
    <row r="59" spans="1:15" x14ac:dyDescent="0.3">
      <c r="A59" s="169">
        <v>46145</v>
      </c>
      <c r="B59" s="64">
        <v>46145.40625</v>
      </c>
      <c r="C59" s="142">
        <f t="shared" si="0"/>
        <v>46145.40625</v>
      </c>
      <c r="D59" s="19" t="s">
        <v>35</v>
      </c>
      <c r="E59" s="8" t="s">
        <v>14</v>
      </c>
      <c r="F59" s="7" t="s">
        <v>11</v>
      </c>
      <c r="G59" s="13" t="s">
        <v>93</v>
      </c>
      <c r="H59" s="26">
        <v>12.92</v>
      </c>
      <c r="I59" s="48">
        <v>12.86</v>
      </c>
      <c r="J59" s="42" t="str">
        <f t="shared" si="1"/>
        <v/>
      </c>
      <c r="K59" s="42" t="str">
        <f t="shared" si="2"/>
        <v/>
      </c>
      <c r="L59" s="42">
        <f t="shared" si="3"/>
        <v>-6.0000000000000497E-2</v>
      </c>
      <c r="M59" s="17" t="str">
        <f t="shared" si="4"/>
        <v/>
      </c>
      <c r="N59" s="17" t="str">
        <f t="shared" si="5"/>
        <v/>
      </c>
      <c r="O59" s="17" t="str">
        <f t="shared" si="6"/>
        <v>Within Tolerance</v>
      </c>
    </row>
    <row r="60" spans="1:15" x14ac:dyDescent="0.3">
      <c r="A60" s="168">
        <v>46145</v>
      </c>
      <c r="B60" s="64">
        <v>46145.479166666701</v>
      </c>
      <c r="C60" s="142">
        <f t="shared" si="0"/>
        <v>46145.479166666701</v>
      </c>
      <c r="D60" s="19" t="s">
        <v>35</v>
      </c>
      <c r="E60" s="8" t="s">
        <v>14</v>
      </c>
      <c r="F60" s="7" t="s">
        <v>11</v>
      </c>
      <c r="G60" s="13">
        <v>12.96</v>
      </c>
      <c r="H60" s="26">
        <v>13.08</v>
      </c>
      <c r="I60" s="48">
        <v>13.08</v>
      </c>
      <c r="J60" s="42">
        <f t="shared" si="1"/>
        <v>0.11999999999999922</v>
      </c>
      <c r="K60" s="42">
        <f t="shared" si="2"/>
        <v>0.11999999999999922</v>
      </c>
      <c r="L60" s="42">
        <f t="shared" si="3"/>
        <v>0</v>
      </c>
      <c r="M60" s="17" t="str">
        <f t="shared" si="4"/>
        <v>Within Tolerance</v>
      </c>
      <c r="N60" s="17" t="str">
        <f t="shared" si="5"/>
        <v>Within Tolerance</v>
      </c>
      <c r="O60" s="17" t="str">
        <f t="shared" si="6"/>
        <v>Within Tolerance</v>
      </c>
    </row>
    <row r="61" spans="1:15" x14ac:dyDescent="0.3">
      <c r="A61" s="169">
        <v>46145</v>
      </c>
      <c r="B61" s="64">
        <v>46145.583333333299</v>
      </c>
      <c r="C61" s="142">
        <f t="shared" si="0"/>
        <v>46145.583333333299</v>
      </c>
      <c r="D61" s="19" t="s">
        <v>35</v>
      </c>
      <c r="E61" s="8" t="s">
        <v>14</v>
      </c>
      <c r="F61" s="7" t="s">
        <v>11</v>
      </c>
      <c r="G61" s="13" t="s">
        <v>93</v>
      </c>
      <c r="H61" s="26">
        <v>13.02</v>
      </c>
      <c r="I61" s="48">
        <v>13</v>
      </c>
      <c r="J61" s="42" t="str">
        <f t="shared" si="1"/>
        <v/>
      </c>
      <c r="K61" s="42" t="str">
        <f t="shared" si="2"/>
        <v/>
      </c>
      <c r="L61" s="42">
        <f t="shared" si="3"/>
        <v>-1.9999999999999574E-2</v>
      </c>
      <c r="M61" s="17" t="str">
        <f t="shared" si="4"/>
        <v/>
      </c>
      <c r="N61" s="17" t="str">
        <f t="shared" si="5"/>
        <v/>
      </c>
      <c r="O61" s="17" t="str">
        <f t="shared" si="6"/>
        <v>Within Tolerance</v>
      </c>
    </row>
    <row r="62" spans="1:15" x14ac:dyDescent="0.3">
      <c r="A62" s="168">
        <v>46145</v>
      </c>
      <c r="B62" s="64">
        <v>46145.666666666701</v>
      </c>
      <c r="C62" s="142">
        <f t="shared" si="0"/>
        <v>46145.666666666701</v>
      </c>
      <c r="D62" s="19" t="s">
        <v>35</v>
      </c>
      <c r="E62" s="8" t="s">
        <v>14</v>
      </c>
      <c r="F62" s="7" t="s">
        <v>11</v>
      </c>
      <c r="G62" s="13" t="s">
        <v>93</v>
      </c>
      <c r="H62" s="26">
        <v>13.03</v>
      </c>
      <c r="I62" s="48">
        <v>12.97</v>
      </c>
      <c r="J62" s="42" t="str">
        <f t="shared" si="1"/>
        <v/>
      </c>
      <c r="K62" s="42" t="str">
        <f t="shared" si="2"/>
        <v/>
      </c>
      <c r="L62" s="42">
        <f t="shared" si="3"/>
        <v>-5.9999999999998721E-2</v>
      </c>
      <c r="M62" s="17" t="str">
        <f t="shared" si="4"/>
        <v/>
      </c>
      <c r="N62" s="17" t="str">
        <f t="shared" si="5"/>
        <v/>
      </c>
      <c r="O62" s="17" t="str">
        <f t="shared" si="6"/>
        <v>Within Tolerance</v>
      </c>
    </row>
    <row r="63" spans="1:15" x14ac:dyDescent="0.3">
      <c r="A63" s="169">
        <v>46145</v>
      </c>
      <c r="B63" s="64">
        <v>46145.75</v>
      </c>
      <c r="C63" s="142">
        <f t="shared" si="0"/>
        <v>46145.75</v>
      </c>
      <c r="D63" s="19" t="s">
        <v>35</v>
      </c>
      <c r="E63" s="8" t="s">
        <v>14</v>
      </c>
      <c r="F63" s="7" t="s">
        <v>11</v>
      </c>
      <c r="G63" s="13" t="s">
        <v>93</v>
      </c>
      <c r="H63" s="26">
        <v>13.04</v>
      </c>
      <c r="I63" s="48">
        <v>12.97</v>
      </c>
      <c r="J63" s="42" t="str">
        <f t="shared" si="1"/>
        <v/>
      </c>
      <c r="K63" s="42" t="str">
        <f t="shared" si="2"/>
        <v/>
      </c>
      <c r="L63" s="42">
        <f t="shared" si="3"/>
        <v>-6.9999999999998508E-2</v>
      </c>
      <c r="M63" s="17" t="str">
        <f t="shared" si="4"/>
        <v/>
      </c>
      <c r="N63" s="17" t="str">
        <f t="shared" si="5"/>
        <v/>
      </c>
      <c r="O63" s="17" t="str">
        <f t="shared" si="6"/>
        <v>Within Tolerance</v>
      </c>
    </row>
    <row r="64" spans="1:15" x14ac:dyDescent="0.3">
      <c r="A64" s="168">
        <v>46145</v>
      </c>
      <c r="B64" s="64">
        <v>46145.333333333299</v>
      </c>
      <c r="C64" s="142">
        <f t="shared" si="0"/>
        <v>46145.333333333299</v>
      </c>
      <c r="D64" s="19" t="s">
        <v>29</v>
      </c>
      <c r="E64" s="8" t="s">
        <v>10</v>
      </c>
      <c r="F64" s="7" t="s">
        <v>15</v>
      </c>
      <c r="G64" s="13" t="s">
        <v>93</v>
      </c>
      <c r="H64" s="26">
        <v>10.66</v>
      </c>
      <c r="I64" s="48">
        <v>10.51</v>
      </c>
      <c r="J64" s="42" t="str">
        <f t="shared" si="1"/>
        <v/>
      </c>
      <c r="K64" s="42" t="str">
        <f t="shared" si="2"/>
        <v/>
      </c>
      <c r="L64" s="42">
        <f t="shared" si="3"/>
        <v>-0.15000000000000036</v>
      </c>
      <c r="M64" s="17" t="str">
        <f t="shared" si="4"/>
        <v/>
      </c>
      <c r="N64" s="17" t="str">
        <f t="shared" si="5"/>
        <v/>
      </c>
      <c r="O64" s="17" t="str">
        <f t="shared" si="6"/>
        <v>Within Tolerance</v>
      </c>
    </row>
    <row r="65" spans="1:17" x14ac:dyDescent="0.3">
      <c r="A65" s="169">
        <v>46145</v>
      </c>
      <c r="B65" s="64">
        <v>46145.416666666701</v>
      </c>
      <c r="C65" s="142">
        <f t="shared" si="0"/>
        <v>46145.416666666701</v>
      </c>
      <c r="D65" s="19" t="s">
        <v>29</v>
      </c>
      <c r="E65" s="8" t="s">
        <v>10</v>
      </c>
      <c r="F65" s="7" t="s">
        <v>15</v>
      </c>
      <c r="G65" s="13" t="s">
        <v>93</v>
      </c>
      <c r="H65" s="26">
        <v>10.66</v>
      </c>
      <c r="I65" s="48">
        <v>10.41</v>
      </c>
      <c r="J65" s="42" t="str">
        <f t="shared" si="1"/>
        <v/>
      </c>
      <c r="K65" s="42" t="str">
        <f t="shared" si="2"/>
        <v/>
      </c>
      <c r="L65" s="42">
        <f t="shared" si="3"/>
        <v>-0.25</v>
      </c>
      <c r="M65" s="17" t="str">
        <f t="shared" si="4"/>
        <v/>
      </c>
      <c r="N65" s="17" t="str">
        <f t="shared" si="5"/>
        <v/>
      </c>
      <c r="O65" s="17" t="str">
        <f t="shared" si="6"/>
        <v>Out of Tolerance</v>
      </c>
    </row>
    <row r="66" spans="1:17" x14ac:dyDescent="0.3">
      <c r="A66" s="168">
        <v>46145</v>
      </c>
      <c r="B66" s="64">
        <v>46145.5</v>
      </c>
      <c r="C66" s="142">
        <f t="shared" ref="C66:C129" si="7">A66+MOD(B66,1)</f>
        <v>46145.5</v>
      </c>
      <c r="D66" s="19" t="s">
        <v>29</v>
      </c>
      <c r="E66" s="8" t="s">
        <v>10</v>
      </c>
      <c r="F66" s="7" t="s">
        <v>15</v>
      </c>
      <c r="G66" s="13" t="s">
        <v>93</v>
      </c>
      <c r="H66" s="26">
        <v>10.65</v>
      </c>
      <c r="I66" s="48">
        <v>10.53</v>
      </c>
      <c r="J66" s="42" t="str">
        <f t="shared" si="1"/>
        <v/>
      </c>
      <c r="K66" s="42" t="str">
        <f t="shared" si="2"/>
        <v/>
      </c>
      <c r="L66" s="42">
        <f t="shared" si="3"/>
        <v>-0.12000000000000099</v>
      </c>
      <c r="M66" s="17" t="str">
        <f t="shared" si="4"/>
        <v/>
      </c>
      <c r="N66" s="17" t="str">
        <f t="shared" si="5"/>
        <v/>
      </c>
      <c r="O66" s="17" t="str">
        <f t="shared" si="6"/>
        <v>Within Tolerance</v>
      </c>
    </row>
    <row r="67" spans="1:17" x14ac:dyDescent="0.3">
      <c r="A67" s="169">
        <v>46145</v>
      </c>
      <c r="B67" s="64">
        <v>46145.583333333299</v>
      </c>
      <c r="C67" s="142">
        <f t="shared" si="7"/>
        <v>46145.583333333299</v>
      </c>
      <c r="D67" s="19" t="s">
        <v>29</v>
      </c>
      <c r="E67" s="8" t="s">
        <v>10</v>
      </c>
      <c r="F67" s="7" t="s">
        <v>15</v>
      </c>
      <c r="G67" s="13" t="s">
        <v>93</v>
      </c>
      <c r="H67" s="26">
        <v>10.64</v>
      </c>
      <c r="I67" s="48">
        <v>10.5</v>
      </c>
      <c r="J67" s="42" t="str">
        <f t="shared" ref="J67:J130" si="8">IF(OR(TRIM(G67&amp;"")="",TRIM(H67&amp;"")="",G67="-",H67="-"),"",H67-G67)</f>
        <v/>
      </c>
      <c r="K67" s="42" t="str">
        <f t="shared" ref="K67:K130" si="9">IF(OR(TRIM(G67&amp;"")="",TRIM(I67&amp;"")="",G67="-",I67="-"),"",I67-G67)</f>
        <v/>
      </c>
      <c r="L67" s="42">
        <f t="shared" ref="L67:L130" si="10">IF(OR(TRIM(H67&amp;"")="",TRIM(I67&amp;"")="",H67="-",I67="-"),"",I67-H67)</f>
        <v>-0.14000000000000057</v>
      </c>
      <c r="M67" s="17" t="str">
        <f t="shared" ref="M67:M130" si="11">IF(J67="","",IF(ABS(J67)&lt;=0.2,"Within Tolerance","Out of Tolerance"))</f>
        <v/>
      </c>
      <c r="N67" s="17" t="str">
        <f t="shared" ref="N67:N85" si="12">IF(K67="","",IF(ABS(K67)&lt;=0.2,"Within Tolerance","Out of Tolerance"))</f>
        <v/>
      </c>
      <c r="O67" s="17" t="str">
        <f t="shared" ref="O67:O130" si="13">IF(L67="","",IF(ABS(L67)&lt;=0.2,"Within Tolerance","Out of Tolerance"))</f>
        <v>Within Tolerance</v>
      </c>
    </row>
    <row r="68" spans="1:17" x14ac:dyDescent="0.3">
      <c r="A68" s="168">
        <v>46145</v>
      </c>
      <c r="B68" s="64">
        <v>46145.420138888898</v>
      </c>
      <c r="C68" s="142">
        <f t="shared" si="7"/>
        <v>46145.420138888898</v>
      </c>
      <c r="D68" s="19" t="s">
        <v>37</v>
      </c>
      <c r="E68" s="8" t="s">
        <v>14</v>
      </c>
      <c r="F68" s="7" t="s">
        <v>19</v>
      </c>
      <c r="G68" s="13" t="s">
        <v>93</v>
      </c>
      <c r="H68" s="26">
        <v>12.08</v>
      </c>
      <c r="I68" s="48">
        <v>12.08</v>
      </c>
      <c r="J68" s="42" t="str">
        <f t="shared" si="8"/>
        <v/>
      </c>
      <c r="K68" s="42" t="str">
        <f t="shared" si="9"/>
        <v/>
      </c>
      <c r="L68" s="42">
        <f t="shared" si="10"/>
        <v>0</v>
      </c>
      <c r="M68" s="17" t="str">
        <f t="shared" si="11"/>
        <v/>
      </c>
      <c r="N68" s="17" t="str">
        <f t="shared" si="12"/>
        <v/>
      </c>
      <c r="O68" s="17" t="str">
        <f t="shared" si="13"/>
        <v>Within Tolerance</v>
      </c>
    </row>
    <row r="69" spans="1:17" x14ac:dyDescent="0.3">
      <c r="A69" s="169">
        <v>46145</v>
      </c>
      <c r="B69" s="64">
        <v>46145.494444444397</v>
      </c>
      <c r="C69" s="142">
        <f t="shared" si="7"/>
        <v>46145.494444444397</v>
      </c>
      <c r="D69" s="19" t="s">
        <v>20</v>
      </c>
      <c r="E69" s="8" t="s">
        <v>14</v>
      </c>
      <c r="F69" s="7" t="s">
        <v>19</v>
      </c>
      <c r="G69" s="13" t="s">
        <v>93</v>
      </c>
      <c r="H69" s="26">
        <v>12.47</v>
      </c>
      <c r="I69" s="48">
        <v>12.32</v>
      </c>
      <c r="J69" s="42" t="str">
        <f t="shared" si="8"/>
        <v/>
      </c>
      <c r="K69" s="42" t="str">
        <f t="shared" si="9"/>
        <v/>
      </c>
      <c r="L69" s="42">
        <f t="shared" si="10"/>
        <v>-0.15000000000000036</v>
      </c>
      <c r="M69" s="17" t="str">
        <f t="shared" si="11"/>
        <v/>
      </c>
      <c r="N69" s="17" t="str">
        <f t="shared" si="12"/>
        <v/>
      </c>
      <c r="O69" s="17" t="str">
        <f t="shared" si="13"/>
        <v>Within Tolerance</v>
      </c>
    </row>
    <row r="70" spans="1:17" x14ac:dyDescent="0.3">
      <c r="A70" s="168">
        <v>46145</v>
      </c>
      <c r="B70" s="64">
        <v>46145.600694444402</v>
      </c>
      <c r="C70" s="142">
        <f t="shared" si="7"/>
        <v>46145.600694444402</v>
      </c>
      <c r="D70" s="19" t="s">
        <v>18</v>
      </c>
      <c r="E70" s="8" t="s">
        <v>14</v>
      </c>
      <c r="F70" s="7" t="s">
        <v>19</v>
      </c>
      <c r="G70" s="13" t="s">
        <v>93</v>
      </c>
      <c r="H70" s="26">
        <v>13.44</v>
      </c>
      <c r="I70" s="48">
        <v>13.4</v>
      </c>
      <c r="J70" s="42" t="str">
        <f t="shared" si="8"/>
        <v/>
      </c>
      <c r="K70" s="42" t="str">
        <f t="shared" si="9"/>
        <v/>
      </c>
      <c r="L70" s="42">
        <f t="shared" si="10"/>
        <v>-3.9999999999999147E-2</v>
      </c>
      <c r="M70" s="17" t="str">
        <f t="shared" si="11"/>
        <v/>
      </c>
      <c r="N70" s="17" t="str">
        <f t="shared" si="12"/>
        <v/>
      </c>
      <c r="O70" s="17" t="str">
        <f t="shared" si="13"/>
        <v>Within Tolerance</v>
      </c>
    </row>
    <row r="71" spans="1:17" x14ac:dyDescent="0.3">
      <c r="A71" s="169">
        <v>46145</v>
      </c>
      <c r="B71" s="64">
        <v>46145.402777777803</v>
      </c>
      <c r="C71" s="142">
        <f t="shared" si="7"/>
        <v>46145.402777777803</v>
      </c>
      <c r="D71" s="19" t="s">
        <v>50</v>
      </c>
      <c r="E71" s="8" t="s">
        <v>10</v>
      </c>
      <c r="F71" s="7" t="s">
        <v>24</v>
      </c>
      <c r="G71" s="13" t="s">
        <v>93</v>
      </c>
      <c r="H71" s="26">
        <v>9.59</v>
      </c>
      <c r="I71" s="48">
        <v>9.56</v>
      </c>
      <c r="J71" s="42" t="str">
        <f t="shared" si="8"/>
        <v/>
      </c>
      <c r="K71" s="42" t="str">
        <f t="shared" si="9"/>
        <v/>
      </c>
      <c r="L71" s="42">
        <f t="shared" si="10"/>
        <v>-2.9999999999999361E-2</v>
      </c>
      <c r="M71" s="17" t="str">
        <f t="shared" si="11"/>
        <v/>
      </c>
      <c r="N71" s="17" t="str">
        <f t="shared" si="12"/>
        <v/>
      </c>
      <c r="O71" s="17" t="str">
        <f t="shared" si="13"/>
        <v>Within Tolerance</v>
      </c>
    </row>
    <row r="72" spans="1:17" x14ac:dyDescent="0.3">
      <c r="A72" s="168">
        <v>46145</v>
      </c>
      <c r="B72" s="64">
        <v>46145.479166666701</v>
      </c>
      <c r="C72" s="142">
        <f t="shared" si="7"/>
        <v>46145.479166666701</v>
      </c>
      <c r="D72" s="19" t="s">
        <v>51</v>
      </c>
      <c r="E72" s="8" t="s">
        <v>10</v>
      </c>
      <c r="F72" s="7" t="s">
        <v>24</v>
      </c>
      <c r="G72" s="13" t="s">
        <v>93</v>
      </c>
      <c r="H72" s="26">
        <v>9.7200000000000006</v>
      </c>
      <c r="I72" s="48">
        <v>9.59</v>
      </c>
      <c r="J72" s="42" t="str">
        <f t="shared" si="8"/>
        <v/>
      </c>
      <c r="K72" s="42" t="str">
        <f t="shared" si="9"/>
        <v/>
      </c>
      <c r="L72" s="42">
        <f t="shared" si="10"/>
        <v>-0.13000000000000078</v>
      </c>
      <c r="M72" s="17" t="str">
        <f t="shared" si="11"/>
        <v/>
      </c>
      <c r="N72" s="17" t="str">
        <f t="shared" si="12"/>
        <v/>
      </c>
      <c r="O72" s="17" t="str">
        <f t="shared" si="13"/>
        <v>Within Tolerance</v>
      </c>
    </row>
    <row r="73" spans="1:17" x14ac:dyDescent="0.3">
      <c r="A73" s="169">
        <v>46146</v>
      </c>
      <c r="B73" s="64">
        <v>46146.763888888898</v>
      </c>
      <c r="C73" s="142">
        <f t="shared" si="7"/>
        <v>46146.763888888898</v>
      </c>
      <c r="D73" s="19" t="s">
        <v>41</v>
      </c>
      <c r="E73" s="8" t="s">
        <v>10</v>
      </c>
      <c r="F73" s="7" t="s">
        <v>11</v>
      </c>
      <c r="G73" s="13" t="s">
        <v>93</v>
      </c>
      <c r="H73" s="26">
        <v>9.85</v>
      </c>
      <c r="I73" s="7">
        <v>9.76</v>
      </c>
      <c r="J73" s="42" t="str">
        <f t="shared" si="8"/>
        <v/>
      </c>
      <c r="K73" s="42" t="str">
        <f t="shared" si="9"/>
        <v/>
      </c>
      <c r="L73" s="42">
        <f t="shared" si="10"/>
        <v>-8.9999999999999858E-2</v>
      </c>
      <c r="M73" s="17" t="str">
        <f t="shared" si="11"/>
        <v/>
      </c>
      <c r="N73" s="17" t="str">
        <f t="shared" si="12"/>
        <v/>
      </c>
      <c r="O73" s="17" t="str">
        <f t="shared" si="13"/>
        <v>Within Tolerance</v>
      </c>
    </row>
    <row r="74" spans="1:17" x14ac:dyDescent="0.3">
      <c r="A74" s="168">
        <v>46146</v>
      </c>
      <c r="B74" s="64">
        <v>46146.777777777803</v>
      </c>
      <c r="C74" s="142">
        <f t="shared" si="7"/>
        <v>46146.777777777803</v>
      </c>
      <c r="D74" s="19" t="s">
        <v>41</v>
      </c>
      <c r="E74" s="8" t="s">
        <v>10</v>
      </c>
      <c r="F74" s="7" t="s">
        <v>11</v>
      </c>
      <c r="G74" s="13" t="s">
        <v>93</v>
      </c>
      <c r="H74" s="26">
        <v>9.6</v>
      </c>
      <c r="I74" s="7">
        <v>9.49</v>
      </c>
      <c r="J74" s="42" t="str">
        <f t="shared" si="8"/>
        <v/>
      </c>
      <c r="K74" s="42" t="str">
        <f t="shared" si="9"/>
        <v/>
      </c>
      <c r="L74" s="42">
        <f t="shared" si="10"/>
        <v>-0.10999999999999943</v>
      </c>
      <c r="M74" s="17" t="str">
        <f t="shared" si="11"/>
        <v/>
      </c>
      <c r="N74" s="17" t="str">
        <f t="shared" si="12"/>
        <v/>
      </c>
      <c r="O74" s="17" t="str">
        <f t="shared" si="13"/>
        <v>Within Tolerance</v>
      </c>
    </row>
    <row r="75" spans="1:17" x14ac:dyDescent="0.3">
      <c r="A75" s="169">
        <v>46146</v>
      </c>
      <c r="B75" s="64">
        <v>46146.833333333299</v>
      </c>
      <c r="C75" s="142">
        <f t="shared" si="7"/>
        <v>46146.833333333299</v>
      </c>
      <c r="D75" s="19" t="s">
        <v>41</v>
      </c>
      <c r="E75" s="8" t="s">
        <v>10</v>
      </c>
      <c r="F75" s="7" t="s">
        <v>11</v>
      </c>
      <c r="G75" s="13" t="s">
        <v>93</v>
      </c>
      <c r="H75" s="26">
        <v>9.5399999999999991</v>
      </c>
      <c r="I75" s="7">
        <v>9.59</v>
      </c>
      <c r="J75" s="42" t="str">
        <f t="shared" si="8"/>
        <v/>
      </c>
      <c r="K75" s="42" t="str">
        <f t="shared" si="9"/>
        <v/>
      </c>
      <c r="L75" s="42">
        <f t="shared" si="10"/>
        <v>5.0000000000000711E-2</v>
      </c>
      <c r="M75" s="17" t="str">
        <f t="shared" si="11"/>
        <v/>
      </c>
      <c r="N75" s="17" t="str">
        <f t="shared" si="12"/>
        <v/>
      </c>
      <c r="O75" s="17" t="str">
        <f t="shared" si="13"/>
        <v>Within Tolerance</v>
      </c>
    </row>
    <row r="76" spans="1:17" x14ac:dyDescent="0.3">
      <c r="A76" s="168">
        <v>46146</v>
      </c>
      <c r="B76" s="64">
        <v>46146.965277777803</v>
      </c>
      <c r="C76" s="142">
        <f t="shared" si="7"/>
        <v>46146.965277777803</v>
      </c>
      <c r="D76" s="19" t="s">
        <v>41</v>
      </c>
      <c r="E76" s="8" t="s">
        <v>10</v>
      </c>
      <c r="F76" s="7" t="s">
        <v>11</v>
      </c>
      <c r="G76" s="13" t="s">
        <v>93</v>
      </c>
      <c r="H76" s="26">
        <v>9.66</v>
      </c>
      <c r="I76" s="21" t="s">
        <v>93</v>
      </c>
      <c r="J76" s="42" t="str">
        <f t="shared" si="8"/>
        <v/>
      </c>
      <c r="K76" s="42" t="str">
        <f t="shared" si="9"/>
        <v/>
      </c>
      <c r="L76" s="42" t="str">
        <f t="shared" si="10"/>
        <v/>
      </c>
      <c r="M76" s="17" t="str">
        <f t="shared" si="11"/>
        <v/>
      </c>
      <c r="N76" s="17" t="str">
        <f t="shared" si="12"/>
        <v/>
      </c>
      <c r="O76" s="17" t="str">
        <f t="shared" si="13"/>
        <v/>
      </c>
    </row>
    <row r="77" spans="1:17" x14ac:dyDescent="0.3">
      <c r="A77" s="169">
        <v>46147</v>
      </c>
      <c r="B77" s="64">
        <v>46147</v>
      </c>
      <c r="C77" s="142">
        <f t="shared" si="7"/>
        <v>46147</v>
      </c>
      <c r="D77" s="19" t="s">
        <v>41</v>
      </c>
      <c r="E77" s="8" t="s">
        <v>10</v>
      </c>
      <c r="F77" s="7" t="s">
        <v>11</v>
      </c>
      <c r="G77" s="13" t="s">
        <v>93</v>
      </c>
      <c r="H77" s="26">
        <v>9.61</v>
      </c>
      <c r="I77" s="7">
        <v>9.48</v>
      </c>
      <c r="J77" s="42" t="str">
        <f t="shared" si="8"/>
        <v/>
      </c>
      <c r="K77" s="42" t="str">
        <f t="shared" si="9"/>
        <v/>
      </c>
      <c r="L77" s="42">
        <f t="shared" si="10"/>
        <v>-0.12999999999999901</v>
      </c>
      <c r="M77" s="17" t="str">
        <f t="shared" si="11"/>
        <v/>
      </c>
      <c r="N77" s="17" t="str">
        <f t="shared" si="12"/>
        <v/>
      </c>
      <c r="O77" s="17" t="str">
        <f t="shared" si="13"/>
        <v>Within Tolerance</v>
      </c>
    </row>
    <row r="78" spans="1:17" x14ac:dyDescent="0.3">
      <c r="A78" s="168">
        <v>46147</v>
      </c>
      <c r="B78" s="64">
        <v>46147.083333333299</v>
      </c>
      <c r="C78" s="142">
        <f t="shared" si="7"/>
        <v>46147.083333333299</v>
      </c>
      <c r="D78" s="19" t="s">
        <v>41</v>
      </c>
      <c r="E78" s="8" t="s">
        <v>10</v>
      </c>
      <c r="F78" s="7" t="s">
        <v>11</v>
      </c>
      <c r="G78" s="13" t="s">
        <v>93</v>
      </c>
      <c r="H78" s="26">
        <v>9.64</v>
      </c>
      <c r="I78" s="7">
        <v>9.57</v>
      </c>
      <c r="J78" s="42" t="str">
        <f t="shared" si="8"/>
        <v/>
      </c>
      <c r="K78" s="42" t="str">
        <f t="shared" si="9"/>
        <v/>
      </c>
      <c r="L78" s="42">
        <f t="shared" si="10"/>
        <v>-7.0000000000000284E-2</v>
      </c>
      <c r="M78" s="17" t="str">
        <f t="shared" si="11"/>
        <v/>
      </c>
      <c r="N78" s="17" t="str">
        <f t="shared" si="12"/>
        <v/>
      </c>
      <c r="O78" s="17" t="str">
        <f t="shared" si="13"/>
        <v>Within Tolerance</v>
      </c>
    </row>
    <row r="79" spans="1:17" x14ac:dyDescent="0.3">
      <c r="A79" s="169">
        <v>46147</v>
      </c>
      <c r="B79" s="64">
        <v>46147.166666666701</v>
      </c>
      <c r="C79" s="142">
        <f t="shared" si="7"/>
        <v>46147.166666666701</v>
      </c>
      <c r="D79" s="19" t="s">
        <v>41</v>
      </c>
      <c r="E79" s="8" t="s">
        <v>10</v>
      </c>
      <c r="F79" s="7" t="s">
        <v>11</v>
      </c>
      <c r="G79" s="13" t="s">
        <v>93</v>
      </c>
      <c r="H79" s="26">
        <v>9.61</v>
      </c>
      <c r="I79" s="7">
        <v>9.43</v>
      </c>
      <c r="J79" s="42" t="str">
        <f t="shared" si="8"/>
        <v/>
      </c>
      <c r="K79" s="42" t="str">
        <f t="shared" si="9"/>
        <v/>
      </c>
      <c r="L79" s="42">
        <f t="shared" si="10"/>
        <v>-0.17999999999999972</v>
      </c>
      <c r="M79" s="17" t="str">
        <f t="shared" si="11"/>
        <v/>
      </c>
      <c r="N79" s="17" t="str">
        <f t="shared" si="12"/>
        <v/>
      </c>
      <c r="O79" s="17" t="str">
        <f t="shared" si="13"/>
        <v>Within Tolerance</v>
      </c>
      <c r="Q79" s="17" t="s">
        <v>63</v>
      </c>
    </row>
    <row r="80" spans="1:17" x14ac:dyDescent="0.3">
      <c r="A80" s="168">
        <v>46147</v>
      </c>
      <c r="B80" s="64">
        <v>46147.25</v>
      </c>
      <c r="C80" s="142">
        <f t="shared" si="7"/>
        <v>46147.25</v>
      </c>
      <c r="D80" s="19" t="s">
        <v>41</v>
      </c>
      <c r="E80" s="8" t="s">
        <v>10</v>
      </c>
      <c r="F80" s="7" t="s">
        <v>11</v>
      </c>
      <c r="G80" s="13" t="s">
        <v>93</v>
      </c>
      <c r="H80" s="26">
        <v>9.58</v>
      </c>
      <c r="I80" s="7">
        <v>9.57</v>
      </c>
      <c r="J80" s="42" t="str">
        <f t="shared" si="8"/>
        <v/>
      </c>
      <c r="K80" s="42" t="str">
        <f t="shared" si="9"/>
        <v/>
      </c>
      <c r="L80" s="42">
        <f t="shared" si="10"/>
        <v>-9.9999999999997868E-3</v>
      </c>
      <c r="M80" s="17" t="str">
        <f t="shared" si="11"/>
        <v/>
      </c>
      <c r="N80" s="17" t="str">
        <f t="shared" si="12"/>
        <v/>
      </c>
      <c r="O80" s="17" t="str">
        <f t="shared" si="13"/>
        <v>Within Tolerance</v>
      </c>
    </row>
    <row r="81" spans="1:15" x14ac:dyDescent="0.3">
      <c r="A81" s="169">
        <v>46146</v>
      </c>
      <c r="B81" s="64">
        <v>46146.357638888898</v>
      </c>
      <c r="C81" s="142">
        <f t="shared" si="7"/>
        <v>46146.357638888898</v>
      </c>
      <c r="D81" s="19" t="s">
        <v>29</v>
      </c>
      <c r="E81" s="8" t="s">
        <v>10</v>
      </c>
      <c r="F81" s="7" t="s">
        <v>15</v>
      </c>
      <c r="G81" s="13" t="s">
        <v>93</v>
      </c>
      <c r="H81" s="26">
        <v>10.88</v>
      </c>
      <c r="I81" s="21" t="s">
        <v>93</v>
      </c>
      <c r="J81" s="42" t="str">
        <f t="shared" si="8"/>
        <v/>
      </c>
      <c r="K81" s="42" t="str">
        <f t="shared" si="9"/>
        <v/>
      </c>
      <c r="L81" s="42" t="str">
        <f t="shared" si="10"/>
        <v/>
      </c>
      <c r="M81" s="17" t="str">
        <f t="shared" si="11"/>
        <v/>
      </c>
      <c r="N81" s="17" t="str">
        <f t="shared" si="12"/>
        <v/>
      </c>
      <c r="O81" s="17" t="str">
        <f t="shared" si="13"/>
        <v/>
      </c>
    </row>
    <row r="82" spans="1:15" x14ac:dyDescent="0.3">
      <c r="A82" s="168">
        <v>46146</v>
      </c>
      <c r="B82" s="64">
        <v>46146.386805555601</v>
      </c>
      <c r="C82" s="142">
        <f t="shared" si="7"/>
        <v>46146.386805555601</v>
      </c>
      <c r="D82" s="19" t="s">
        <v>29</v>
      </c>
      <c r="E82" s="8" t="s">
        <v>10</v>
      </c>
      <c r="F82" s="7" t="s">
        <v>15</v>
      </c>
      <c r="G82" s="13" t="s">
        <v>93</v>
      </c>
      <c r="H82" s="26">
        <v>10.65</v>
      </c>
      <c r="I82" s="7">
        <v>10.37</v>
      </c>
      <c r="J82" s="42" t="str">
        <f t="shared" si="8"/>
        <v/>
      </c>
      <c r="K82" s="42" t="str">
        <f t="shared" si="9"/>
        <v/>
      </c>
      <c r="L82" s="42">
        <f t="shared" si="10"/>
        <v>-0.28000000000000114</v>
      </c>
      <c r="M82" s="17" t="str">
        <f t="shared" si="11"/>
        <v/>
      </c>
      <c r="N82" s="17" t="str">
        <f t="shared" si="12"/>
        <v/>
      </c>
      <c r="O82" s="17" t="str">
        <f t="shared" si="13"/>
        <v>Out of Tolerance</v>
      </c>
    </row>
    <row r="83" spans="1:15" x14ac:dyDescent="0.3">
      <c r="A83" s="169">
        <v>46146</v>
      </c>
      <c r="B83" s="64">
        <v>46146.4375</v>
      </c>
      <c r="C83" s="142">
        <f t="shared" si="7"/>
        <v>46146.4375</v>
      </c>
      <c r="D83" s="19" t="s">
        <v>29</v>
      </c>
      <c r="E83" s="8" t="s">
        <v>10</v>
      </c>
      <c r="F83" s="7" t="s">
        <v>15</v>
      </c>
      <c r="G83" s="13">
        <v>10.37</v>
      </c>
      <c r="H83" s="26">
        <v>10.6</v>
      </c>
      <c r="I83" s="7">
        <v>10.45</v>
      </c>
      <c r="J83" s="42">
        <f t="shared" si="8"/>
        <v>0.23000000000000043</v>
      </c>
      <c r="K83" s="42">
        <f t="shared" si="9"/>
        <v>8.0000000000000071E-2</v>
      </c>
      <c r="L83" s="42">
        <f t="shared" si="10"/>
        <v>-0.15000000000000036</v>
      </c>
      <c r="M83" s="17" t="str">
        <f t="shared" si="11"/>
        <v>Out of Tolerance</v>
      </c>
      <c r="N83" s="17" t="str">
        <f t="shared" si="12"/>
        <v>Within Tolerance</v>
      </c>
      <c r="O83" s="17" t="str">
        <f t="shared" si="13"/>
        <v>Within Tolerance</v>
      </c>
    </row>
    <row r="84" spans="1:15" x14ac:dyDescent="0.3">
      <c r="A84" s="168">
        <v>46146</v>
      </c>
      <c r="B84" s="64">
        <v>46146.520833333299</v>
      </c>
      <c r="C84" s="142">
        <f t="shared" si="7"/>
        <v>46146.520833333299</v>
      </c>
      <c r="D84" s="19" t="s">
        <v>29</v>
      </c>
      <c r="E84" s="8" t="s">
        <v>10</v>
      </c>
      <c r="F84" s="7" t="s">
        <v>15</v>
      </c>
      <c r="G84" s="13" t="s">
        <v>93</v>
      </c>
      <c r="H84" s="26">
        <v>10.6</v>
      </c>
      <c r="I84" s="7">
        <v>10.47</v>
      </c>
      <c r="J84" s="42" t="str">
        <f t="shared" si="8"/>
        <v/>
      </c>
      <c r="K84" s="42" t="str">
        <f t="shared" si="9"/>
        <v/>
      </c>
      <c r="L84" s="42">
        <f t="shared" si="10"/>
        <v>-0.12999999999999901</v>
      </c>
      <c r="M84" s="17" t="str">
        <f t="shared" si="11"/>
        <v/>
      </c>
      <c r="N84" s="17" t="str">
        <f t="shared" si="12"/>
        <v/>
      </c>
      <c r="O84" s="17" t="str">
        <f t="shared" si="13"/>
        <v>Within Tolerance</v>
      </c>
    </row>
    <row r="85" spans="1:15" x14ac:dyDescent="0.3">
      <c r="A85" s="169">
        <v>46146</v>
      </c>
      <c r="B85" s="64">
        <v>46146.604166666701</v>
      </c>
      <c r="C85" s="142">
        <f t="shared" si="7"/>
        <v>46146.604166666701</v>
      </c>
      <c r="D85" s="19" t="s">
        <v>29</v>
      </c>
      <c r="E85" s="8" t="s">
        <v>10</v>
      </c>
      <c r="F85" s="7" t="s">
        <v>15</v>
      </c>
      <c r="G85" s="13" t="s">
        <v>93</v>
      </c>
      <c r="H85" s="26">
        <v>10.49</v>
      </c>
      <c r="I85" s="7">
        <v>10.46</v>
      </c>
      <c r="J85" s="42" t="str">
        <f t="shared" si="8"/>
        <v/>
      </c>
      <c r="K85" s="42" t="str">
        <f t="shared" si="9"/>
        <v/>
      </c>
      <c r="L85" s="42">
        <f t="shared" si="10"/>
        <v>-2.9999999999999361E-2</v>
      </c>
      <c r="M85" s="17" t="str">
        <f t="shared" si="11"/>
        <v/>
      </c>
      <c r="N85" s="17" t="str">
        <f t="shared" si="12"/>
        <v/>
      </c>
      <c r="O85" s="17" t="str">
        <f t="shared" si="13"/>
        <v>Within Tolerance</v>
      </c>
    </row>
    <row r="86" spans="1:15" x14ac:dyDescent="0.3">
      <c r="A86" s="168">
        <v>46146</v>
      </c>
      <c r="B86" s="64">
        <v>46146.666666666701</v>
      </c>
      <c r="C86" s="142">
        <f t="shared" si="7"/>
        <v>46146.666666666701</v>
      </c>
      <c r="D86" s="19" t="s">
        <v>29</v>
      </c>
      <c r="E86" s="8" t="s">
        <v>10</v>
      </c>
      <c r="F86" s="7" t="s">
        <v>15</v>
      </c>
      <c r="G86" s="13" t="s">
        <v>93</v>
      </c>
      <c r="H86" s="26">
        <v>10.51</v>
      </c>
      <c r="I86" s="7">
        <v>10.49</v>
      </c>
      <c r="J86" s="42" t="str">
        <f t="shared" si="8"/>
        <v/>
      </c>
      <c r="K86" s="42" t="str">
        <f t="shared" si="9"/>
        <v/>
      </c>
      <c r="L86" s="42">
        <f t="shared" si="10"/>
        <v>-1.9999999999999574E-2</v>
      </c>
      <c r="M86" s="17" t="str">
        <f t="shared" si="11"/>
        <v/>
      </c>
      <c r="O86" s="17" t="str">
        <f t="shared" si="13"/>
        <v>Within Tolerance</v>
      </c>
    </row>
    <row r="87" spans="1:15" x14ac:dyDescent="0.3">
      <c r="A87" s="169">
        <v>46146</v>
      </c>
      <c r="B87" s="64">
        <v>46146.75</v>
      </c>
      <c r="C87" s="142">
        <f t="shared" si="7"/>
        <v>46146.75</v>
      </c>
      <c r="D87" s="19" t="s">
        <v>29</v>
      </c>
      <c r="E87" s="8" t="s">
        <v>10</v>
      </c>
      <c r="F87" s="7" t="s">
        <v>15</v>
      </c>
      <c r="G87" s="13" t="s">
        <v>93</v>
      </c>
      <c r="H87" s="26">
        <v>10.62</v>
      </c>
      <c r="I87" s="7">
        <v>10.49</v>
      </c>
      <c r="J87" s="42" t="str">
        <f t="shared" si="8"/>
        <v/>
      </c>
      <c r="K87" s="42" t="str">
        <f t="shared" si="9"/>
        <v/>
      </c>
      <c r="L87" s="42">
        <f t="shared" si="10"/>
        <v>-0.12999999999999901</v>
      </c>
      <c r="M87" s="17" t="str">
        <f t="shared" si="11"/>
        <v/>
      </c>
      <c r="O87" s="17" t="str">
        <f t="shared" si="13"/>
        <v>Within Tolerance</v>
      </c>
    </row>
    <row r="88" spans="1:15" x14ac:dyDescent="0.3">
      <c r="A88" s="168">
        <v>46146</v>
      </c>
      <c r="B88" s="64">
        <v>46146.833333333299</v>
      </c>
      <c r="C88" s="142">
        <f t="shared" si="7"/>
        <v>46146.833333333299</v>
      </c>
      <c r="D88" s="19" t="s">
        <v>29</v>
      </c>
      <c r="E88" s="8" t="s">
        <v>10</v>
      </c>
      <c r="F88" s="7" t="s">
        <v>15</v>
      </c>
      <c r="G88" s="13" t="s">
        <v>93</v>
      </c>
      <c r="H88" s="26">
        <v>10.73</v>
      </c>
      <c r="I88" s="7">
        <v>10.5</v>
      </c>
      <c r="J88" s="42" t="str">
        <f t="shared" si="8"/>
        <v/>
      </c>
      <c r="K88" s="42" t="str">
        <f t="shared" si="9"/>
        <v/>
      </c>
      <c r="L88" s="42">
        <f t="shared" si="10"/>
        <v>-0.23000000000000043</v>
      </c>
      <c r="M88" s="17" t="str">
        <f t="shared" si="11"/>
        <v/>
      </c>
      <c r="O88" s="17" t="str">
        <f t="shared" si="13"/>
        <v>Out of Tolerance</v>
      </c>
    </row>
    <row r="89" spans="1:15" x14ac:dyDescent="0.3">
      <c r="A89" s="169">
        <v>46146</v>
      </c>
      <c r="B89" s="64">
        <v>46146.899305555598</v>
      </c>
      <c r="C89" s="142">
        <f t="shared" si="7"/>
        <v>46146.899305555598</v>
      </c>
      <c r="D89" s="19" t="s">
        <v>16</v>
      </c>
      <c r="E89" s="8" t="s">
        <v>17</v>
      </c>
      <c r="F89" s="7" t="s">
        <v>15</v>
      </c>
      <c r="G89" s="13" t="s">
        <v>93</v>
      </c>
      <c r="H89" s="26">
        <v>8.75</v>
      </c>
      <c r="I89" s="21" t="s">
        <v>93</v>
      </c>
      <c r="J89" s="42" t="str">
        <f t="shared" si="8"/>
        <v/>
      </c>
      <c r="K89" s="42" t="str">
        <f t="shared" si="9"/>
        <v/>
      </c>
      <c r="L89" s="42" t="str">
        <f t="shared" si="10"/>
        <v/>
      </c>
      <c r="M89" s="17" t="str">
        <f t="shared" si="11"/>
        <v/>
      </c>
      <c r="O89" s="17" t="str">
        <f t="shared" si="13"/>
        <v/>
      </c>
    </row>
    <row r="90" spans="1:15" x14ac:dyDescent="0.3">
      <c r="A90" s="168">
        <v>46147</v>
      </c>
      <c r="B90" s="64">
        <v>46147</v>
      </c>
      <c r="C90" s="142">
        <f t="shared" si="7"/>
        <v>46147</v>
      </c>
      <c r="D90" s="19" t="s">
        <v>16</v>
      </c>
      <c r="E90" s="8" t="s">
        <v>17</v>
      </c>
      <c r="F90" s="7" t="s">
        <v>15</v>
      </c>
      <c r="G90" s="13">
        <v>8.8699999999999992</v>
      </c>
      <c r="H90" s="26">
        <v>8.7799999999999994</v>
      </c>
      <c r="I90" s="7">
        <v>8.73</v>
      </c>
      <c r="J90" s="42">
        <f t="shared" si="8"/>
        <v>-8.9999999999999858E-2</v>
      </c>
      <c r="K90" s="42">
        <f t="shared" si="9"/>
        <v>-0.13999999999999879</v>
      </c>
      <c r="L90" s="42">
        <f t="shared" si="10"/>
        <v>-4.9999999999998934E-2</v>
      </c>
      <c r="M90" s="17" t="str">
        <f t="shared" si="11"/>
        <v>Within Tolerance</v>
      </c>
      <c r="O90" s="17" t="str">
        <f t="shared" si="13"/>
        <v>Within Tolerance</v>
      </c>
    </row>
    <row r="91" spans="1:15" x14ac:dyDescent="0.3">
      <c r="A91" s="169">
        <v>46147</v>
      </c>
      <c r="B91" s="64">
        <v>46147.145833333299</v>
      </c>
      <c r="C91" s="142">
        <f t="shared" si="7"/>
        <v>46147.145833333299</v>
      </c>
      <c r="D91" s="19" t="s">
        <v>16</v>
      </c>
      <c r="E91" s="8" t="s">
        <v>17</v>
      </c>
      <c r="F91" s="7" t="s">
        <v>15</v>
      </c>
      <c r="G91" s="13" t="s">
        <v>93</v>
      </c>
      <c r="H91" s="26">
        <v>8.91</v>
      </c>
      <c r="I91" s="7">
        <v>8.9</v>
      </c>
      <c r="J91" s="42" t="str">
        <f t="shared" si="8"/>
        <v/>
      </c>
      <c r="K91" s="42" t="str">
        <f t="shared" si="9"/>
        <v/>
      </c>
      <c r="L91" s="42">
        <f t="shared" si="10"/>
        <v>-9.9999999999997868E-3</v>
      </c>
      <c r="M91" s="17" t="str">
        <f t="shared" si="11"/>
        <v/>
      </c>
      <c r="O91" s="17" t="str">
        <f t="shared" si="13"/>
        <v>Within Tolerance</v>
      </c>
    </row>
    <row r="92" spans="1:15" x14ac:dyDescent="0.3">
      <c r="A92" s="168">
        <v>46147</v>
      </c>
      <c r="B92" s="64">
        <v>46147.25</v>
      </c>
      <c r="C92" s="142">
        <f t="shared" si="7"/>
        <v>46147.25</v>
      </c>
      <c r="D92" s="19" t="s">
        <v>16</v>
      </c>
      <c r="E92" s="8" t="s">
        <v>17</v>
      </c>
      <c r="F92" s="7" t="s">
        <v>15</v>
      </c>
      <c r="G92" s="13" t="s">
        <v>93</v>
      </c>
      <c r="H92" s="26">
        <v>8.76</v>
      </c>
      <c r="I92" s="7">
        <v>8.73</v>
      </c>
      <c r="J92" s="42" t="str">
        <f t="shared" si="8"/>
        <v/>
      </c>
      <c r="K92" s="42" t="str">
        <f t="shared" si="9"/>
        <v/>
      </c>
      <c r="L92" s="42">
        <f t="shared" si="10"/>
        <v>-2.9999999999999361E-2</v>
      </c>
      <c r="M92" s="17" t="str">
        <f t="shared" si="11"/>
        <v/>
      </c>
      <c r="O92" s="17" t="str">
        <f t="shared" si="13"/>
        <v>Within Tolerance</v>
      </c>
    </row>
    <row r="93" spans="1:15" x14ac:dyDescent="0.3">
      <c r="A93" s="169">
        <v>46146</v>
      </c>
      <c r="B93" s="64">
        <v>46146.434027777803</v>
      </c>
      <c r="C93" s="142">
        <f t="shared" si="7"/>
        <v>46146.434027777803</v>
      </c>
      <c r="D93" s="19" t="s">
        <v>34</v>
      </c>
      <c r="E93" s="8" t="s">
        <v>14</v>
      </c>
      <c r="F93" s="7" t="s">
        <v>19</v>
      </c>
      <c r="G93" s="13">
        <v>12.56</v>
      </c>
      <c r="H93" s="26">
        <v>12.41</v>
      </c>
      <c r="I93" s="7">
        <v>12.31</v>
      </c>
      <c r="J93" s="42">
        <f t="shared" si="8"/>
        <v>-0.15000000000000036</v>
      </c>
      <c r="K93" s="42">
        <f t="shared" si="9"/>
        <v>-0.25</v>
      </c>
      <c r="L93" s="42">
        <f t="shared" si="10"/>
        <v>-9.9999999999999645E-2</v>
      </c>
      <c r="M93" s="17" t="str">
        <f t="shared" si="11"/>
        <v>Within Tolerance</v>
      </c>
      <c r="O93" s="17" t="str">
        <f t="shared" si="13"/>
        <v>Within Tolerance</v>
      </c>
    </row>
    <row r="94" spans="1:15" x14ac:dyDescent="0.3">
      <c r="A94" s="168">
        <v>46146</v>
      </c>
      <c r="B94" s="64">
        <v>46146.541666666701</v>
      </c>
      <c r="C94" s="142">
        <f t="shared" si="7"/>
        <v>46146.541666666701</v>
      </c>
      <c r="D94" s="19" t="s">
        <v>21</v>
      </c>
      <c r="E94" s="8" t="s">
        <v>10</v>
      </c>
      <c r="F94" s="7" t="s">
        <v>19</v>
      </c>
      <c r="G94" s="13" t="s">
        <v>93</v>
      </c>
      <c r="H94" s="26">
        <v>11.2</v>
      </c>
      <c r="I94" s="7">
        <v>11.27</v>
      </c>
      <c r="J94" s="42" t="str">
        <f t="shared" si="8"/>
        <v/>
      </c>
      <c r="K94" s="42" t="str">
        <f t="shared" si="9"/>
        <v/>
      </c>
      <c r="L94" s="42">
        <f t="shared" si="10"/>
        <v>7.0000000000000284E-2</v>
      </c>
      <c r="M94" s="17" t="str">
        <f t="shared" si="11"/>
        <v/>
      </c>
      <c r="O94" s="17" t="str">
        <f t="shared" si="13"/>
        <v>Within Tolerance</v>
      </c>
    </row>
    <row r="95" spans="1:15" x14ac:dyDescent="0.3">
      <c r="A95" s="169">
        <v>46146</v>
      </c>
      <c r="B95" s="64">
        <v>46146.659722222197</v>
      </c>
      <c r="C95" s="142">
        <f t="shared" si="7"/>
        <v>46146.659722222197</v>
      </c>
      <c r="D95" s="7" t="s">
        <v>31</v>
      </c>
      <c r="E95" s="8" t="s">
        <v>14</v>
      </c>
      <c r="F95" s="7" t="s">
        <v>19</v>
      </c>
      <c r="G95" s="13" t="s">
        <v>93</v>
      </c>
      <c r="H95" s="26">
        <v>13.27</v>
      </c>
      <c r="I95" s="7">
        <v>13.4</v>
      </c>
      <c r="J95" s="42" t="str">
        <f t="shared" si="8"/>
        <v/>
      </c>
      <c r="K95" s="42" t="str">
        <f t="shared" si="9"/>
        <v/>
      </c>
      <c r="L95" s="42">
        <f t="shared" si="10"/>
        <v>0.13000000000000078</v>
      </c>
      <c r="M95" s="17" t="str">
        <f t="shared" si="11"/>
        <v/>
      </c>
      <c r="O95" s="17" t="str">
        <f t="shared" si="13"/>
        <v>Within Tolerance</v>
      </c>
    </row>
    <row r="96" spans="1:15" x14ac:dyDescent="0.3">
      <c r="A96" s="168">
        <v>46146</v>
      </c>
      <c r="B96" s="64">
        <v>46146.802083333299</v>
      </c>
      <c r="C96" s="142">
        <f t="shared" si="7"/>
        <v>46146.802083333299</v>
      </c>
      <c r="D96" s="19" t="s">
        <v>36</v>
      </c>
      <c r="E96" s="8" t="s">
        <v>10</v>
      </c>
      <c r="F96" s="7" t="s">
        <v>19</v>
      </c>
      <c r="G96" s="13">
        <v>10.17</v>
      </c>
      <c r="H96" s="26">
        <v>10.02</v>
      </c>
      <c r="I96" s="7">
        <v>10.119999999999999</v>
      </c>
      <c r="J96" s="42">
        <f t="shared" si="8"/>
        <v>-0.15000000000000036</v>
      </c>
      <c r="K96" s="42">
        <f t="shared" si="9"/>
        <v>-5.0000000000000711E-2</v>
      </c>
      <c r="L96" s="42">
        <f t="shared" si="10"/>
        <v>9.9999999999999645E-2</v>
      </c>
      <c r="M96" s="17" t="str">
        <f t="shared" si="11"/>
        <v>Within Tolerance</v>
      </c>
      <c r="O96" s="17" t="str">
        <f t="shared" si="13"/>
        <v>Within Tolerance</v>
      </c>
    </row>
    <row r="97" spans="1:15" x14ac:dyDescent="0.3">
      <c r="A97" s="169">
        <v>46146</v>
      </c>
      <c r="B97" s="64">
        <v>46146.461805555598</v>
      </c>
      <c r="C97" s="142">
        <f t="shared" si="7"/>
        <v>46146.461805555598</v>
      </c>
      <c r="D97" s="19" t="s">
        <v>45</v>
      </c>
      <c r="E97" s="8" t="s">
        <v>17</v>
      </c>
      <c r="F97" s="7" t="s">
        <v>24</v>
      </c>
      <c r="G97" s="13" t="s">
        <v>93</v>
      </c>
      <c r="H97" s="26">
        <v>8.6300000000000008</v>
      </c>
      <c r="I97" s="7">
        <v>8.5399999999999991</v>
      </c>
      <c r="J97" s="42" t="str">
        <f t="shared" si="8"/>
        <v/>
      </c>
      <c r="K97" s="42" t="str">
        <f t="shared" si="9"/>
        <v/>
      </c>
      <c r="L97" s="42">
        <f t="shared" si="10"/>
        <v>-9.0000000000001634E-2</v>
      </c>
      <c r="M97" s="17" t="str">
        <f t="shared" si="11"/>
        <v/>
      </c>
      <c r="O97" s="17" t="str">
        <f t="shared" si="13"/>
        <v>Within Tolerance</v>
      </c>
    </row>
    <row r="98" spans="1:15" x14ac:dyDescent="0.3">
      <c r="A98" s="168">
        <v>46146</v>
      </c>
      <c r="B98" s="64">
        <v>46146.506944444402</v>
      </c>
      <c r="C98" s="142">
        <f t="shared" si="7"/>
        <v>46146.506944444402</v>
      </c>
      <c r="D98" s="19" t="s">
        <v>50</v>
      </c>
      <c r="E98" s="8" t="s">
        <v>10</v>
      </c>
      <c r="F98" s="7" t="s">
        <v>24</v>
      </c>
      <c r="G98" s="13" t="s">
        <v>93</v>
      </c>
      <c r="H98" s="26">
        <v>9.69</v>
      </c>
      <c r="I98" s="7">
        <v>9.82</v>
      </c>
      <c r="J98" s="42" t="str">
        <f t="shared" si="8"/>
        <v/>
      </c>
      <c r="K98" s="42" t="str">
        <f t="shared" si="9"/>
        <v/>
      </c>
      <c r="L98" s="42">
        <f t="shared" si="10"/>
        <v>0.13000000000000078</v>
      </c>
      <c r="M98" s="17" t="str">
        <f t="shared" si="11"/>
        <v/>
      </c>
      <c r="O98" s="17" t="str">
        <f t="shared" si="13"/>
        <v>Within Tolerance</v>
      </c>
    </row>
    <row r="99" spans="1:15" x14ac:dyDescent="0.3">
      <c r="A99" s="169">
        <v>46146</v>
      </c>
      <c r="B99" s="64">
        <v>46146.576388888898</v>
      </c>
      <c r="C99" s="142">
        <f t="shared" si="7"/>
        <v>46146.576388888898</v>
      </c>
      <c r="D99" s="19" t="s">
        <v>23</v>
      </c>
      <c r="E99" s="8" t="s">
        <v>10</v>
      </c>
      <c r="F99" s="7" t="s">
        <v>24</v>
      </c>
      <c r="G99" s="13" t="s">
        <v>93</v>
      </c>
      <c r="H99" s="26">
        <v>9.7799999999999994</v>
      </c>
      <c r="I99" s="7">
        <v>9.75</v>
      </c>
      <c r="J99" s="42" t="str">
        <f t="shared" si="8"/>
        <v/>
      </c>
      <c r="K99" s="42" t="str">
        <f t="shared" si="9"/>
        <v/>
      </c>
      <c r="L99" s="42">
        <f t="shared" si="10"/>
        <v>-2.9999999999999361E-2</v>
      </c>
      <c r="M99" s="17" t="str">
        <f t="shared" si="11"/>
        <v/>
      </c>
      <c r="O99" s="17" t="str">
        <f t="shared" si="13"/>
        <v>Within Tolerance</v>
      </c>
    </row>
    <row r="100" spans="1:15" x14ac:dyDescent="0.3">
      <c r="A100" s="168">
        <v>46146</v>
      </c>
      <c r="B100" s="64">
        <v>46146.659722222197</v>
      </c>
      <c r="C100" s="142">
        <f t="shared" si="7"/>
        <v>46146.659722222197</v>
      </c>
      <c r="D100" s="19" t="s">
        <v>51</v>
      </c>
      <c r="E100" s="8" t="s">
        <v>10</v>
      </c>
      <c r="F100" s="7" t="s">
        <v>24</v>
      </c>
      <c r="G100" s="13" t="s">
        <v>93</v>
      </c>
      <c r="H100" s="26">
        <v>9.6199999999999992</v>
      </c>
      <c r="I100" s="7">
        <v>9.75</v>
      </c>
      <c r="J100" s="42" t="str">
        <f t="shared" si="8"/>
        <v/>
      </c>
      <c r="K100" s="42" t="str">
        <f t="shared" si="9"/>
        <v/>
      </c>
      <c r="L100" s="42">
        <f t="shared" si="10"/>
        <v>0.13000000000000078</v>
      </c>
      <c r="M100" s="17" t="str">
        <f t="shared" si="11"/>
        <v/>
      </c>
      <c r="O100" s="17" t="str">
        <f t="shared" si="13"/>
        <v>Within Tolerance</v>
      </c>
    </row>
    <row r="101" spans="1:15" x14ac:dyDescent="0.3">
      <c r="A101" s="169">
        <v>46147</v>
      </c>
      <c r="B101" s="64">
        <v>46147.347222222197</v>
      </c>
      <c r="C101" s="142">
        <f t="shared" si="7"/>
        <v>46147.347222222197</v>
      </c>
      <c r="D101" s="19" t="s">
        <v>52</v>
      </c>
      <c r="E101" s="8" t="s">
        <v>17</v>
      </c>
      <c r="F101" s="7" t="s">
        <v>15</v>
      </c>
      <c r="G101" s="13" t="s">
        <v>93</v>
      </c>
      <c r="H101" s="26">
        <v>8.7100000000000009</v>
      </c>
      <c r="I101" s="16">
        <v>8.52</v>
      </c>
      <c r="J101" s="42" t="str">
        <f t="shared" si="8"/>
        <v/>
      </c>
      <c r="K101" s="42" t="str">
        <f t="shared" si="9"/>
        <v/>
      </c>
      <c r="L101" s="42">
        <f t="shared" si="10"/>
        <v>-0.19000000000000128</v>
      </c>
      <c r="M101" s="17" t="str">
        <f t="shared" si="11"/>
        <v/>
      </c>
      <c r="O101" s="17" t="str">
        <f t="shared" si="13"/>
        <v>Within Tolerance</v>
      </c>
    </row>
    <row r="102" spans="1:15" x14ac:dyDescent="0.3">
      <c r="A102" s="168">
        <v>46147</v>
      </c>
      <c r="B102" s="64">
        <v>46147.395833333299</v>
      </c>
      <c r="C102" s="142">
        <f t="shared" si="7"/>
        <v>46147.395833333299</v>
      </c>
      <c r="D102" s="19" t="s">
        <v>52</v>
      </c>
      <c r="E102" s="8" t="s">
        <v>17</v>
      </c>
      <c r="F102" s="7" t="s">
        <v>15</v>
      </c>
      <c r="G102" s="13">
        <v>8.57</v>
      </c>
      <c r="H102" s="26">
        <v>8.66</v>
      </c>
      <c r="I102" s="16">
        <v>8.3800000000000008</v>
      </c>
      <c r="J102" s="42">
        <f t="shared" si="8"/>
        <v>8.9999999999999858E-2</v>
      </c>
      <c r="K102" s="42">
        <f t="shared" si="9"/>
        <v>-0.1899999999999995</v>
      </c>
      <c r="L102" s="42">
        <f t="shared" si="10"/>
        <v>-0.27999999999999936</v>
      </c>
      <c r="M102" s="17" t="str">
        <f t="shared" si="11"/>
        <v>Within Tolerance</v>
      </c>
      <c r="O102" s="17" t="str">
        <f t="shared" si="13"/>
        <v>Out of Tolerance</v>
      </c>
    </row>
    <row r="103" spans="1:15" x14ac:dyDescent="0.3">
      <c r="A103" s="169">
        <v>46147</v>
      </c>
      <c r="B103" s="64">
        <v>46147.447916666701</v>
      </c>
      <c r="C103" s="142">
        <f t="shared" si="7"/>
        <v>46147.447916666701</v>
      </c>
      <c r="D103" s="19" t="s">
        <v>52</v>
      </c>
      <c r="E103" s="8" t="s">
        <v>17</v>
      </c>
      <c r="F103" s="7" t="s">
        <v>15</v>
      </c>
      <c r="G103" s="13" t="s">
        <v>93</v>
      </c>
      <c r="H103" s="26">
        <v>8.65</v>
      </c>
      <c r="I103" s="16">
        <v>8.52</v>
      </c>
      <c r="J103" s="42" t="str">
        <f t="shared" si="8"/>
        <v/>
      </c>
      <c r="K103" s="42" t="str">
        <f t="shared" si="9"/>
        <v/>
      </c>
      <c r="L103" s="42">
        <f t="shared" si="10"/>
        <v>-0.13000000000000078</v>
      </c>
      <c r="M103" s="17" t="str">
        <f t="shared" si="11"/>
        <v/>
      </c>
      <c r="O103" s="17" t="str">
        <f t="shared" si="13"/>
        <v>Within Tolerance</v>
      </c>
    </row>
    <row r="104" spans="1:15" x14ac:dyDescent="0.3">
      <c r="A104" s="168">
        <v>46147</v>
      </c>
      <c r="B104" s="64">
        <v>46147.46875</v>
      </c>
      <c r="C104" s="142">
        <f t="shared" si="7"/>
        <v>46147.46875</v>
      </c>
      <c r="D104" s="19" t="s">
        <v>40</v>
      </c>
      <c r="E104" s="8" t="s">
        <v>17</v>
      </c>
      <c r="F104" s="7" t="s">
        <v>15</v>
      </c>
      <c r="G104" s="13" t="s">
        <v>93</v>
      </c>
      <c r="H104" s="26">
        <v>8.7200000000000006</v>
      </c>
      <c r="I104" s="16">
        <v>8.5299999999999994</v>
      </c>
      <c r="J104" s="42" t="str">
        <f t="shared" si="8"/>
        <v/>
      </c>
      <c r="K104" s="42" t="str">
        <f t="shared" si="9"/>
        <v/>
      </c>
      <c r="L104" s="42">
        <f t="shared" si="10"/>
        <v>-0.19000000000000128</v>
      </c>
      <c r="M104" s="17" t="str">
        <f t="shared" si="11"/>
        <v/>
      </c>
      <c r="O104" s="17" t="str">
        <f t="shared" si="13"/>
        <v>Within Tolerance</v>
      </c>
    </row>
    <row r="105" spans="1:15" x14ac:dyDescent="0.3">
      <c r="A105" s="169">
        <v>46147</v>
      </c>
      <c r="B105" s="64">
        <v>46147.520833333299</v>
      </c>
      <c r="C105" s="142">
        <f t="shared" si="7"/>
        <v>46147.520833333299</v>
      </c>
      <c r="D105" s="19" t="s">
        <v>40</v>
      </c>
      <c r="E105" s="8" t="s">
        <v>17</v>
      </c>
      <c r="F105" s="7" t="s">
        <v>15</v>
      </c>
      <c r="G105" s="13" t="s">
        <v>93</v>
      </c>
      <c r="H105" s="26">
        <v>8.57</v>
      </c>
      <c r="I105" s="16"/>
      <c r="J105" s="42" t="str">
        <f t="shared" si="8"/>
        <v/>
      </c>
      <c r="K105" s="42" t="str">
        <f t="shared" si="9"/>
        <v/>
      </c>
      <c r="L105" s="42" t="str">
        <f t="shared" si="10"/>
        <v/>
      </c>
      <c r="M105" s="17" t="str">
        <f t="shared" si="11"/>
        <v/>
      </c>
      <c r="O105" s="17" t="str">
        <f t="shared" si="13"/>
        <v/>
      </c>
    </row>
    <row r="106" spans="1:15" x14ac:dyDescent="0.3">
      <c r="A106" s="168">
        <v>46147</v>
      </c>
      <c r="B106" s="64">
        <v>46147.583333333299</v>
      </c>
      <c r="C106" s="142">
        <f t="shared" si="7"/>
        <v>46147.583333333299</v>
      </c>
      <c r="D106" s="19" t="s">
        <v>40</v>
      </c>
      <c r="E106" s="8" t="s">
        <v>17</v>
      </c>
      <c r="F106" s="7" t="s">
        <v>15</v>
      </c>
      <c r="G106" s="13" t="s">
        <v>93</v>
      </c>
      <c r="H106" s="26">
        <v>8.57</v>
      </c>
      <c r="I106" s="16">
        <v>8.5299999999999994</v>
      </c>
      <c r="J106" s="42" t="str">
        <f t="shared" si="8"/>
        <v/>
      </c>
      <c r="K106" s="42" t="str">
        <f t="shared" si="9"/>
        <v/>
      </c>
      <c r="L106" s="42">
        <f t="shared" si="10"/>
        <v>-4.0000000000000924E-2</v>
      </c>
      <c r="M106" s="17" t="str">
        <f t="shared" si="11"/>
        <v/>
      </c>
      <c r="O106" s="17" t="str">
        <f t="shared" si="13"/>
        <v>Within Tolerance</v>
      </c>
    </row>
    <row r="107" spans="1:15" x14ac:dyDescent="0.3">
      <c r="A107" s="169">
        <v>46147</v>
      </c>
      <c r="B107" s="64">
        <v>46147.666666666701</v>
      </c>
      <c r="C107" s="142">
        <f t="shared" si="7"/>
        <v>46147.666666666701</v>
      </c>
      <c r="D107" s="19" t="s">
        <v>40</v>
      </c>
      <c r="E107" s="8" t="s">
        <v>17</v>
      </c>
      <c r="F107" s="7" t="s">
        <v>15</v>
      </c>
      <c r="G107" s="13" t="s">
        <v>93</v>
      </c>
      <c r="H107" s="26">
        <v>8.56</v>
      </c>
      <c r="I107" s="16">
        <v>8.5299999999999994</v>
      </c>
      <c r="J107" s="42" t="str">
        <f t="shared" si="8"/>
        <v/>
      </c>
      <c r="K107" s="42" t="str">
        <f t="shared" si="9"/>
        <v/>
      </c>
      <c r="L107" s="42">
        <f t="shared" si="10"/>
        <v>-3.0000000000001137E-2</v>
      </c>
      <c r="M107" s="17" t="str">
        <f t="shared" si="11"/>
        <v/>
      </c>
      <c r="O107" s="17" t="str">
        <f t="shared" si="13"/>
        <v>Within Tolerance</v>
      </c>
    </row>
    <row r="108" spans="1:15" x14ac:dyDescent="0.3">
      <c r="A108" s="168">
        <v>46147</v>
      </c>
      <c r="B108" s="64">
        <v>46147.75</v>
      </c>
      <c r="C108" s="142">
        <f t="shared" si="7"/>
        <v>46147.75</v>
      </c>
      <c r="D108" s="19" t="s">
        <v>40</v>
      </c>
      <c r="E108" s="8" t="s">
        <v>17</v>
      </c>
      <c r="F108" s="7" t="s">
        <v>15</v>
      </c>
      <c r="G108" s="13" t="s">
        <v>93</v>
      </c>
      <c r="H108" s="26">
        <v>8.19</v>
      </c>
      <c r="I108" s="16">
        <v>8.58</v>
      </c>
      <c r="J108" s="42" t="str">
        <f t="shared" si="8"/>
        <v/>
      </c>
      <c r="K108" s="42" t="str">
        <f t="shared" si="9"/>
        <v/>
      </c>
      <c r="L108" s="42">
        <f t="shared" si="10"/>
        <v>0.39000000000000057</v>
      </c>
      <c r="M108" s="17" t="str">
        <f t="shared" si="11"/>
        <v/>
      </c>
      <c r="O108" s="17" t="str">
        <f t="shared" si="13"/>
        <v>Out of Tolerance</v>
      </c>
    </row>
    <row r="109" spans="1:15" x14ac:dyDescent="0.3">
      <c r="A109" s="169">
        <v>46147</v>
      </c>
      <c r="B109" s="64">
        <v>46147.833333333299</v>
      </c>
      <c r="C109" s="142">
        <f t="shared" si="7"/>
        <v>46147.833333333299</v>
      </c>
      <c r="D109" s="19" t="s">
        <v>40</v>
      </c>
      <c r="E109" s="8" t="s">
        <v>17</v>
      </c>
      <c r="F109" s="7" t="s">
        <v>15</v>
      </c>
      <c r="G109" s="13" t="s">
        <v>93</v>
      </c>
      <c r="H109" s="26">
        <v>8.66</v>
      </c>
      <c r="I109" s="16">
        <v>8.49</v>
      </c>
      <c r="J109" s="42" t="str">
        <f t="shared" si="8"/>
        <v/>
      </c>
      <c r="K109" s="42" t="str">
        <f t="shared" si="9"/>
        <v/>
      </c>
      <c r="L109" s="42">
        <f t="shared" si="10"/>
        <v>-0.16999999999999993</v>
      </c>
      <c r="M109" s="17" t="str">
        <f t="shared" si="11"/>
        <v/>
      </c>
      <c r="O109" s="17" t="str">
        <f t="shared" si="13"/>
        <v>Within Tolerance</v>
      </c>
    </row>
    <row r="110" spans="1:15" x14ac:dyDescent="0.3">
      <c r="A110" s="168">
        <v>46147</v>
      </c>
      <c r="B110" s="64">
        <v>46147.916666666701</v>
      </c>
      <c r="C110" s="142">
        <f t="shared" si="7"/>
        <v>46147.916666666701</v>
      </c>
      <c r="D110" s="19" t="s">
        <v>40</v>
      </c>
      <c r="E110" s="8" t="s">
        <v>17</v>
      </c>
      <c r="F110" s="7" t="s">
        <v>15</v>
      </c>
      <c r="G110" s="13" t="s">
        <v>93</v>
      </c>
      <c r="H110" s="26">
        <v>8.42</v>
      </c>
      <c r="I110" s="16">
        <v>8.4499999999999993</v>
      </c>
      <c r="J110" s="42" t="str">
        <f t="shared" si="8"/>
        <v/>
      </c>
      <c r="K110" s="42" t="str">
        <f t="shared" si="9"/>
        <v/>
      </c>
      <c r="L110" s="42">
        <f t="shared" si="10"/>
        <v>2.9999999999999361E-2</v>
      </c>
      <c r="M110" s="17" t="str">
        <f t="shared" si="11"/>
        <v/>
      </c>
      <c r="O110" s="17" t="str">
        <f t="shared" si="13"/>
        <v>Within Tolerance</v>
      </c>
    </row>
    <row r="111" spans="1:15" x14ac:dyDescent="0.3">
      <c r="A111" s="169">
        <v>46148</v>
      </c>
      <c r="B111" s="64">
        <v>46148</v>
      </c>
      <c r="C111" s="142">
        <f t="shared" si="7"/>
        <v>46148</v>
      </c>
      <c r="D111" s="19" t="s">
        <v>40</v>
      </c>
      <c r="E111" s="8" t="s">
        <v>17</v>
      </c>
      <c r="F111" s="7" t="s">
        <v>15</v>
      </c>
      <c r="G111" s="13" t="s">
        <v>93</v>
      </c>
      <c r="H111" s="26">
        <v>8.51</v>
      </c>
      <c r="I111" s="16">
        <v>8.49</v>
      </c>
      <c r="J111" s="42" t="str">
        <f t="shared" si="8"/>
        <v/>
      </c>
      <c r="K111" s="42" t="str">
        <f t="shared" si="9"/>
        <v/>
      </c>
      <c r="L111" s="42">
        <f t="shared" si="10"/>
        <v>-1.9999999999999574E-2</v>
      </c>
      <c r="M111" s="17" t="str">
        <f t="shared" si="11"/>
        <v/>
      </c>
      <c r="O111" s="17" t="str">
        <f t="shared" si="13"/>
        <v>Within Tolerance</v>
      </c>
    </row>
    <row r="112" spans="1:15" x14ac:dyDescent="0.3">
      <c r="A112" s="168">
        <v>46148</v>
      </c>
      <c r="B112" s="64">
        <v>46148.152777777803</v>
      </c>
      <c r="C112" s="142">
        <f t="shared" si="7"/>
        <v>46148.152777777803</v>
      </c>
      <c r="D112" s="19" t="s">
        <v>29</v>
      </c>
      <c r="E112" s="8" t="s">
        <v>10</v>
      </c>
      <c r="F112" s="7" t="s">
        <v>15</v>
      </c>
      <c r="G112" s="13" t="s">
        <v>93</v>
      </c>
      <c r="H112" s="26">
        <v>10.55</v>
      </c>
      <c r="I112" s="16">
        <v>10.36</v>
      </c>
      <c r="J112" s="42" t="str">
        <f t="shared" si="8"/>
        <v/>
      </c>
      <c r="K112" s="42" t="str">
        <f t="shared" si="9"/>
        <v/>
      </c>
      <c r="L112" s="42">
        <f t="shared" si="10"/>
        <v>-0.19000000000000128</v>
      </c>
      <c r="M112" s="17" t="str">
        <f t="shared" si="11"/>
        <v/>
      </c>
      <c r="O112" s="17" t="str">
        <f t="shared" si="13"/>
        <v>Within Tolerance</v>
      </c>
    </row>
    <row r="113" spans="1:15" x14ac:dyDescent="0.3">
      <c r="A113" s="169">
        <v>46148</v>
      </c>
      <c r="B113" s="64">
        <v>46148.208333333299</v>
      </c>
      <c r="C113" s="142">
        <f t="shared" si="7"/>
        <v>46148.208333333299</v>
      </c>
      <c r="D113" s="19" t="s">
        <v>29</v>
      </c>
      <c r="E113" s="8" t="s">
        <v>10</v>
      </c>
      <c r="F113" s="7" t="s">
        <v>15</v>
      </c>
      <c r="G113" s="13" t="s">
        <v>93</v>
      </c>
      <c r="H113" s="26">
        <v>10.49</v>
      </c>
      <c r="I113" s="16">
        <v>10.33</v>
      </c>
      <c r="J113" s="42" t="str">
        <f t="shared" si="8"/>
        <v/>
      </c>
      <c r="K113" s="42" t="str">
        <f t="shared" si="9"/>
        <v/>
      </c>
      <c r="L113" s="42">
        <f t="shared" si="10"/>
        <v>-0.16000000000000014</v>
      </c>
      <c r="M113" s="17" t="str">
        <f t="shared" si="11"/>
        <v/>
      </c>
      <c r="O113" s="17" t="str">
        <f t="shared" si="13"/>
        <v>Within Tolerance</v>
      </c>
    </row>
    <row r="114" spans="1:15" x14ac:dyDescent="0.3">
      <c r="A114" s="168">
        <v>46148</v>
      </c>
      <c r="B114" s="64">
        <v>46148.291666666701</v>
      </c>
      <c r="C114" s="142">
        <f t="shared" si="7"/>
        <v>46148.291666666701</v>
      </c>
      <c r="D114" s="19" t="s">
        <v>29</v>
      </c>
      <c r="E114" s="8" t="s">
        <v>10</v>
      </c>
      <c r="F114" s="7" t="s">
        <v>15</v>
      </c>
      <c r="G114" s="13" t="s">
        <v>93</v>
      </c>
      <c r="H114" s="26">
        <v>10.54</v>
      </c>
      <c r="I114" s="16">
        <v>10.3</v>
      </c>
      <c r="J114" s="42" t="str">
        <f t="shared" si="8"/>
        <v/>
      </c>
      <c r="K114" s="42" t="str">
        <f t="shared" si="9"/>
        <v/>
      </c>
      <c r="L114" s="42">
        <f t="shared" si="10"/>
        <v>-0.23999999999999844</v>
      </c>
      <c r="M114" s="17" t="str">
        <f t="shared" si="11"/>
        <v/>
      </c>
      <c r="O114" s="17" t="str">
        <f t="shared" si="13"/>
        <v>Out of Tolerance</v>
      </c>
    </row>
    <row r="115" spans="1:15" x14ac:dyDescent="0.3">
      <c r="A115" s="169">
        <v>46147</v>
      </c>
      <c r="B115" s="64">
        <v>46147.614583333299</v>
      </c>
      <c r="C115" s="142">
        <f t="shared" si="7"/>
        <v>46147.614583333299</v>
      </c>
      <c r="D115" s="19" t="s">
        <v>62</v>
      </c>
      <c r="E115" s="8" t="s">
        <v>10</v>
      </c>
      <c r="F115" s="8" t="s">
        <v>19</v>
      </c>
      <c r="G115" s="13" t="s">
        <v>93</v>
      </c>
      <c r="H115" s="26">
        <v>9.57</v>
      </c>
      <c r="I115" s="16">
        <v>9.6</v>
      </c>
      <c r="J115" s="42" t="str">
        <f t="shared" si="8"/>
        <v/>
      </c>
      <c r="K115" s="42" t="str">
        <f t="shared" si="9"/>
        <v/>
      </c>
      <c r="L115" s="42">
        <f t="shared" si="10"/>
        <v>2.9999999999999361E-2</v>
      </c>
      <c r="M115" s="17" t="str">
        <f t="shared" si="11"/>
        <v/>
      </c>
      <c r="O115" s="17" t="str">
        <f t="shared" si="13"/>
        <v>Within Tolerance</v>
      </c>
    </row>
    <row r="116" spans="1:15" x14ac:dyDescent="0.3">
      <c r="A116" s="168">
        <v>46147</v>
      </c>
      <c r="B116" s="64">
        <v>46147.704861111102</v>
      </c>
      <c r="C116" s="142">
        <f t="shared" si="7"/>
        <v>46147.704861111102</v>
      </c>
      <c r="D116" s="19" t="s">
        <v>20</v>
      </c>
      <c r="E116" s="8" t="s">
        <v>14</v>
      </c>
      <c r="F116" s="8" t="s">
        <v>19</v>
      </c>
      <c r="G116" s="13" t="s">
        <v>93</v>
      </c>
      <c r="H116" s="26">
        <v>12.39</v>
      </c>
      <c r="I116" s="16">
        <v>12.3</v>
      </c>
      <c r="J116" s="42" t="str">
        <f t="shared" si="8"/>
        <v/>
      </c>
      <c r="K116" s="42" t="str">
        <f t="shared" si="9"/>
        <v/>
      </c>
      <c r="L116" s="42">
        <f t="shared" si="10"/>
        <v>-8.9999999999999858E-2</v>
      </c>
      <c r="M116" s="17" t="str">
        <f t="shared" si="11"/>
        <v/>
      </c>
      <c r="O116" s="17" t="str">
        <f t="shared" si="13"/>
        <v>Within Tolerance</v>
      </c>
    </row>
    <row r="117" spans="1:15" x14ac:dyDescent="0.3">
      <c r="A117" s="169">
        <v>46147</v>
      </c>
      <c r="B117" s="64">
        <v>46147.567361111098</v>
      </c>
      <c r="C117" s="142">
        <f t="shared" si="7"/>
        <v>46147.567361111098</v>
      </c>
      <c r="D117" s="19" t="s">
        <v>23</v>
      </c>
      <c r="E117" s="8" t="s">
        <v>10</v>
      </c>
      <c r="F117" s="8" t="s">
        <v>24</v>
      </c>
      <c r="G117" s="13" t="s">
        <v>93</v>
      </c>
      <c r="H117" s="26">
        <v>9.33</v>
      </c>
      <c r="I117" s="16">
        <v>9.52</v>
      </c>
      <c r="J117" s="42" t="str">
        <f t="shared" si="8"/>
        <v/>
      </c>
      <c r="K117" s="42" t="str">
        <f t="shared" si="9"/>
        <v/>
      </c>
      <c r="L117" s="42">
        <f t="shared" si="10"/>
        <v>0.1899999999999995</v>
      </c>
      <c r="M117" s="17" t="str">
        <f t="shared" si="11"/>
        <v/>
      </c>
      <c r="O117" s="17" t="str">
        <f t="shared" si="13"/>
        <v>Within Tolerance</v>
      </c>
    </row>
    <row r="118" spans="1:15" x14ac:dyDescent="0.3">
      <c r="A118" s="168">
        <v>46147</v>
      </c>
      <c r="B118" s="64">
        <v>46147.680555555598</v>
      </c>
      <c r="C118" s="142">
        <f t="shared" si="7"/>
        <v>46147.680555555598</v>
      </c>
      <c r="D118" s="19" t="s">
        <v>33</v>
      </c>
      <c r="E118" s="8" t="s">
        <v>17</v>
      </c>
      <c r="F118" s="8" t="s">
        <v>24</v>
      </c>
      <c r="G118" s="13" t="s">
        <v>93</v>
      </c>
      <c r="H118" s="26">
        <v>8.42</v>
      </c>
      <c r="I118" s="16">
        <v>8.61</v>
      </c>
      <c r="J118" s="42" t="str">
        <f t="shared" si="8"/>
        <v/>
      </c>
      <c r="K118" s="42" t="str">
        <f t="shared" si="9"/>
        <v/>
      </c>
      <c r="L118" s="42">
        <f t="shared" si="10"/>
        <v>0.1899999999999995</v>
      </c>
      <c r="M118" s="17" t="str">
        <f t="shared" si="11"/>
        <v/>
      </c>
      <c r="O118" s="17" t="str">
        <f t="shared" si="13"/>
        <v>Within Tolerance</v>
      </c>
    </row>
    <row r="119" spans="1:15" x14ac:dyDescent="0.3">
      <c r="A119" s="169">
        <v>46147</v>
      </c>
      <c r="B119" s="64">
        <v>46147.944444444402</v>
      </c>
      <c r="C119" s="142">
        <f t="shared" si="7"/>
        <v>46147.944444444402</v>
      </c>
      <c r="D119" s="19" t="s">
        <v>23</v>
      </c>
      <c r="E119" s="8" t="s">
        <v>10</v>
      </c>
      <c r="F119" s="8" t="s">
        <v>24</v>
      </c>
      <c r="G119" s="13" t="s">
        <v>93</v>
      </c>
      <c r="H119" s="26">
        <v>9.5</v>
      </c>
      <c r="I119" s="16">
        <v>9.59</v>
      </c>
      <c r="J119" s="42" t="str">
        <f t="shared" si="8"/>
        <v/>
      </c>
      <c r="K119" s="42" t="str">
        <f t="shared" si="9"/>
        <v/>
      </c>
      <c r="L119" s="42">
        <f t="shared" si="10"/>
        <v>8.9999999999999858E-2</v>
      </c>
      <c r="M119" s="17" t="str">
        <f t="shared" si="11"/>
        <v/>
      </c>
      <c r="O119" s="17" t="str">
        <f t="shared" si="13"/>
        <v>Within Tolerance</v>
      </c>
    </row>
    <row r="120" spans="1:15" x14ac:dyDescent="0.3">
      <c r="A120" s="168">
        <v>46148</v>
      </c>
      <c r="B120" s="64">
        <v>46148.375</v>
      </c>
      <c r="C120" s="142">
        <f t="shared" si="7"/>
        <v>46148.375</v>
      </c>
      <c r="D120" s="19" t="s">
        <v>41</v>
      </c>
      <c r="E120" s="8" t="s">
        <v>10</v>
      </c>
      <c r="F120" s="7" t="s">
        <v>11</v>
      </c>
      <c r="G120" s="13" t="s">
        <v>93</v>
      </c>
      <c r="H120" s="26">
        <v>9.4700000000000006</v>
      </c>
      <c r="I120" s="21" t="s">
        <v>93</v>
      </c>
      <c r="J120" s="42" t="str">
        <f t="shared" si="8"/>
        <v/>
      </c>
      <c r="K120" s="42" t="str">
        <f t="shared" si="9"/>
        <v/>
      </c>
      <c r="L120" s="42" t="str">
        <f t="shared" si="10"/>
        <v/>
      </c>
      <c r="M120" s="17" t="str">
        <f t="shared" si="11"/>
        <v/>
      </c>
      <c r="O120" s="17" t="str">
        <f t="shared" si="13"/>
        <v/>
      </c>
    </row>
    <row r="121" spans="1:15" x14ac:dyDescent="0.3">
      <c r="A121" s="169">
        <v>46148</v>
      </c>
      <c r="B121" s="64">
        <v>46148.395833333299</v>
      </c>
      <c r="C121" s="142">
        <f t="shared" si="7"/>
        <v>46148.395833333299</v>
      </c>
      <c r="D121" s="19" t="s">
        <v>41</v>
      </c>
      <c r="E121" s="8" t="s">
        <v>10</v>
      </c>
      <c r="F121" s="7" t="s">
        <v>11</v>
      </c>
      <c r="G121" s="13" t="s">
        <v>93</v>
      </c>
      <c r="H121" s="26">
        <v>9.39</v>
      </c>
      <c r="I121" s="21" t="s">
        <v>93</v>
      </c>
      <c r="J121" s="42" t="str">
        <f t="shared" si="8"/>
        <v/>
      </c>
      <c r="K121" s="42" t="str">
        <f t="shared" si="9"/>
        <v/>
      </c>
      <c r="L121" s="42" t="str">
        <f t="shared" si="10"/>
        <v/>
      </c>
      <c r="M121" s="17" t="str">
        <f t="shared" si="11"/>
        <v/>
      </c>
      <c r="O121" s="17" t="str">
        <f t="shared" si="13"/>
        <v/>
      </c>
    </row>
    <row r="122" spans="1:15" x14ac:dyDescent="0.3">
      <c r="A122" s="168">
        <v>46148</v>
      </c>
      <c r="B122" s="64">
        <v>46148.756944444402</v>
      </c>
      <c r="C122" s="142">
        <f t="shared" si="7"/>
        <v>46148.756944444402</v>
      </c>
      <c r="D122" s="19" t="s">
        <v>41</v>
      </c>
      <c r="E122" s="8" t="s">
        <v>10</v>
      </c>
      <c r="F122" s="7" t="s">
        <v>11</v>
      </c>
      <c r="G122" s="13" t="s">
        <v>93</v>
      </c>
      <c r="H122" s="26">
        <v>9.44</v>
      </c>
      <c r="I122" s="21" t="s">
        <v>93</v>
      </c>
      <c r="J122" s="42" t="str">
        <f t="shared" si="8"/>
        <v/>
      </c>
      <c r="K122" s="42" t="str">
        <f t="shared" si="9"/>
        <v/>
      </c>
      <c r="L122" s="42" t="str">
        <f t="shared" si="10"/>
        <v/>
      </c>
      <c r="M122" s="17" t="str">
        <f t="shared" si="11"/>
        <v/>
      </c>
      <c r="O122" s="17" t="str">
        <f t="shared" si="13"/>
        <v/>
      </c>
    </row>
    <row r="123" spans="1:15" x14ac:dyDescent="0.3">
      <c r="A123" s="169">
        <v>46148</v>
      </c>
      <c r="B123" s="64">
        <v>46148.767361111102</v>
      </c>
      <c r="C123" s="142">
        <f t="shared" si="7"/>
        <v>46148.767361111102</v>
      </c>
      <c r="D123" s="19" t="s">
        <v>41</v>
      </c>
      <c r="E123" s="8" t="s">
        <v>10</v>
      </c>
      <c r="F123" s="7" t="s">
        <v>11</v>
      </c>
      <c r="G123" s="13" t="s">
        <v>93</v>
      </c>
      <c r="H123" s="26">
        <v>9.44</v>
      </c>
      <c r="I123" s="21" t="s">
        <v>93</v>
      </c>
      <c r="J123" s="42" t="str">
        <f t="shared" si="8"/>
        <v/>
      </c>
      <c r="K123" s="42" t="str">
        <f t="shared" si="9"/>
        <v/>
      </c>
      <c r="L123" s="42" t="str">
        <f t="shared" si="10"/>
        <v/>
      </c>
      <c r="M123" s="17" t="str">
        <f t="shared" si="11"/>
        <v/>
      </c>
      <c r="O123" s="17" t="str">
        <f t="shared" si="13"/>
        <v/>
      </c>
    </row>
    <row r="124" spans="1:15" x14ac:dyDescent="0.3">
      <c r="A124" s="168">
        <v>46148</v>
      </c>
      <c r="B124" s="64">
        <v>46148.84375</v>
      </c>
      <c r="C124" s="142">
        <f t="shared" si="7"/>
        <v>46148.84375</v>
      </c>
      <c r="D124" s="19" t="s">
        <v>41</v>
      </c>
      <c r="E124" s="8" t="s">
        <v>10</v>
      </c>
      <c r="F124" s="7" t="s">
        <v>11</v>
      </c>
      <c r="G124" s="13" t="s">
        <v>93</v>
      </c>
      <c r="H124" s="26">
        <v>9.3800000000000008</v>
      </c>
      <c r="I124" s="21" t="s">
        <v>93</v>
      </c>
      <c r="J124" s="42" t="str">
        <f t="shared" si="8"/>
        <v/>
      </c>
      <c r="K124" s="42" t="str">
        <f t="shared" si="9"/>
        <v/>
      </c>
      <c r="L124" s="42" t="str">
        <f t="shared" si="10"/>
        <v/>
      </c>
      <c r="M124" s="17" t="str">
        <f t="shared" si="11"/>
        <v/>
      </c>
      <c r="O124" s="17" t="str">
        <f t="shared" si="13"/>
        <v/>
      </c>
    </row>
    <row r="125" spans="1:15" x14ac:dyDescent="0.3">
      <c r="A125" s="169">
        <v>46148</v>
      </c>
      <c r="B125" s="64">
        <v>46148.864583333299</v>
      </c>
      <c r="C125" s="142">
        <f t="shared" si="7"/>
        <v>46148.864583333299</v>
      </c>
      <c r="D125" s="19" t="s">
        <v>41</v>
      </c>
      <c r="E125" s="8" t="s">
        <v>10</v>
      </c>
      <c r="F125" s="7" t="s">
        <v>11</v>
      </c>
      <c r="G125" s="13" t="s">
        <v>93</v>
      </c>
      <c r="H125" s="26">
        <v>9.39</v>
      </c>
      <c r="I125" s="7">
        <v>9.34</v>
      </c>
      <c r="J125" s="42" t="str">
        <f t="shared" si="8"/>
        <v/>
      </c>
      <c r="K125" s="42" t="str">
        <f t="shared" si="9"/>
        <v/>
      </c>
      <c r="L125" s="42">
        <f t="shared" si="10"/>
        <v>-5.0000000000000711E-2</v>
      </c>
      <c r="M125" s="17" t="str">
        <f t="shared" si="11"/>
        <v/>
      </c>
      <c r="O125" s="17" t="str">
        <f t="shared" si="13"/>
        <v>Within Tolerance</v>
      </c>
    </row>
    <row r="126" spans="1:15" x14ac:dyDescent="0.3">
      <c r="A126" s="168">
        <v>46149</v>
      </c>
      <c r="B126" s="64">
        <v>46149.034722222197</v>
      </c>
      <c r="C126" s="142">
        <f t="shared" si="7"/>
        <v>46149.034722222197</v>
      </c>
      <c r="D126" s="19" t="s">
        <v>41</v>
      </c>
      <c r="E126" s="8" t="s">
        <v>10</v>
      </c>
      <c r="F126" s="7" t="s">
        <v>11</v>
      </c>
      <c r="G126" s="13" t="s">
        <v>93</v>
      </c>
      <c r="H126" s="26">
        <v>9.4700000000000006</v>
      </c>
      <c r="I126" s="21" t="s">
        <v>93</v>
      </c>
      <c r="J126" s="42" t="str">
        <f t="shared" si="8"/>
        <v/>
      </c>
      <c r="K126" s="42" t="str">
        <f t="shared" si="9"/>
        <v/>
      </c>
      <c r="L126" s="42" t="str">
        <f t="shared" si="10"/>
        <v/>
      </c>
      <c r="M126" s="17" t="str">
        <f t="shared" si="11"/>
        <v/>
      </c>
      <c r="O126" s="17" t="str">
        <f t="shared" si="13"/>
        <v/>
      </c>
    </row>
    <row r="127" spans="1:15" x14ac:dyDescent="0.3">
      <c r="A127" s="169">
        <v>46149</v>
      </c>
      <c r="B127" s="64">
        <v>46149.048611111102</v>
      </c>
      <c r="C127" s="142">
        <f t="shared" si="7"/>
        <v>46149.048611111102</v>
      </c>
      <c r="D127" s="19" t="s">
        <v>41</v>
      </c>
      <c r="E127" s="8" t="s">
        <v>10</v>
      </c>
      <c r="F127" s="7" t="s">
        <v>11</v>
      </c>
      <c r="G127" s="13">
        <v>9.4700000000000006</v>
      </c>
      <c r="H127" s="26">
        <v>9.51</v>
      </c>
      <c r="I127" s="7">
        <v>9.4600000000000009</v>
      </c>
      <c r="J127" s="42">
        <f t="shared" si="8"/>
        <v>3.9999999999999147E-2</v>
      </c>
      <c r="K127" s="42">
        <f t="shared" si="9"/>
        <v>-9.9999999999997868E-3</v>
      </c>
      <c r="L127" s="42">
        <f t="shared" si="10"/>
        <v>-4.9999999999998934E-2</v>
      </c>
      <c r="M127" s="17" t="str">
        <f t="shared" si="11"/>
        <v>Within Tolerance</v>
      </c>
      <c r="O127" s="17" t="str">
        <f t="shared" si="13"/>
        <v>Within Tolerance</v>
      </c>
    </row>
    <row r="128" spans="1:15" x14ac:dyDescent="0.3">
      <c r="A128" s="168">
        <v>46149</v>
      </c>
      <c r="B128" s="64">
        <v>46149.145833333299</v>
      </c>
      <c r="C128" s="142">
        <f t="shared" si="7"/>
        <v>46149.145833333299</v>
      </c>
      <c r="D128" s="19" t="s">
        <v>41</v>
      </c>
      <c r="E128" s="8" t="s">
        <v>10</v>
      </c>
      <c r="F128" s="7" t="s">
        <v>11</v>
      </c>
      <c r="G128" s="13" t="s">
        <v>93</v>
      </c>
      <c r="H128" s="26">
        <v>9.32</v>
      </c>
      <c r="I128" s="7">
        <v>9.3000000000000007</v>
      </c>
      <c r="J128" s="42" t="str">
        <f t="shared" si="8"/>
        <v/>
      </c>
      <c r="K128" s="42" t="str">
        <f t="shared" si="9"/>
        <v/>
      </c>
      <c r="L128" s="42">
        <f t="shared" si="10"/>
        <v>-1.9999999999999574E-2</v>
      </c>
      <c r="M128" s="17" t="str">
        <f t="shared" si="11"/>
        <v/>
      </c>
      <c r="O128" s="17" t="str">
        <f t="shared" si="13"/>
        <v>Within Tolerance</v>
      </c>
    </row>
    <row r="129" spans="1:15" x14ac:dyDescent="0.3">
      <c r="A129" s="169">
        <v>46149</v>
      </c>
      <c r="B129" s="64">
        <v>46149.229166666701</v>
      </c>
      <c r="C129" s="142">
        <f t="shared" si="7"/>
        <v>46149.229166666701</v>
      </c>
      <c r="D129" s="19" t="s">
        <v>41</v>
      </c>
      <c r="E129" s="8" t="s">
        <v>10</v>
      </c>
      <c r="F129" s="7" t="s">
        <v>11</v>
      </c>
      <c r="G129" s="13">
        <v>9.27</v>
      </c>
      <c r="H129" s="26">
        <v>9.39</v>
      </c>
      <c r="I129" s="7">
        <v>9.33</v>
      </c>
      <c r="J129" s="42">
        <f t="shared" si="8"/>
        <v>0.12000000000000099</v>
      </c>
      <c r="K129" s="42">
        <f t="shared" si="9"/>
        <v>6.0000000000000497E-2</v>
      </c>
      <c r="L129" s="42">
        <f t="shared" si="10"/>
        <v>-6.0000000000000497E-2</v>
      </c>
      <c r="M129" s="17" t="str">
        <f t="shared" si="11"/>
        <v>Within Tolerance</v>
      </c>
      <c r="O129" s="17" t="str">
        <f t="shared" si="13"/>
        <v>Within Tolerance</v>
      </c>
    </row>
    <row r="130" spans="1:15" x14ac:dyDescent="0.3">
      <c r="A130" s="168">
        <v>46148</v>
      </c>
      <c r="B130" s="64">
        <v>46148.333333333299</v>
      </c>
      <c r="C130" s="142">
        <f t="shared" ref="C130:C193" si="14">A130+MOD(B130,1)</f>
        <v>46148.333333333299</v>
      </c>
      <c r="D130" s="19" t="s">
        <v>29</v>
      </c>
      <c r="E130" s="8" t="s">
        <v>10</v>
      </c>
      <c r="F130" s="7" t="s">
        <v>15</v>
      </c>
      <c r="G130" s="13">
        <v>10.47</v>
      </c>
      <c r="H130" s="26">
        <v>10.51</v>
      </c>
      <c r="I130" s="7">
        <v>10.24</v>
      </c>
      <c r="J130" s="42">
        <f t="shared" si="8"/>
        <v>3.9999999999999147E-2</v>
      </c>
      <c r="K130" s="42">
        <f t="shared" si="9"/>
        <v>-0.23000000000000043</v>
      </c>
      <c r="L130" s="42">
        <f t="shared" si="10"/>
        <v>-0.26999999999999957</v>
      </c>
      <c r="M130" s="17" t="str">
        <f t="shared" si="11"/>
        <v>Within Tolerance</v>
      </c>
      <c r="O130" s="17" t="str">
        <f t="shared" si="13"/>
        <v>Out of Tolerance</v>
      </c>
    </row>
    <row r="131" spans="1:15" x14ac:dyDescent="0.3">
      <c r="A131" s="169">
        <v>46148</v>
      </c>
      <c r="B131" s="64">
        <v>46148.416666666701</v>
      </c>
      <c r="C131" s="142">
        <f t="shared" si="14"/>
        <v>46148.416666666701</v>
      </c>
      <c r="D131" s="19" t="s">
        <v>29</v>
      </c>
      <c r="E131" s="8" t="s">
        <v>10</v>
      </c>
      <c r="F131" s="7" t="s">
        <v>15</v>
      </c>
      <c r="G131" s="13" t="s">
        <v>93</v>
      </c>
      <c r="H131" s="26">
        <v>10.49</v>
      </c>
      <c r="I131" s="7">
        <v>10.55</v>
      </c>
      <c r="J131" s="42" t="str">
        <f t="shared" ref="J131:J194" si="15">IF(OR(TRIM(G131&amp;"")="",TRIM(H131&amp;"")="",G131="-",H131="-"),"",H131-G131)</f>
        <v/>
      </c>
      <c r="K131" s="42" t="str">
        <f t="shared" ref="K131:K194" si="16">IF(OR(TRIM(G131&amp;"")="",TRIM(I131&amp;"")="",G131="-",I131="-"),"",I131-G131)</f>
        <v/>
      </c>
      <c r="L131" s="42">
        <f t="shared" ref="L131:L194" si="17">IF(OR(TRIM(H131&amp;"")="",TRIM(I131&amp;"")="",H131="-",I131="-"),"",I131-H131)</f>
        <v>6.0000000000000497E-2</v>
      </c>
      <c r="M131" s="17" t="str">
        <f t="shared" ref="M131:M194" si="18">IF(J131="","",IF(ABS(J131)&lt;=0.2,"Within Tolerance","Out of Tolerance"))</f>
        <v/>
      </c>
      <c r="O131" s="17" t="str">
        <f t="shared" ref="O131:O194" si="19">IF(L131="","",IF(ABS(L131)&lt;=0.2,"Within Tolerance","Out of Tolerance"))</f>
        <v>Within Tolerance</v>
      </c>
    </row>
    <row r="132" spans="1:15" x14ac:dyDescent="0.3">
      <c r="A132" s="168">
        <v>46148</v>
      </c>
      <c r="B132" s="64">
        <v>46148.5</v>
      </c>
      <c r="C132" s="142">
        <f t="shared" si="14"/>
        <v>46148.5</v>
      </c>
      <c r="D132" s="19" t="s">
        <v>29</v>
      </c>
      <c r="E132" s="8" t="s">
        <v>10</v>
      </c>
      <c r="F132" s="7" t="s">
        <v>15</v>
      </c>
      <c r="G132" s="13" t="s">
        <v>93</v>
      </c>
      <c r="H132" s="26">
        <v>10.52</v>
      </c>
      <c r="I132" s="7">
        <v>10.45</v>
      </c>
      <c r="J132" s="42" t="str">
        <f t="shared" si="15"/>
        <v/>
      </c>
      <c r="K132" s="42" t="str">
        <f t="shared" si="16"/>
        <v/>
      </c>
      <c r="L132" s="42">
        <f t="shared" si="17"/>
        <v>-7.0000000000000284E-2</v>
      </c>
      <c r="M132" s="17" t="str">
        <f t="shared" si="18"/>
        <v/>
      </c>
      <c r="O132" s="17" t="str">
        <f t="shared" si="19"/>
        <v>Within Tolerance</v>
      </c>
    </row>
    <row r="133" spans="1:15" x14ac:dyDescent="0.3">
      <c r="A133" s="169">
        <v>46148</v>
      </c>
      <c r="B133" s="64">
        <v>46148.583333333299</v>
      </c>
      <c r="C133" s="142">
        <f t="shared" si="14"/>
        <v>46148.583333333299</v>
      </c>
      <c r="D133" s="19" t="s">
        <v>29</v>
      </c>
      <c r="E133" s="8" t="s">
        <v>10</v>
      </c>
      <c r="F133" s="7" t="s">
        <v>15</v>
      </c>
      <c r="G133" s="13">
        <v>10.47</v>
      </c>
      <c r="H133" s="26">
        <v>10.47</v>
      </c>
      <c r="I133" s="7">
        <v>10.4</v>
      </c>
      <c r="J133" s="42">
        <f t="shared" si="15"/>
        <v>0</v>
      </c>
      <c r="K133" s="42">
        <f t="shared" si="16"/>
        <v>-7.0000000000000284E-2</v>
      </c>
      <c r="L133" s="42">
        <f t="shared" si="17"/>
        <v>-7.0000000000000284E-2</v>
      </c>
      <c r="M133" s="17" t="str">
        <f t="shared" si="18"/>
        <v>Within Tolerance</v>
      </c>
      <c r="O133" s="17" t="str">
        <f t="shared" si="19"/>
        <v>Within Tolerance</v>
      </c>
    </row>
    <row r="134" spans="1:15" x14ac:dyDescent="0.3">
      <c r="A134" s="168">
        <v>46148</v>
      </c>
      <c r="B134" s="64">
        <v>46148.666666666701</v>
      </c>
      <c r="C134" s="142">
        <f t="shared" si="14"/>
        <v>46148.666666666701</v>
      </c>
      <c r="D134" s="19" t="s">
        <v>29</v>
      </c>
      <c r="E134" s="8" t="s">
        <v>10</v>
      </c>
      <c r="F134" s="7" t="s">
        <v>15</v>
      </c>
      <c r="G134" s="13" t="s">
        <v>93</v>
      </c>
      <c r="H134" s="26">
        <v>10.65</v>
      </c>
      <c r="I134" s="7">
        <v>10.52</v>
      </c>
      <c r="J134" s="42" t="str">
        <f t="shared" si="15"/>
        <v/>
      </c>
      <c r="K134" s="42" t="str">
        <f t="shared" si="16"/>
        <v/>
      </c>
      <c r="L134" s="42">
        <f t="shared" si="17"/>
        <v>-0.13000000000000078</v>
      </c>
      <c r="M134" s="17" t="str">
        <f t="shared" si="18"/>
        <v/>
      </c>
      <c r="O134" s="17" t="str">
        <f t="shared" si="19"/>
        <v>Within Tolerance</v>
      </c>
    </row>
    <row r="135" spans="1:15" x14ac:dyDescent="0.3">
      <c r="A135" s="169">
        <v>46148</v>
      </c>
      <c r="B135" s="64">
        <v>46148.729166666701</v>
      </c>
      <c r="C135" s="142">
        <f t="shared" si="14"/>
        <v>46148.729166666701</v>
      </c>
      <c r="D135" s="19" t="s">
        <v>29</v>
      </c>
      <c r="E135" s="8" t="s">
        <v>10</v>
      </c>
      <c r="F135" s="7" t="s">
        <v>15</v>
      </c>
      <c r="G135" s="13" t="s">
        <v>93</v>
      </c>
      <c r="H135" s="26">
        <v>10.54</v>
      </c>
      <c r="I135" s="21" t="s">
        <v>93</v>
      </c>
      <c r="J135" s="42" t="str">
        <f t="shared" si="15"/>
        <v/>
      </c>
      <c r="K135" s="42" t="str">
        <f t="shared" si="16"/>
        <v/>
      </c>
      <c r="L135" s="42" t="str">
        <f t="shared" si="17"/>
        <v/>
      </c>
      <c r="M135" s="17" t="str">
        <f t="shared" si="18"/>
        <v/>
      </c>
      <c r="O135" s="17" t="str">
        <f t="shared" si="19"/>
        <v/>
      </c>
    </row>
    <row r="136" spans="1:15" x14ac:dyDescent="0.3">
      <c r="A136" s="168">
        <v>46148</v>
      </c>
      <c r="B136" s="64">
        <v>46148.770833333299</v>
      </c>
      <c r="C136" s="142">
        <f t="shared" si="14"/>
        <v>46148.770833333299</v>
      </c>
      <c r="D136" s="19" t="s">
        <v>41</v>
      </c>
      <c r="E136" s="8" t="s">
        <v>10</v>
      </c>
      <c r="F136" s="7" t="s">
        <v>15</v>
      </c>
      <c r="G136" s="13" t="s">
        <v>93</v>
      </c>
      <c r="H136" s="26">
        <v>9.8000000000000007</v>
      </c>
      <c r="I136" s="21" t="s">
        <v>93</v>
      </c>
      <c r="J136" s="42" t="str">
        <f t="shared" si="15"/>
        <v/>
      </c>
      <c r="K136" s="42" t="str">
        <f t="shared" si="16"/>
        <v/>
      </c>
      <c r="L136" s="42" t="str">
        <f t="shared" si="17"/>
        <v/>
      </c>
      <c r="M136" s="17" t="str">
        <f t="shared" si="18"/>
        <v/>
      </c>
      <c r="O136" s="17" t="str">
        <f t="shared" si="19"/>
        <v/>
      </c>
    </row>
    <row r="137" spans="1:15" x14ac:dyDescent="0.3">
      <c r="A137" s="169">
        <v>46148</v>
      </c>
      <c r="B137" s="64">
        <v>46148.833333333299</v>
      </c>
      <c r="C137" s="142">
        <f t="shared" si="14"/>
        <v>46148.833333333299</v>
      </c>
      <c r="D137" s="19" t="s">
        <v>41</v>
      </c>
      <c r="E137" s="8" t="s">
        <v>10</v>
      </c>
      <c r="F137" s="7" t="s">
        <v>15</v>
      </c>
      <c r="G137" s="13" t="s">
        <v>93</v>
      </c>
      <c r="H137" s="26">
        <v>9.8699999999999992</v>
      </c>
      <c r="I137" s="7">
        <v>9.34</v>
      </c>
      <c r="J137" s="42" t="str">
        <f t="shared" si="15"/>
        <v/>
      </c>
      <c r="K137" s="42" t="str">
        <f t="shared" si="16"/>
        <v/>
      </c>
      <c r="L137" s="42">
        <f t="shared" si="17"/>
        <v>-0.52999999999999936</v>
      </c>
      <c r="M137" s="17" t="str">
        <f t="shared" si="18"/>
        <v/>
      </c>
      <c r="O137" s="17" t="str">
        <f t="shared" si="19"/>
        <v>Out of Tolerance</v>
      </c>
    </row>
    <row r="138" spans="1:15" x14ac:dyDescent="0.3">
      <c r="A138" s="168">
        <v>46148</v>
      </c>
      <c r="B138" s="64">
        <v>46148.895833333299</v>
      </c>
      <c r="C138" s="142">
        <f t="shared" si="14"/>
        <v>46148.895833333299</v>
      </c>
      <c r="D138" s="19" t="s">
        <v>41</v>
      </c>
      <c r="E138" s="8" t="s">
        <v>10</v>
      </c>
      <c r="F138" s="7" t="s">
        <v>15</v>
      </c>
      <c r="G138" s="13">
        <v>9.57</v>
      </c>
      <c r="H138" s="26">
        <v>9.68</v>
      </c>
      <c r="I138" s="7">
        <v>9.67</v>
      </c>
      <c r="J138" s="42">
        <f t="shared" si="15"/>
        <v>0.10999999999999943</v>
      </c>
      <c r="K138" s="42">
        <f t="shared" si="16"/>
        <v>9.9999999999999645E-2</v>
      </c>
      <c r="L138" s="42">
        <f t="shared" si="17"/>
        <v>-9.9999999999997868E-3</v>
      </c>
      <c r="M138" s="17" t="str">
        <f t="shared" si="18"/>
        <v>Within Tolerance</v>
      </c>
      <c r="O138" s="17" t="str">
        <f t="shared" si="19"/>
        <v>Within Tolerance</v>
      </c>
    </row>
    <row r="139" spans="1:15" x14ac:dyDescent="0.3">
      <c r="A139" s="169">
        <v>46149</v>
      </c>
      <c r="B139" s="64">
        <v>46149</v>
      </c>
      <c r="C139" s="142">
        <f t="shared" si="14"/>
        <v>46149</v>
      </c>
      <c r="D139" s="19" t="s">
        <v>41</v>
      </c>
      <c r="E139" s="8" t="s">
        <v>10</v>
      </c>
      <c r="F139" s="7" t="s">
        <v>15</v>
      </c>
      <c r="G139" s="13" t="s">
        <v>93</v>
      </c>
      <c r="H139" s="26">
        <v>9.57</v>
      </c>
      <c r="I139" s="7">
        <v>9.59</v>
      </c>
      <c r="J139" s="42" t="str">
        <f t="shared" si="15"/>
        <v/>
      </c>
      <c r="K139" s="42" t="str">
        <f t="shared" si="16"/>
        <v/>
      </c>
      <c r="L139" s="42">
        <f t="shared" si="17"/>
        <v>1.9999999999999574E-2</v>
      </c>
      <c r="M139" s="17" t="str">
        <f t="shared" si="18"/>
        <v/>
      </c>
      <c r="O139" s="17" t="str">
        <f t="shared" si="19"/>
        <v>Within Tolerance</v>
      </c>
    </row>
    <row r="140" spans="1:15" x14ac:dyDescent="0.3">
      <c r="A140" s="168">
        <v>46149</v>
      </c>
      <c r="B140" s="64">
        <v>46149.083333333299</v>
      </c>
      <c r="C140" s="142">
        <f t="shared" si="14"/>
        <v>46149.083333333299</v>
      </c>
      <c r="D140" s="19" t="s">
        <v>41</v>
      </c>
      <c r="E140" s="8" t="s">
        <v>10</v>
      </c>
      <c r="F140" s="7" t="s">
        <v>15</v>
      </c>
      <c r="G140" s="13" t="s">
        <v>93</v>
      </c>
      <c r="H140" s="26">
        <v>9.5500000000000007</v>
      </c>
      <c r="I140" s="7">
        <v>9.4499999999999993</v>
      </c>
      <c r="J140" s="42" t="str">
        <f t="shared" si="15"/>
        <v/>
      </c>
      <c r="K140" s="42" t="str">
        <f t="shared" si="16"/>
        <v/>
      </c>
      <c r="L140" s="42">
        <f t="shared" si="17"/>
        <v>-0.10000000000000142</v>
      </c>
      <c r="M140" s="17" t="str">
        <f t="shared" si="18"/>
        <v/>
      </c>
      <c r="O140" s="17" t="str">
        <f t="shared" si="19"/>
        <v>Within Tolerance</v>
      </c>
    </row>
    <row r="141" spans="1:15" x14ac:dyDescent="0.3">
      <c r="A141" s="169">
        <v>46149</v>
      </c>
      <c r="B141" s="64">
        <v>46149.166666666701</v>
      </c>
      <c r="C141" s="142">
        <f t="shared" si="14"/>
        <v>46149.166666666701</v>
      </c>
      <c r="D141" s="19" t="s">
        <v>41</v>
      </c>
      <c r="E141" s="8" t="s">
        <v>10</v>
      </c>
      <c r="F141" s="7" t="s">
        <v>15</v>
      </c>
      <c r="G141" s="13" t="s">
        <v>93</v>
      </c>
      <c r="H141" s="26">
        <v>9.6199999999999992</v>
      </c>
      <c r="I141" s="7">
        <v>9.58</v>
      </c>
      <c r="J141" s="42" t="str">
        <f t="shared" si="15"/>
        <v/>
      </c>
      <c r="K141" s="42" t="str">
        <f t="shared" si="16"/>
        <v/>
      </c>
      <c r="L141" s="42">
        <f t="shared" si="17"/>
        <v>-3.9999999999999147E-2</v>
      </c>
      <c r="M141" s="17" t="str">
        <f t="shared" si="18"/>
        <v/>
      </c>
      <c r="O141" s="17" t="str">
        <f t="shared" si="19"/>
        <v>Within Tolerance</v>
      </c>
    </row>
    <row r="142" spans="1:15" x14ac:dyDescent="0.3">
      <c r="A142" s="168">
        <v>46149</v>
      </c>
      <c r="B142" s="64">
        <v>46149.25</v>
      </c>
      <c r="C142" s="142">
        <f t="shared" si="14"/>
        <v>46149.25</v>
      </c>
      <c r="D142" s="19" t="s">
        <v>41</v>
      </c>
      <c r="E142" s="8" t="s">
        <v>10</v>
      </c>
      <c r="F142" s="7" t="s">
        <v>15</v>
      </c>
      <c r="G142" s="13" t="s">
        <v>93</v>
      </c>
      <c r="H142" s="26">
        <v>9.5</v>
      </c>
      <c r="I142" s="7">
        <v>9.57</v>
      </c>
      <c r="J142" s="42" t="str">
        <f t="shared" si="15"/>
        <v/>
      </c>
      <c r="K142" s="42" t="str">
        <f t="shared" si="16"/>
        <v/>
      </c>
      <c r="L142" s="42">
        <f t="shared" si="17"/>
        <v>7.0000000000000284E-2</v>
      </c>
      <c r="M142" s="17" t="str">
        <f t="shared" si="18"/>
        <v/>
      </c>
      <c r="O142" s="17" t="str">
        <f t="shared" si="19"/>
        <v>Within Tolerance</v>
      </c>
    </row>
    <row r="143" spans="1:15" x14ac:dyDescent="0.3">
      <c r="A143" s="169">
        <v>46148</v>
      </c>
      <c r="B143" s="64">
        <v>46148.416666666701</v>
      </c>
      <c r="C143" s="142">
        <f t="shared" si="14"/>
        <v>46148.416666666701</v>
      </c>
      <c r="D143" s="7" t="s">
        <v>31</v>
      </c>
      <c r="E143" s="8" t="s">
        <v>14</v>
      </c>
      <c r="F143" s="7" t="s">
        <v>19</v>
      </c>
      <c r="G143" s="13" t="s">
        <v>93</v>
      </c>
      <c r="H143" s="26">
        <v>13.26</v>
      </c>
      <c r="I143" s="7">
        <v>13.37</v>
      </c>
      <c r="J143" s="42" t="str">
        <f t="shared" si="15"/>
        <v/>
      </c>
      <c r="K143" s="42" t="str">
        <f t="shared" si="16"/>
        <v/>
      </c>
      <c r="L143" s="42">
        <f t="shared" si="17"/>
        <v>0.10999999999999943</v>
      </c>
      <c r="M143" s="17" t="str">
        <f t="shared" si="18"/>
        <v/>
      </c>
      <c r="O143" s="17" t="str">
        <f t="shared" si="19"/>
        <v>Within Tolerance</v>
      </c>
    </row>
    <row r="144" spans="1:15" x14ac:dyDescent="0.3">
      <c r="A144" s="168">
        <v>46148</v>
      </c>
      <c r="B144" s="64">
        <v>46148.472222222197</v>
      </c>
      <c r="C144" s="142">
        <f t="shared" si="14"/>
        <v>46148.472222222197</v>
      </c>
      <c r="D144" s="19" t="s">
        <v>20</v>
      </c>
      <c r="E144" s="8" t="s">
        <v>14</v>
      </c>
      <c r="F144" s="7" t="s">
        <v>19</v>
      </c>
      <c r="G144" s="13" t="s">
        <v>93</v>
      </c>
      <c r="H144" s="26">
        <v>12.32</v>
      </c>
      <c r="I144" s="7">
        <v>12.35</v>
      </c>
      <c r="J144" s="42" t="str">
        <f t="shared" si="15"/>
        <v/>
      </c>
      <c r="K144" s="42" t="str">
        <f t="shared" si="16"/>
        <v/>
      </c>
      <c r="L144" s="42">
        <f t="shared" si="17"/>
        <v>2.9999999999999361E-2</v>
      </c>
      <c r="M144" s="17" t="str">
        <f t="shared" si="18"/>
        <v/>
      </c>
      <c r="O144" s="17" t="str">
        <f t="shared" si="19"/>
        <v>Within Tolerance</v>
      </c>
    </row>
    <row r="145" spans="1:15" x14ac:dyDescent="0.3">
      <c r="A145" s="169">
        <v>46148</v>
      </c>
      <c r="B145" s="64">
        <v>46148.5</v>
      </c>
      <c r="C145" s="142">
        <f t="shared" si="14"/>
        <v>46148.5</v>
      </c>
      <c r="D145" s="19" t="s">
        <v>21</v>
      </c>
      <c r="E145" s="8" t="s">
        <v>10</v>
      </c>
      <c r="F145" s="7" t="s">
        <v>19</v>
      </c>
      <c r="G145" s="13" t="s">
        <v>93</v>
      </c>
      <c r="H145" s="26">
        <v>11.27</v>
      </c>
      <c r="I145" s="7">
        <v>11.05</v>
      </c>
      <c r="J145" s="42" t="str">
        <f t="shared" si="15"/>
        <v/>
      </c>
      <c r="K145" s="42" t="str">
        <f t="shared" si="16"/>
        <v/>
      </c>
      <c r="L145" s="42">
        <f t="shared" si="17"/>
        <v>-0.21999999999999886</v>
      </c>
      <c r="M145" s="17" t="str">
        <f t="shared" si="18"/>
        <v/>
      </c>
      <c r="O145" s="17" t="str">
        <f t="shared" si="19"/>
        <v>Out of Tolerance</v>
      </c>
    </row>
    <row r="146" spans="1:15" x14ac:dyDescent="0.3">
      <c r="A146" s="168">
        <v>46148</v>
      </c>
      <c r="B146" s="64">
        <v>46148.555555555598</v>
      </c>
      <c r="C146" s="142">
        <f t="shared" si="14"/>
        <v>46148.555555555598</v>
      </c>
      <c r="D146" s="19" t="s">
        <v>36</v>
      </c>
      <c r="E146" s="8" t="s">
        <v>10</v>
      </c>
      <c r="F146" s="7" t="s">
        <v>19</v>
      </c>
      <c r="G146" s="13" t="s">
        <v>93</v>
      </c>
      <c r="H146" s="26">
        <v>10.46</v>
      </c>
      <c r="I146" s="7">
        <v>10.54</v>
      </c>
      <c r="J146" s="42" t="str">
        <f t="shared" si="15"/>
        <v/>
      </c>
      <c r="K146" s="42" t="str">
        <f t="shared" si="16"/>
        <v/>
      </c>
      <c r="L146" s="42">
        <f t="shared" si="17"/>
        <v>7.9999999999998295E-2</v>
      </c>
      <c r="M146" s="17" t="str">
        <f t="shared" si="18"/>
        <v/>
      </c>
      <c r="O146" s="17" t="str">
        <f t="shared" si="19"/>
        <v>Within Tolerance</v>
      </c>
    </row>
    <row r="147" spans="1:15" x14ac:dyDescent="0.3">
      <c r="A147" s="169">
        <v>46148</v>
      </c>
      <c r="B147" s="64">
        <v>46148.666666666701</v>
      </c>
      <c r="C147" s="142">
        <f t="shared" si="14"/>
        <v>46148.666666666701</v>
      </c>
      <c r="D147" s="19" t="s">
        <v>30</v>
      </c>
      <c r="E147" s="8" t="s">
        <v>14</v>
      </c>
      <c r="F147" s="7" t="s">
        <v>19</v>
      </c>
      <c r="G147" s="13">
        <v>12.66</v>
      </c>
      <c r="H147" s="26">
        <v>12.67</v>
      </c>
      <c r="I147" s="7">
        <v>12.64</v>
      </c>
      <c r="J147" s="42">
        <f t="shared" si="15"/>
        <v>9.9999999999997868E-3</v>
      </c>
      <c r="K147" s="42">
        <f t="shared" si="16"/>
        <v>-1.9999999999999574E-2</v>
      </c>
      <c r="L147" s="42">
        <f t="shared" si="17"/>
        <v>-2.9999999999999361E-2</v>
      </c>
      <c r="M147" s="17" t="str">
        <f t="shared" si="18"/>
        <v>Within Tolerance</v>
      </c>
      <c r="O147" s="17" t="str">
        <f t="shared" si="19"/>
        <v>Within Tolerance</v>
      </c>
    </row>
    <row r="148" spans="1:15" x14ac:dyDescent="0.3">
      <c r="A148" s="168">
        <v>46148</v>
      </c>
      <c r="B148" s="64">
        <v>46148.71875</v>
      </c>
      <c r="C148" s="142">
        <f t="shared" si="14"/>
        <v>46148.71875</v>
      </c>
      <c r="D148" s="19" t="s">
        <v>53</v>
      </c>
      <c r="E148" s="8" t="s">
        <v>54</v>
      </c>
      <c r="F148" s="7" t="s">
        <v>19</v>
      </c>
      <c r="G148" s="13" t="s">
        <v>93</v>
      </c>
      <c r="H148" s="26">
        <v>15.46</v>
      </c>
      <c r="I148" s="7">
        <v>15.79</v>
      </c>
      <c r="J148" s="42" t="str">
        <f t="shared" si="15"/>
        <v/>
      </c>
      <c r="K148" s="42" t="str">
        <f t="shared" si="16"/>
        <v/>
      </c>
      <c r="L148" s="42">
        <f t="shared" si="17"/>
        <v>0.32999999999999829</v>
      </c>
      <c r="M148" s="17" t="str">
        <f t="shared" si="18"/>
        <v/>
      </c>
      <c r="O148" s="17" t="str">
        <f t="shared" si="19"/>
        <v>Out of Tolerance</v>
      </c>
    </row>
    <row r="149" spans="1:15" x14ac:dyDescent="0.3">
      <c r="A149" s="169">
        <v>46148</v>
      </c>
      <c r="B149" s="64">
        <v>46148.930555555598</v>
      </c>
      <c r="C149" s="142">
        <f t="shared" si="14"/>
        <v>46148.930555555598</v>
      </c>
      <c r="D149" s="19" t="s">
        <v>42</v>
      </c>
      <c r="E149" s="8" t="s">
        <v>10</v>
      </c>
      <c r="F149" s="7" t="s">
        <v>19</v>
      </c>
      <c r="G149" s="13">
        <v>10.37</v>
      </c>
      <c r="H149" s="26">
        <v>10.55</v>
      </c>
      <c r="I149" s="7">
        <v>10.45</v>
      </c>
      <c r="J149" s="42">
        <f t="shared" si="15"/>
        <v>0.18000000000000149</v>
      </c>
      <c r="K149" s="42">
        <f t="shared" si="16"/>
        <v>8.0000000000000071E-2</v>
      </c>
      <c r="L149" s="42">
        <f t="shared" si="17"/>
        <v>-0.10000000000000142</v>
      </c>
      <c r="M149" s="17" t="str">
        <f t="shared" si="18"/>
        <v>Within Tolerance</v>
      </c>
      <c r="O149" s="17" t="str">
        <f t="shared" si="19"/>
        <v>Within Tolerance</v>
      </c>
    </row>
    <row r="150" spans="1:15" x14ac:dyDescent="0.3">
      <c r="A150" s="168">
        <v>46148</v>
      </c>
      <c r="B150" s="64">
        <v>46148.715277777803</v>
      </c>
      <c r="C150" s="142">
        <f t="shared" si="14"/>
        <v>46148.715277777803</v>
      </c>
      <c r="D150" s="19" t="s">
        <v>50</v>
      </c>
      <c r="E150" s="8" t="s">
        <v>10</v>
      </c>
      <c r="F150" s="7" t="s">
        <v>24</v>
      </c>
      <c r="G150" s="13" t="s">
        <v>93</v>
      </c>
      <c r="H150" s="26">
        <v>9.61</v>
      </c>
      <c r="I150" s="7">
        <v>9.64</v>
      </c>
      <c r="J150" s="42" t="str">
        <f t="shared" si="15"/>
        <v/>
      </c>
      <c r="K150" s="42" t="str">
        <f t="shared" si="16"/>
        <v/>
      </c>
      <c r="L150" s="42">
        <f t="shared" si="17"/>
        <v>3.0000000000001137E-2</v>
      </c>
      <c r="M150" s="17" t="str">
        <f t="shared" si="18"/>
        <v/>
      </c>
      <c r="O150" s="17" t="str">
        <f t="shared" si="19"/>
        <v>Within Tolerance</v>
      </c>
    </row>
    <row r="151" spans="1:15" x14ac:dyDescent="0.3">
      <c r="A151" s="169">
        <v>46148</v>
      </c>
      <c r="B151" s="64">
        <v>46148.819444444402</v>
      </c>
      <c r="C151" s="142">
        <f t="shared" si="14"/>
        <v>46148.819444444402</v>
      </c>
      <c r="D151" s="19" t="s">
        <v>51</v>
      </c>
      <c r="E151" s="8" t="s">
        <v>10</v>
      </c>
      <c r="F151" s="7" t="s">
        <v>24</v>
      </c>
      <c r="G151" s="13" t="s">
        <v>93</v>
      </c>
      <c r="H151" s="26">
        <v>9.66</v>
      </c>
      <c r="I151" s="7">
        <v>9.7799999999999994</v>
      </c>
      <c r="J151" s="42" t="str">
        <f t="shared" si="15"/>
        <v/>
      </c>
      <c r="K151" s="42" t="str">
        <f t="shared" si="16"/>
        <v/>
      </c>
      <c r="L151" s="42">
        <f t="shared" si="17"/>
        <v>0.11999999999999922</v>
      </c>
      <c r="M151" s="17" t="str">
        <f t="shared" si="18"/>
        <v/>
      </c>
      <c r="O151" s="17" t="str">
        <f t="shared" si="19"/>
        <v>Within Tolerance</v>
      </c>
    </row>
    <row r="152" spans="1:15" s="6" customFormat="1" x14ac:dyDescent="0.3">
      <c r="A152" s="168">
        <v>46149</v>
      </c>
      <c r="B152" s="64">
        <v>46149.333333333299</v>
      </c>
      <c r="C152" s="142">
        <f t="shared" si="14"/>
        <v>46149.333333333299</v>
      </c>
      <c r="D152" s="19" t="s">
        <v>41</v>
      </c>
      <c r="E152" s="8" t="s">
        <v>10</v>
      </c>
      <c r="F152" s="7" t="s">
        <v>11</v>
      </c>
      <c r="G152" s="13">
        <v>9.3699999999999992</v>
      </c>
      <c r="H152" s="26">
        <v>9.4700000000000006</v>
      </c>
      <c r="I152" s="7">
        <v>9.57</v>
      </c>
      <c r="J152" s="42">
        <f t="shared" si="15"/>
        <v>0.10000000000000142</v>
      </c>
      <c r="K152" s="42">
        <f t="shared" si="16"/>
        <v>0.20000000000000107</v>
      </c>
      <c r="L152" s="42">
        <f t="shared" si="17"/>
        <v>9.9999999999999645E-2</v>
      </c>
      <c r="M152" s="17" t="str">
        <f t="shared" si="18"/>
        <v>Within Tolerance</v>
      </c>
      <c r="O152" s="17" t="str">
        <f t="shared" si="19"/>
        <v>Within Tolerance</v>
      </c>
    </row>
    <row r="153" spans="1:15" s="6" customFormat="1" x14ac:dyDescent="0.3">
      <c r="A153" s="169">
        <v>46149</v>
      </c>
      <c r="B153" s="64">
        <v>46149.447916666701</v>
      </c>
      <c r="C153" s="142">
        <f t="shared" si="14"/>
        <v>46149.447916666701</v>
      </c>
      <c r="D153" s="19" t="s">
        <v>35</v>
      </c>
      <c r="E153" s="8" t="s">
        <v>14</v>
      </c>
      <c r="F153" s="7" t="s">
        <v>11</v>
      </c>
      <c r="G153" s="13" t="s">
        <v>93</v>
      </c>
      <c r="H153" s="26">
        <v>12.62</v>
      </c>
      <c r="I153" s="7">
        <v>12.74</v>
      </c>
      <c r="J153" s="42" t="str">
        <f t="shared" si="15"/>
        <v/>
      </c>
      <c r="K153" s="42" t="str">
        <f t="shared" si="16"/>
        <v/>
      </c>
      <c r="L153" s="42">
        <f t="shared" si="17"/>
        <v>0.12000000000000099</v>
      </c>
      <c r="M153" s="17" t="str">
        <f t="shared" si="18"/>
        <v/>
      </c>
      <c r="O153" s="17" t="str">
        <f t="shared" si="19"/>
        <v>Within Tolerance</v>
      </c>
    </row>
    <row r="154" spans="1:15" s="6" customFormat="1" x14ac:dyDescent="0.3">
      <c r="A154" s="168">
        <v>46149</v>
      </c>
      <c r="B154" s="64">
        <v>46149.520833333299</v>
      </c>
      <c r="C154" s="142">
        <f t="shared" si="14"/>
        <v>46149.520833333299</v>
      </c>
      <c r="D154" s="19" t="s">
        <v>35</v>
      </c>
      <c r="E154" s="8" t="s">
        <v>14</v>
      </c>
      <c r="F154" s="7" t="s">
        <v>11</v>
      </c>
      <c r="G154" s="13">
        <v>12.86</v>
      </c>
      <c r="H154" s="26">
        <v>12.84</v>
      </c>
      <c r="I154" s="7">
        <v>12.94</v>
      </c>
      <c r="J154" s="42">
        <f t="shared" si="15"/>
        <v>-1.9999999999999574E-2</v>
      </c>
      <c r="K154" s="42">
        <f t="shared" si="16"/>
        <v>8.0000000000000071E-2</v>
      </c>
      <c r="L154" s="42">
        <f t="shared" si="17"/>
        <v>9.9999999999999645E-2</v>
      </c>
      <c r="M154" s="17" t="str">
        <f t="shared" si="18"/>
        <v>Within Tolerance</v>
      </c>
      <c r="O154" s="17" t="str">
        <f t="shared" si="19"/>
        <v>Within Tolerance</v>
      </c>
    </row>
    <row r="155" spans="1:15" s="6" customFormat="1" x14ac:dyDescent="0.3">
      <c r="A155" s="169">
        <v>46149</v>
      </c>
      <c r="B155" s="64">
        <v>46149.583333333299</v>
      </c>
      <c r="C155" s="142">
        <f t="shared" si="14"/>
        <v>46149.583333333299</v>
      </c>
      <c r="D155" s="19" t="s">
        <v>35</v>
      </c>
      <c r="E155" s="8" t="s">
        <v>14</v>
      </c>
      <c r="F155" s="7" t="s">
        <v>11</v>
      </c>
      <c r="G155" s="13" t="s">
        <v>93</v>
      </c>
      <c r="H155" s="26">
        <v>12.76</v>
      </c>
      <c r="I155" s="7">
        <v>12.87</v>
      </c>
      <c r="J155" s="42" t="str">
        <f t="shared" si="15"/>
        <v/>
      </c>
      <c r="K155" s="42" t="str">
        <f t="shared" si="16"/>
        <v/>
      </c>
      <c r="L155" s="42">
        <f t="shared" si="17"/>
        <v>0.10999999999999943</v>
      </c>
      <c r="M155" s="17" t="str">
        <f t="shared" si="18"/>
        <v/>
      </c>
      <c r="O155" s="17" t="str">
        <f t="shared" si="19"/>
        <v>Within Tolerance</v>
      </c>
    </row>
    <row r="156" spans="1:15" s="6" customFormat="1" x14ac:dyDescent="0.3">
      <c r="A156" s="168">
        <v>46149</v>
      </c>
      <c r="B156" s="64">
        <v>46149.666666666701</v>
      </c>
      <c r="C156" s="142">
        <f t="shared" si="14"/>
        <v>46149.666666666701</v>
      </c>
      <c r="D156" s="19" t="s">
        <v>35</v>
      </c>
      <c r="E156" s="8" t="s">
        <v>14</v>
      </c>
      <c r="F156" s="7" t="s">
        <v>11</v>
      </c>
      <c r="G156" s="13" t="s">
        <v>93</v>
      </c>
      <c r="H156" s="26">
        <v>12.7</v>
      </c>
      <c r="I156" s="7">
        <v>12.9</v>
      </c>
      <c r="J156" s="42" t="str">
        <f t="shared" si="15"/>
        <v/>
      </c>
      <c r="K156" s="42" t="str">
        <f t="shared" si="16"/>
        <v/>
      </c>
      <c r="L156" s="42">
        <f t="shared" si="17"/>
        <v>0.20000000000000107</v>
      </c>
      <c r="M156" s="17" t="str">
        <f t="shared" si="18"/>
        <v/>
      </c>
      <c r="O156" s="17" t="str">
        <f t="shared" si="19"/>
        <v>Out of Tolerance</v>
      </c>
    </row>
    <row r="157" spans="1:15" s="6" customFormat="1" x14ac:dyDescent="0.3">
      <c r="A157" s="169">
        <v>46149</v>
      </c>
      <c r="B157" s="64">
        <v>46149.756944444402</v>
      </c>
      <c r="C157" s="142">
        <f t="shared" si="14"/>
        <v>46149.756944444402</v>
      </c>
      <c r="D157" s="19" t="s">
        <v>35</v>
      </c>
      <c r="E157" s="8" t="s">
        <v>14</v>
      </c>
      <c r="F157" s="7" t="s">
        <v>11</v>
      </c>
      <c r="G157" s="13" t="s">
        <v>93</v>
      </c>
      <c r="H157" s="26">
        <v>12.94</v>
      </c>
      <c r="I157" s="7">
        <v>12.99</v>
      </c>
      <c r="J157" s="42" t="str">
        <f t="shared" si="15"/>
        <v/>
      </c>
      <c r="K157" s="42" t="str">
        <f t="shared" si="16"/>
        <v/>
      </c>
      <c r="L157" s="42">
        <f t="shared" si="17"/>
        <v>5.0000000000000711E-2</v>
      </c>
      <c r="M157" s="17" t="str">
        <f t="shared" si="18"/>
        <v/>
      </c>
      <c r="O157" s="17" t="str">
        <f t="shared" si="19"/>
        <v>Within Tolerance</v>
      </c>
    </row>
    <row r="158" spans="1:15" s="6" customFormat="1" x14ac:dyDescent="0.3">
      <c r="A158" s="168">
        <v>46149</v>
      </c>
      <c r="B158" s="64">
        <v>46149.833333333299</v>
      </c>
      <c r="C158" s="142">
        <f t="shared" si="14"/>
        <v>46149.833333333299</v>
      </c>
      <c r="D158" s="19" t="s">
        <v>35</v>
      </c>
      <c r="E158" s="8" t="s">
        <v>14</v>
      </c>
      <c r="F158" s="7" t="s">
        <v>11</v>
      </c>
      <c r="G158" s="13" t="s">
        <v>93</v>
      </c>
      <c r="H158" s="26">
        <v>12.9</v>
      </c>
      <c r="I158" s="7">
        <v>12.94</v>
      </c>
      <c r="J158" s="42" t="str">
        <f t="shared" si="15"/>
        <v/>
      </c>
      <c r="K158" s="42" t="str">
        <f t="shared" si="16"/>
        <v/>
      </c>
      <c r="L158" s="42">
        <f t="shared" si="17"/>
        <v>3.9999999999999147E-2</v>
      </c>
      <c r="M158" s="17" t="str">
        <f t="shared" si="18"/>
        <v/>
      </c>
      <c r="O158" s="17" t="str">
        <f t="shared" si="19"/>
        <v>Within Tolerance</v>
      </c>
    </row>
    <row r="159" spans="1:15" s="6" customFormat="1" x14ac:dyDescent="0.3">
      <c r="A159" s="169">
        <v>46149</v>
      </c>
      <c r="B159" s="64">
        <v>46149.916666666701</v>
      </c>
      <c r="C159" s="142">
        <f t="shared" si="14"/>
        <v>46149.916666666701</v>
      </c>
      <c r="D159" s="19" t="s">
        <v>35</v>
      </c>
      <c r="E159" s="8" t="s">
        <v>14</v>
      </c>
      <c r="F159" s="7" t="s">
        <v>11</v>
      </c>
      <c r="G159" s="13" t="s">
        <v>93</v>
      </c>
      <c r="H159" s="26">
        <v>12.91</v>
      </c>
      <c r="I159" s="21" t="s">
        <v>93</v>
      </c>
      <c r="J159" s="42" t="str">
        <f t="shared" si="15"/>
        <v/>
      </c>
      <c r="K159" s="42" t="str">
        <f t="shared" si="16"/>
        <v/>
      </c>
      <c r="L159" s="42" t="str">
        <f t="shared" si="17"/>
        <v/>
      </c>
      <c r="M159" s="17" t="str">
        <f t="shared" si="18"/>
        <v/>
      </c>
      <c r="O159" s="17" t="str">
        <f t="shared" si="19"/>
        <v/>
      </c>
    </row>
    <row r="160" spans="1:15" s="6" customFormat="1" x14ac:dyDescent="0.3">
      <c r="A160" s="168">
        <v>46149</v>
      </c>
      <c r="B160" s="64">
        <v>46149.96875</v>
      </c>
      <c r="C160" s="142">
        <f t="shared" si="14"/>
        <v>46149.96875</v>
      </c>
      <c r="D160" s="19" t="s">
        <v>13</v>
      </c>
      <c r="E160" s="8" t="s">
        <v>14</v>
      </c>
      <c r="F160" s="7" t="s">
        <v>11</v>
      </c>
      <c r="G160" s="13" t="s">
        <v>93</v>
      </c>
      <c r="H160" s="26">
        <v>13.13</v>
      </c>
      <c r="I160" s="21" t="s">
        <v>93</v>
      </c>
      <c r="J160" s="42" t="str">
        <f t="shared" si="15"/>
        <v/>
      </c>
      <c r="K160" s="42" t="str">
        <f t="shared" si="16"/>
        <v/>
      </c>
      <c r="L160" s="42" t="str">
        <f t="shared" si="17"/>
        <v/>
      </c>
      <c r="M160" s="17" t="str">
        <f t="shared" si="18"/>
        <v/>
      </c>
      <c r="O160" s="17" t="str">
        <f t="shared" si="19"/>
        <v/>
      </c>
    </row>
    <row r="161" spans="1:15" s="6" customFormat="1" x14ac:dyDescent="0.3">
      <c r="A161" s="169">
        <v>46150</v>
      </c>
      <c r="B161" s="64">
        <v>46150</v>
      </c>
      <c r="C161" s="142">
        <f t="shared" si="14"/>
        <v>46150</v>
      </c>
      <c r="D161" s="19" t="s">
        <v>13</v>
      </c>
      <c r="E161" s="8" t="s">
        <v>14</v>
      </c>
      <c r="F161" s="7" t="s">
        <v>11</v>
      </c>
      <c r="G161" s="13" t="s">
        <v>93</v>
      </c>
      <c r="H161" s="26">
        <v>12.99</v>
      </c>
      <c r="I161" s="7">
        <v>13.13</v>
      </c>
      <c r="J161" s="42" t="str">
        <f t="shared" si="15"/>
        <v/>
      </c>
      <c r="K161" s="42" t="str">
        <f t="shared" si="16"/>
        <v/>
      </c>
      <c r="L161" s="42">
        <f t="shared" si="17"/>
        <v>0.14000000000000057</v>
      </c>
      <c r="M161" s="17" t="str">
        <f t="shared" si="18"/>
        <v/>
      </c>
      <c r="O161" s="17" t="str">
        <f t="shared" si="19"/>
        <v>Within Tolerance</v>
      </c>
    </row>
    <row r="162" spans="1:15" s="6" customFormat="1" x14ac:dyDescent="0.3">
      <c r="A162" s="168">
        <v>46150</v>
      </c>
      <c r="B162" s="64">
        <v>46150.083333333299</v>
      </c>
      <c r="C162" s="142">
        <f t="shared" si="14"/>
        <v>46150.083333333299</v>
      </c>
      <c r="D162" s="19" t="s">
        <v>13</v>
      </c>
      <c r="E162" s="8" t="s">
        <v>14</v>
      </c>
      <c r="F162" s="7" t="s">
        <v>11</v>
      </c>
      <c r="G162" s="13" t="s">
        <v>93</v>
      </c>
      <c r="H162" s="26">
        <v>13.05</v>
      </c>
      <c r="I162" s="7">
        <v>12.99</v>
      </c>
      <c r="J162" s="42" t="str">
        <f t="shared" si="15"/>
        <v/>
      </c>
      <c r="K162" s="42" t="str">
        <f t="shared" si="16"/>
        <v/>
      </c>
      <c r="L162" s="42">
        <f t="shared" si="17"/>
        <v>-6.0000000000000497E-2</v>
      </c>
      <c r="M162" s="17" t="str">
        <f t="shared" si="18"/>
        <v/>
      </c>
      <c r="O162" s="17" t="str">
        <f t="shared" si="19"/>
        <v>Within Tolerance</v>
      </c>
    </row>
    <row r="163" spans="1:15" s="6" customFormat="1" x14ac:dyDescent="0.3">
      <c r="A163" s="169">
        <v>46150</v>
      </c>
      <c r="B163" s="64">
        <v>46150.166666666701</v>
      </c>
      <c r="C163" s="142">
        <f t="shared" si="14"/>
        <v>46150.166666666701</v>
      </c>
      <c r="D163" s="19" t="s">
        <v>13</v>
      </c>
      <c r="E163" s="8" t="s">
        <v>14</v>
      </c>
      <c r="F163" s="7" t="s">
        <v>11</v>
      </c>
      <c r="G163" s="13" t="s">
        <v>93</v>
      </c>
      <c r="H163" s="26">
        <v>13.08</v>
      </c>
      <c r="I163" s="7">
        <v>13.11</v>
      </c>
      <c r="J163" s="42" t="str">
        <f t="shared" si="15"/>
        <v/>
      </c>
      <c r="K163" s="42" t="str">
        <f t="shared" si="16"/>
        <v/>
      </c>
      <c r="L163" s="42">
        <f t="shared" si="17"/>
        <v>2.9999999999999361E-2</v>
      </c>
      <c r="M163" s="17" t="str">
        <f t="shared" si="18"/>
        <v/>
      </c>
      <c r="O163" s="17" t="str">
        <f t="shared" si="19"/>
        <v>Within Tolerance</v>
      </c>
    </row>
    <row r="164" spans="1:15" s="6" customFormat="1" x14ac:dyDescent="0.3">
      <c r="A164" s="168">
        <v>46150</v>
      </c>
      <c r="B164" s="64">
        <v>46150.25</v>
      </c>
      <c r="C164" s="142">
        <f t="shared" si="14"/>
        <v>46150.25</v>
      </c>
      <c r="D164" s="19" t="s">
        <v>13</v>
      </c>
      <c r="E164" s="8" t="s">
        <v>14</v>
      </c>
      <c r="F164" s="7" t="s">
        <v>11</v>
      </c>
      <c r="G164" s="13" t="s">
        <v>93</v>
      </c>
      <c r="H164" s="26">
        <v>13.06</v>
      </c>
      <c r="I164" s="7">
        <v>13.13</v>
      </c>
      <c r="J164" s="42" t="str">
        <f t="shared" si="15"/>
        <v/>
      </c>
      <c r="K164" s="42" t="str">
        <f t="shared" si="16"/>
        <v/>
      </c>
      <c r="L164" s="42">
        <f t="shared" si="17"/>
        <v>7.0000000000000284E-2</v>
      </c>
      <c r="M164" s="17" t="str">
        <f t="shared" si="18"/>
        <v/>
      </c>
      <c r="O164" s="17" t="str">
        <f t="shared" si="19"/>
        <v>Within Tolerance</v>
      </c>
    </row>
    <row r="165" spans="1:15" s="6" customFormat="1" x14ac:dyDescent="0.3">
      <c r="A165" s="169">
        <v>46149</v>
      </c>
      <c r="B165" s="64">
        <v>46149.753472222197</v>
      </c>
      <c r="C165" s="142">
        <f t="shared" si="14"/>
        <v>46149.753472222197</v>
      </c>
      <c r="D165" s="19" t="s">
        <v>29</v>
      </c>
      <c r="E165" s="8" t="s">
        <v>10</v>
      </c>
      <c r="F165" s="7" t="s">
        <v>15</v>
      </c>
      <c r="G165" s="13" t="s">
        <v>93</v>
      </c>
      <c r="H165" s="26">
        <v>10.58</v>
      </c>
      <c r="I165" s="21" t="s">
        <v>93</v>
      </c>
      <c r="J165" s="42" t="str">
        <f t="shared" si="15"/>
        <v/>
      </c>
      <c r="K165" s="42" t="str">
        <f t="shared" si="16"/>
        <v/>
      </c>
      <c r="L165" s="42" t="str">
        <f t="shared" si="17"/>
        <v/>
      </c>
      <c r="M165" s="17" t="str">
        <f t="shared" si="18"/>
        <v/>
      </c>
      <c r="O165" s="17" t="str">
        <f t="shared" si="19"/>
        <v/>
      </c>
    </row>
    <row r="166" spans="1:15" s="6" customFormat="1" x14ac:dyDescent="0.3">
      <c r="A166" s="168">
        <v>46149</v>
      </c>
      <c r="B166" s="64">
        <v>46149.770833333299</v>
      </c>
      <c r="C166" s="142">
        <f t="shared" si="14"/>
        <v>46149.770833333299</v>
      </c>
      <c r="D166" s="19" t="s">
        <v>29</v>
      </c>
      <c r="E166" s="8" t="s">
        <v>10</v>
      </c>
      <c r="F166" s="7" t="s">
        <v>15</v>
      </c>
      <c r="G166" s="13" t="s">
        <v>93</v>
      </c>
      <c r="H166" s="26">
        <v>10.53</v>
      </c>
      <c r="I166" s="7">
        <v>10.57</v>
      </c>
      <c r="J166" s="42" t="str">
        <f t="shared" si="15"/>
        <v/>
      </c>
      <c r="K166" s="42" t="str">
        <f t="shared" si="16"/>
        <v/>
      </c>
      <c r="L166" s="42">
        <f t="shared" si="17"/>
        <v>4.0000000000000924E-2</v>
      </c>
      <c r="M166" s="17" t="str">
        <f t="shared" si="18"/>
        <v/>
      </c>
      <c r="O166" s="17" t="str">
        <f t="shared" si="19"/>
        <v>Within Tolerance</v>
      </c>
    </row>
    <row r="167" spans="1:15" s="6" customFormat="1" x14ac:dyDescent="0.3">
      <c r="A167" s="169">
        <v>46149</v>
      </c>
      <c r="B167" s="64">
        <v>46149.791666666701</v>
      </c>
      <c r="C167" s="142">
        <f t="shared" si="14"/>
        <v>46149.791666666701</v>
      </c>
      <c r="D167" s="19" t="s">
        <v>29</v>
      </c>
      <c r="E167" s="8" t="s">
        <v>10</v>
      </c>
      <c r="F167" s="7" t="s">
        <v>15</v>
      </c>
      <c r="G167" s="13" t="s">
        <v>93</v>
      </c>
      <c r="H167" s="26">
        <v>10.45</v>
      </c>
      <c r="I167" s="21" t="s">
        <v>93</v>
      </c>
      <c r="J167" s="42" t="str">
        <f t="shared" si="15"/>
        <v/>
      </c>
      <c r="K167" s="42" t="str">
        <f t="shared" si="16"/>
        <v/>
      </c>
      <c r="L167" s="42" t="str">
        <f t="shared" si="17"/>
        <v/>
      </c>
      <c r="M167" s="17" t="str">
        <f t="shared" si="18"/>
        <v/>
      </c>
      <c r="O167" s="17" t="str">
        <f t="shared" si="19"/>
        <v/>
      </c>
    </row>
    <row r="168" spans="1:15" s="6" customFormat="1" x14ac:dyDescent="0.3">
      <c r="A168" s="168">
        <v>46149</v>
      </c>
      <c r="B168" s="64">
        <v>46149.833333333299</v>
      </c>
      <c r="C168" s="142">
        <f t="shared" si="14"/>
        <v>46149.833333333299</v>
      </c>
      <c r="D168" s="19" t="s">
        <v>29</v>
      </c>
      <c r="E168" s="8" t="s">
        <v>10</v>
      </c>
      <c r="F168" s="7" t="s">
        <v>15</v>
      </c>
      <c r="G168" s="13" t="s">
        <v>93</v>
      </c>
      <c r="H168" s="26">
        <v>10.56</v>
      </c>
      <c r="I168" s="7">
        <v>10.46</v>
      </c>
      <c r="J168" s="42" t="str">
        <f t="shared" si="15"/>
        <v/>
      </c>
      <c r="K168" s="42" t="str">
        <f t="shared" si="16"/>
        <v/>
      </c>
      <c r="L168" s="42">
        <f t="shared" si="17"/>
        <v>-9.9999999999999645E-2</v>
      </c>
      <c r="M168" s="17" t="str">
        <f t="shared" si="18"/>
        <v/>
      </c>
      <c r="O168" s="17" t="str">
        <f t="shared" si="19"/>
        <v>Within Tolerance</v>
      </c>
    </row>
    <row r="169" spans="1:15" s="6" customFormat="1" x14ac:dyDescent="0.3">
      <c r="A169" s="169">
        <v>46150</v>
      </c>
      <c r="B169" s="64">
        <v>46150.020833333299</v>
      </c>
      <c r="C169" s="142">
        <f t="shared" si="14"/>
        <v>46150.020833333299</v>
      </c>
      <c r="D169" s="19" t="s">
        <v>29</v>
      </c>
      <c r="E169" s="8" t="s">
        <v>10</v>
      </c>
      <c r="F169" s="7" t="s">
        <v>15</v>
      </c>
      <c r="G169" s="13" t="s">
        <v>93</v>
      </c>
      <c r="H169" s="26">
        <v>10.64</v>
      </c>
      <c r="I169" s="21" t="s">
        <v>93</v>
      </c>
      <c r="J169" s="42" t="str">
        <f t="shared" si="15"/>
        <v/>
      </c>
      <c r="K169" s="42" t="str">
        <f t="shared" si="16"/>
        <v/>
      </c>
      <c r="L169" s="42" t="str">
        <f t="shared" si="17"/>
        <v/>
      </c>
      <c r="M169" s="17" t="str">
        <f t="shared" si="18"/>
        <v/>
      </c>
      <c r="O169" s="17" t="str">
        <f t="shared" si="19"/>
        <v/>
      </c>
    </row>
    <row r="170" spans="1:15" s="6" customFormat="1" x14ac:dyDescent="0.3">
      <c r="A170" s="168">
        <v>46150</v>
      </c>
      <c r="B170" s="64">
        <v>46150.041666666701</v>
      </c>
      <c r="C170" s="142">
        <f t="shared" si="14"/>
        <v>46150.041666666701</v>
      </c>
      <c r="D170" s="19" t="s">
        <v>29</v>
      </c>
      <c r="E170" s="8" t="s">
        <v>10</v>
      </c>
      <c r="F170" s="7" t="s">
        <v>15</v>
      </c>
      <c r="G170" s="13" t="s">
        <v>93</v>
      </c>
      <c r="H170" s="26">
        <v>10.51</v>
      </c>
      <c r="I170" s="7">
        <v>10.38</v>
      </c>
      <c r="J170" s="42" t="str">
        <f t="shared" si="15"/>
        <v/>
      </c>
      <c r="K170" s="42" t="str">
        <f t="shared" si="16"/>
        <v/>
      </c>
      <c r="L170" s="42">
        <f t="shared" si="17"/>
        <v>-0.12999999999999901</v>
      </c>
      <c r="M170" s="17" t="str">
        <f t="shared" si="18"/>
        <v/>
      </c>
      <c r="O170" s="17" t="str">
        <f t="shared" si="19"/>
        <v>Within Tolerance</v>
      </c>
    </row>
    <row r="171" spans="1:15" s="6" customFormat="1" x14ac:dyDescent="0.3">
      <c r="A171" s="169">
        <v>46149</v>
      </c>
      <c r="B171" s="64">
        <v>46149.423611111102</v>
      </c>
      <c r="C171" s="142">
        <f t="shared" si="14"/>
        <v>46149.423611111102</v>
      </c>
      <c r="D171" s="19" t="s">
        <v>20</v>
      </c>
      <c r="E171" s="8" t="s">
        <v>14</v>
      </c>
      <c r="F171" s="7" t="s">
        <v>19</v>
      </c>
      <c r="G171" s="13" t="s">
        <v>93</v>
      </c>
      <c r="H171" s="26">
        <v>12.29</v>
      </c>
      <c r="I171" s="7">
        <v>12.38</v>
      </c>
      <c r="J171" s="42" t="str">
        <f t="shared" si="15"/>
        <v/>
      </c>
      <c r="K171" s="42" t="str">
        <f t="shared" si="16"/>
        <v/>
      </c>
      <c r="L171" s="42">
        <f t="shared" si="17"/>
        <v>9.0000000000001634E-2</v>
      </c>
      <c r="M171" s="17" t="str">
        <f t="shared" si="18"/>
        <v/>
      </c>
      <c r="O171" s="17" t="str">
        <f t="shared" si="19"/>
        <v>Within Tolerance</v>
      </c>
    </row>
    <row r="172" spans="1:15" s="6" customFormat="1" x14ac:dyDescent="0.3">
      <c r="A172" s="168">
        <v>46149</v>
      </c>
      <c r="B172" s="64">
        <v>46149.46875</v>
      </c>
      <c r="C172" s="142">
        <f t="shared" si="14"/>
        <v>46149.46875</v>
      </c>
      <c r="D172" s="19" t="s">
        <v>21</v>
      </c>
      <c r="E172" s="8" t="s">
        <v>10</v>
      </c>
      <c r="F172" s="7" t="s">
        <v>19</v>
      </c>
      <c r="G172" s="13" t="s">
        <v>93</v>
      </c>
      <c r="H172" s="26">
        <v>11.18</v>
      </c>
      <c r="I172" s="7">
        <v>11.04</v>
      </c>
      <c r="J172" s="42" t="str">
        <f t="shared" si="15"/>
        <v/>
      </c>
      <c r="K172" s="42" t="str">
        <f t="shared" si="16"/>
        <v/>
      </c>
      <c r="L172" s="42">
        <f t="shared" si="17"/>
        <v>-0.14000000000000057</v>
      </c>
      <c r="M172" s="17" t="str">
        <f t="shared" si="18"/>
        <v/>
      </c>
      <c r="O172" s="17" t="str">
        <f t="shared" si="19"/>
        <v>Within Tolerance</v>
      </c>
    </row>
    <row r="173" spans="1:15" s="6" customFormat="1" x14ac:dyDescent="0.3">
      <c r="A173" s="169">
        <v>46149</v>
      </c>
      <c r="B173" s="64">
        <v>46149.565972222197</v>
      </c>
      <c r="C173" s="142">
        <f t="shared" si="14"/>
        <v>46149.565972222197</v>
      </c>
      <c r="D173" s="19" t="s">
        <v>18</v>
      </c>
      <c r="E173" s="8" t="s">
        <v>14</v>
      </c>
      <c r="F173" s="7" t="s">
        <v>19</v>
      </c>
      <c r="G173" s="13" t="s">
        <v>93</v>
      </c>
      <c r="H173" s="26">
        <v>13.35</v>
      </c>
      <c r="I173" s="7">
        <v>13.35</v>
      </c>
      <c r="J173" s="42" t="str">
        <f t="shared" si="15"/>
        <v/>
      </c>
      <c r="K173" s="42" t="str">
        <f t="shared" si="16"/>
        <v/>
      </c>
      <c r="L173" s="42">
        <f t="shared" si="17"/>
        <v>0</v>
      </c>
      <c r="M173" s="17" t="str">
        <f t="shared" si="18"/>
        <v/>
      </c>
      <c r="O173" s="17" t="str">
        <f t="shared" si="19"/>
        <v>Within Tolerance</v>
      </c>
    </row>
    <row r="174" spans="1:15" s="6" customFormat="1" x14ac:dyDescent="0.3">
      <c r="A174" s="168">
        <v>46149</v>
      </c>
      <c r="B174" s="64">
        <v>46149.652777777803</v>
      </c>
      <c r="C174" s="142">
        <f t="shared" si="14"/>
        <v>46149.652777777803</v>
      </c>
      <c r="D174" s="19" t="s">
        <v>37</v>
      </c>
      <c r="E174" s="8" t="s">
        <v>14</v>
      </c>
      <c r="F174" s="7" t="s">
        <v>19</v>
      </c>
      <c r="G174" s="13" t="s">
        <v>93</v>
      </c>
      <c r="H174" s="26">
        <v>12.07</v>
      </c>
      <c r="I174" s="7">
        <v>12.01</v>
      </c>
      <c r="J174" s="42" t="str">
        <f t="shared" si="15"/>
        <v/>
      </c>
      <c r="K174" s="42" t="str">
        <f t="shared" si="16"/>
        <v/>
      </c>
      <c r="L174" s="42">
        <f t="shared" si="17"/>
        <v>-6.0000000000000497E-2</v>
      </c>
      <c r="M174" s="17" t="str">
        <f t="shared" si="18"/>
        <v/>
      </c>
      <c r="O174" s="17" t="str">
        <f t="shared" si="19"/>
        <v>Within Tolerance</v>
      </c>
    </row>
    <row r="175" spans="1:15" s="6" customFormat="1" x14ac:dyDescent="0.3">
      <c r="A175" s="169">
        <v>46149</v>
      </c>
      <c r="B175" s="64">
        <v>46149.434027777803</v>
      </c>
      <c r="C175" s="142">
        <f t="shared" si="14"/>
        <v>46149.434027777803</v>
      </c>
      <c r="D175" s="19" t="s">
        <v>51</v>
      </c>
      <c r="E175" s="8" t="s">
        <v>10</v>
      </c>
      <c r="F175" s="7" t="s">
        <v>24</v>
      </c>
      <c r="G175" s="13" t="s">
        <v>93</v>
      </c>
      <c r="H175" s="26">
        <v>9.74</v>
      </c>
      <c r="I175" s="7">
        <v>9.66</v>
      </c>
      <c r="J175" s="42" t="str">
        <f t="shared" si="15"/>
        <v/>
      </c>
      <c r="K175" s="42" t="str">
        <f t="shared" si="16"/>
        <v/>
      </c>
      <c r="L175" s="42">
        <f t="shared" si="17"/>
        <v>-8.0000000000000071E-2</v>
      </c>
      <c r="M175" s="17" t="str">
        <f t="shared" si="18"/>
        <v/>
      </c>
      <c r="O175" s="17" t="str">
        <f t="shared" si="19"/>
        <v>Within Tolerance</v>
      </c>
    </row>
    <row r="176" spans="1:15" s="6" customFormat="1" x14ac:dyDescent="0.3">
      <c r="A176" s="168">
        <v>46149</v>
      </c>
      <c r="B176" s="64">
        <v>46149.479166666701</v>
      </c>
      <c r="C176" s="142">
        <f t="shared" si="14"/>
        <v>46149.479166666701</v>
      </c>
      <c r="D176" s="19" t="s">
        <v>50</v>
      </c>
      <c r="E176" s="8" t="s">
        <v>10</v>
      </c>
      <c r="F176" s="7" t="s">
        <v>24</v>
      </c>
      <c r="G176" s="13" t="s">
        <v>93</v>
      </c>
      <c r="H176" s="26">
        <v>9.8000000000000007</v>
      </c>
      <c r="I176" s="7">
        <v>10.029999999999999</v>
      </c>
      <c r="J176" s="42" t="str">
        <f t="shared" si="15"/>
        <v/>
      </c>
      <c r="K176" s="42" t="str">
        <f t="shared" si="16"/>
        <v/>
      </c>
      <c r="L176" s="42">
        <f t="shared" si="17"/>
        <v>0.22999999999999865</v>
      </c>
      <c r="M176" s="17" t="str">
        <f t="shared" si="18"/>
        <v/>
      </c>
      <c r="O176" s="17" t="str">
        <f t="shared" si="19"/>
        <v>Out of Tolerance</v>
      </c>
    </row>
    <row r="177" spans="1:15" x14ac:dyDescent="0.3">
      <c r="A177" s="169">
        <v>46150</v>
      </c>
      <c r="B177" s="64">
        <v>46150.333333333299</v>
      </c>
      <c r="C177" s="142">
        <f t="shared" si="14"/>
        <v>46150.333333333299</v>
      </c>
      <c r="D177" s="19" t="s">
        <v>13</v>
      </c>
      <c r="E177" s="15" t="s">
        <v>14</v>
      </c>
      <c r="F177" s="7" t="s">
        <v>11</v>
      </c>
      <c r="G177" s="13">
        <v>13.26</v>
      </c>
      <c r="H177" s="26">
        <v>13.09</v>
      </c>
      <c r="I177" s="7">
        <v>13.32</v>
      </c>
      <c r="J177" s="42">
        <f t="shared" si="15"/>
        <v>-0.16999999999999993</v>
      </c>
      <c r="K177" s="42">
        <f t="shared" si="16"/>
        <v>6.0000000000000497E-2</v>
      </c>
      <c r="L177" s="42">
        <f t="shared" si="17"/>
        <v>0.23000000000000043</v>
      </c>
      <c r="M177" s="17" t="str">
        <f t="shared" si="18"/>
        <v>Within Tolerance</v>
      </c>
      <c r="O177" s="17" t="str">
        <f t="shared" si="19"/>
        <v>Out of Tolerance</v>
      </c>
    </row>
    <row r="178" spans="1:15" x14ac:dyDescent="0.3">
      <c r="A178" s="168">
        <v>46150</v>
      </c>
      <c r="B178" s="64">
        <v>46150.416666666701</v>
      </c>
      <c r="C178" s="142">
        <f t="shared" si="14"/>
        <v>46150.416666666701</v>
      </c>
      <c r="D178" s="19" t="s">
        <v>13</v>
      </c>
      <c r="E178" s="15" t="s">
        <v>14</v>
      </c>
      <c r="F178" s="7" t="s">
        <v>11</v>
      </c>
      <c r="G178" s="13" t="s">
        <v>93</v>
      </c>
      <c r="H178" s="26">
        <v>13.26</v>
      </c>
      <c r="I178" s="7">
        <v>13.35</v>
      </c>
      <c r="J178" s="42" t="str">
        <f t="shared" si="15"/>
        <v/>
      </c>
      <c r="K178" s="42" t="str">
        <f t="shared" si="16"/>
        <v/>
      </c>
      <c r="L178" s="42">
        <f t="shared" si="17"/>
        <v>8.9999999999999858E-2</v>
      </c>
      <c r="M178" s="17" t="str">
        <f t="shared" si="18"/>
        <v/>
      </c>
      <c r="O178" s="17" t="str">
        <f t="shared" si="19"/>
        <v>Within Tolerance</v>
      </c>
    </row>
    <row r="179" spans="1:15" x14ac:dyDescent="0.3">
      <c r="A179" s="169">
        <v>46150</v>
      </c>
      <c r="B179" s="64">
        <v>46150.5</v>
      </c>
      <c r="C179" s="142">
        <f t="shared" si="14"/>
        <v>46150.5</v>
      </c>
      <c r="D179" s="19" t="s">
        <v>13</v>
      </c>
      <c r="E179" s="15" t="s">
        <v>14</v>
      </c>
      <c r="F179" s="7" t="s">
        <v>11</v>
      </c>
      <c r="G179" s="13" t="s">
        <v>93</v>
      </c>
      <c r="H179" s="26">
        <v>13.27</v>
      </c>
      <c r="I179" s="7">
        <v>13.24</v>
      </c>
      <c r="J179" s="42" t="str">
        <f t="shared" si="15"/>
        <v/>
      </c>
      <c r="K179" s="42" t="str">
        <f t="shared" si="16"/>
        <v/>
      </c>
      <c r="L179" s="42">
        <f t="shared" si="17"/>
        <v>-2.9999999999999361E-2</v>
      </c>
      <c r="M179" s="17" t="str">
        <f t="shared" si="18"/>
        <v/>
      </c>
      <c r="O179" s="17" t="str">
        <f t="shared" si="19"/>
        <v>Within Tolerance</v>
      </c>
    </row>
    <row r="180" spans="1:15" x14ac:dyDescent="0.3">
      <c r="A180" s="168">
        <v>46150</v>
      </c>
      <c r="B180" s="64">
        <v>46150.583333333299</v>
      </c>
      <c r="C180" s="142">
        <f t="shared" si="14"/>
        <v>46150.583333333299</v>
      </c>
      <c r="D180" s="19" t="s">
        <v>13</v>
      </c>
      <c r="E180" s="15" t="s">
        <v>14</v>
      </c>
      <c r="F180" s="7" t="s">
        <v>11</v>
      </c>
      <c r="G180" s="13" t="s">
        <v>93</v>
      </c>
      <c r="H180" s="26">
        <v>13.29</v>
      </c>
      <c r="I180" s="7">
        <v>13.27</v>
      </c>
      <c r="J180" s="42" t="str">
        <f t="shared" si="15"/>
        <v/>
      </c>
      <c r="K180" s="42" t="str">
        <f t="shared" si="16"/>
        <v/>
      </c>
      <c r="L180" s="42">
        <f t="shared" si="17"/>
        <v>-1.9999999999999574E-2</v>
      </c>
      <c r="M180" s="17" t="str">
        <f t="shared" si="18"/>
        <v/>
      </c>
      <c r="O180" s="17" t="str">
        <f t="shared" si="19"/>
        <v>Within Tolerance</v>
      </c>
    </row>
    <row r="181" spans="1:15" x14ac:dyDescent="0.3">
      <c r="A181" s="169">
        <v>46150</v>
      </c>
      <c r="B181" s="64">
        <v>46150.645833333299</v>
      </c>
      <c r="C181" s="142">
        <f t="shared" si="14"/>
        <v>46150.645833333299</v>
      </c>
      <c r="D181" s="19" t="s">
        <v>42</v>
      </c>
      <c r="E181" s="15" t="s">
        <v>10</v>
      </c>
      <c r="F181" s="7" t="s">
        <v>11</v>
      </c>
      <c r="G181" s="13" t="s">
        <v>93</v>
      </c>
      <c r="H181" s="26">
        <v>10.18</v>
      </c>
      <c r="I181" s="21" t="s">
        <v>93</v>
      </c>
      <c r="J181" s="42" t="str">
        <f t="shared" si="15"/>
        <v/>
      </c>
      <c r="K181" s="42" t="str">
        <f t="shared" si="16"/>
        <v/>
      </c>
      <c r="L181" s="42" t="str">
        <f t="shared" si="17"/>
        <v/>
      </c>
      <c r="M181" s="17" t="str">
        <f t="shared" si="18"/>
        <v/>
      </c>
      <c r="O181" s="17" t="str">
        <f t="shared" si="19"/>
        <v/>
      </c>
    </row>
    <row r="182" spans="1:15" x14ac:dyDescent="0.3">
      <c r="A182" s="168">
        <v>46150</v>
      </c>
      <c r="B182" s="64">
        <v>46150.75</v>
      </c>
      <c r="C182" s="142">
        <f t="shared" si="14"/>
        <v>46150.75</v>
      </c>
      <c r="D182" s="19" t="s">
        <v>42</v>
      </c>
      <c r="E182" s="15" t="s">
        <v>10</v>
      </c>
      <c r="F182" s="7" t="s">
        <v>11</v>
      </c>
      <c r="G182" s="13">
        <v>10.17</v>
      </c>
      <c r="H182" s="26">
        <v>10.119999999999999</v>
      </c>
      <c r="I182" s="44">
        <v>10.1</v>
      </c>
      <c r="J182" s="42">
        <f t="shared" si="15"/>
        <v>-5.0000000000000711E-2</v>
      </c>
      <c r="K182" s="42">
        <f t="shared" si="16"/>
        <v>-7.0000000000000284E-2</v>
      </c>
      <c r="L182" s="42">
        <f t="shared" si="17"/>
        <v>-1.9999999999999574E-2</v>
      </c>
      <c r="M182" s="17" t="str">
        <f t="shared" si="18"/>
        <v>Within Tolerance</v>
      </c>
      <c r="O182" s="17" t="str">
        <f t="shared" si="19"/>
        <v>Within Tolerance</v>
      </c>
    </row>
    <row r="183" spans="1:15" x14ac:dyDescent="0.3">
      <c r="A183" s="169">
        <v>46150</v>
      </c>
      <c r="B183" s="64">
        <v>46150.833333333299</v>
      </c>
      <c r="C183" s="142">
        <f t="shared" si="14"/>
        <v>46150.833333333299</v>
      </c>
      <c r="D183" s="19" t="s">
        <v>42</v>
      </c>
      <c r="E183" s="15" t="s">
        <v>10</v>
      </c>
      <c r="F183" s="7" t="s">
        <v>11</v>
      </c>
      <c r="G183" s="13" t="s">
        <v>93</v>
      </c>
      <c r="H183" s="26">
        <v>10.24</v>
      </c>
      <c r="I183" s="7">
        <v>10.23</v>
      </c>
      <c r="J183" s="42" t="str">
        <f t="shared" si="15"/>
        <v/>
      </c>
      <c r="K183" s="42" t="str">
        <f t="shared" si="16"/>
        <v/>
      </c>
      <c r="L183" s="42">
        <f t="shared" si="17"/>
        <v>-9.9999999999997868E-3</v>
      </c>
      <c r="M183" s="17" t="str">
        <f t="shared" si="18"/>
        <v/>
      </c>
      <c r="O183" s="17" t="str">
        <f t="shared" si="19"/>
        <v>Within Tolerance</v>
      </c>
    </row>
    <row r="184" spans="1:15" x14ac:dyDescent="0.3">
      <c r="A184" s="168">
        <v>46150</v>
      </c>
      <c r="B184" s="64">
        <v>46150.458333333299</v>
      </c>
      <c r="C184" s="142">
        <f t="shared" si="14"/>
        <v>46150.458333333299</v>
      </c>
      <c r="D184" s="19" t="s">
        <v>29</v>
      </c>
      <c r="E184" s="15" t="s">
        <v>10</v>
      </c>
      <c r="F184" s="7" t="s">
        <v>15</v>
      </c>
      <c r="G184" s="13" t="s">
        <v>93</v>
      </c>
      <c r="H184" s="26">
        <v>10.62</v>
      </c>
      <c r="I184" s="21" t="s">
        <v>93</v>
      </c>
      <c r="J184" s="42" t="str">
        <f t="shared" si="15"/>
        <v/>
      </c>
      <c r="K184" s="42" t="str">
        <f t="shared" si="16"/>
        <v/>
      </c>
      <c r="L184" s="42" t="str">
        <f t="shared" si="17"/>
        <v/>
      </c>
      <c r="M184" s="17" t="str">
        <f t="shared" si="18"/>
        <v/>
      </c>
      <c r="O184" s="17" t="str">
        <f t="shared" si="19"/>
        <v/>
      </c>
    </row>
    <row r="185" spans="1:15" x14ac:dyDescent="0.3">
      <c r="A185" s="169">
        <v>46150</v>
      </c>
      <c r="B185" s="64">
        <v>46150.475694444402</v>
      </c>
      <c r="C185" s="142">
        <f t="shared" si="14"/>
        <v>46150.475694444402</v>
      </c>
      <c r="D185" s="19" t="s">
        <v>29</v>
      </c>
      <c r="E185" s="15" t="s">
        <v>10</v>
      </c>
      <c r="F185" s="7" t="s">
        <v>15</v>
      </c>
      <c r="G185" s="13" t="s">
        <v>93</v>
      </c>
      <c r="H185" s="26">
        <v>10.58</v>
      </c>
      <c r="I185" s="7">
        <v>10.38</v>
      </c>
      <c r="J185" s="42" t="str">
        <f t="shared" si="15"/>
        <v/>
      </c>
      <c r="K185" s="42" t="str">
        <f t="shared" si="16"/>
        <v/>
      </c>
      <c r="L185" s="42">
        <f t="shared" si="17"/>
        <v>-0.19999999999999929</v>
      </c>
      <c r="M185" s="17" t="str">
        <f t="shared" si="18"/>
        <v/>
      </c>
      <c r="O185" s="17" t="str">
        <f t="shared" si="19"/>
        <v>Within Tolerance</v>
      </c>
    </row>
    <row r="186" spans="1:15" x14ac:dyDescent="0.3">
      <c r="A186" s="168">
        <v>46150</v>
      </c>
      <c r="B186" s="64">
        <v>46150.5625</v>
      </c>
      <c r="C186" s="142">
        <f t="shared" si="14"/>
        <v>46150.5625</v>
      </c>
      <c r="D186" s="19" t="s">
        <v>29</v>
      </c>
      <c r="E186" s="15" t="s">
        <v>10</v>
      </c>
      <c r="F186" s="7" t="s">
        <v>15</v>
      </c>
      <c r="G186" s="13" t="s">
        <v>93</v>
      </c>
      <c r="H186" s="26">
        <v>10.56</v>
      </c>
      <c r="I186" s="7">
        <v>10.44</v>
      </c>
      <c r="J186" s="42" t="str">
        <f t="shared" si="15"/>
        <v/>
      </c>
      <c r="K186" s="42" t="str">
        <f t="shared" si="16"/>
        <v/>
      </c>
      <c r="L186" s="42">
        <f t="shared" si="17"/>
        <v>-0.12000000000000099</v>
      </c>
      <c r="M186" s="17" t="str">
        <f t="shared" si="18"/>
        <v/>
      </c>
      <c r="O186" s="17" t="str">
        <f t="shared" si="19"/>
        <v>Within Tolerance</v>
      </c>
    </row>
    <row r="187" spans="1:15" x14ac:dyDescent="0.3">
      <c r="A187" s="169">
        <v>46150</v>
      </c>
      <c r="B187" s="64">
        <v>46150.666666666701</v>
      </c>
      <c r="C187" s="142">
        <f t="shared" si="14"/>
        <v>46150.666666666701</v>
      </c>
      <c r="D187" s="19" t="s">
        <v>29</v>
      </c>
      <c r="E187" s="15" t="s">
        <v>10</v>
      </c>
      <c r="F187" s="7" t="s">
        <v>15</v>
      </c>
      <c r="G187" s="13" t="s">
        <v>93</v>
      </c>
      <c r="H187" s="26">
        <v>10.38</v>
      </c>
      <c r="I187" s="7">
        <v>10.33</v>
      </c>
      <c r="J187" s="42" t="str">
        <f t="shared" si="15"/>
        <v/>
      </c>
      <c r="K187" s="42" t="str">
        <f t="shared" si="16"/>
        <v/>
      </c>
      <c r="L187" s="42">
        <f t="shared" si="17"/>
        <v>-5.0000000000000711E-2</v>
      </c>
      <c r="M187" s="17" t="str">
        <f t="shared" si="18"/>
        <v/>
      </c>
      <c r="O187" s="17" t="str">
        <f t="shared" si="19"/>
        <v>Within Tolerance</v>
      </c>
    </row>
    <row r="188" spans="1:15" x14ac:dyDescent="0.3">
      <c r="A188" s="168">
        <v>46150</v>
      </c>
      <c r="B188" s="64">
        <v>46150.763888888898</v>
      </c>
      <c r="C188" s="142">
        <f t="shared" si="14"/>
        <v>46150.763888888898</v>
      </c>
      <c r="D188" s="19" t="s">
        <v>41</v>
      </c>
      <c r="E188" s="15" t="s">
        <v>10</v>
      </c>
      <c r="F188" s="7" t="s">
        <v>15</v>
      </c>
      <c r="G188" s="13" t="s">
        <v>93</v>
      </c>
      <c r="H188" s="26">
        <v>9.7200000000000006</v>
      </c>
      <c r="I188" s="21" t="s">
        <v>93</v>
      </c>
      <c r="J188" s="42" t="str">
        <f t="shared" si="15"/>
        <v/>
      </c>
      <c r="K188" s="42" t="str">
        <f t="shared" si="16"/>
        <v/>
      </c>
      <c r="L188" s="42" t="str">
        <f t="shared" si="17"/>
        <v/>
      </c>
      <c r="M188" s="17" t="str">
        <f t="shared" si="18"/>
        <v/>
      </c>
      <c r="O188" s="17" t="str">
        <f t="shared" si="19"/>
        <v/>
      </c>
    </row>
    <row r="189" spans="1:15" x14ac:dyDescent="0.3">
      <c r="A189" s="169">
        <v>46150</v>
      </c>
      <c r="B189" s="64">
        <v>46150.833333333299</v>
      </c>
      <c r="C189" s="142">
        <f t="shared" si="14"/>
        <v>46150.833333333299</v>
      </c>
      <c r="D189" s="19" t="s">
        <v>41</v>
      </c>
      <c r="E189" s="15" t="s">
        <v>10</v>
      </c>
      <c r="F189" s="7" t="s">
        <v>15</v>
      </c>
      <c r="G189" s="13">
        <v>9.67</v>
      </c>
      <c r="H189" s="26">
        <v>9.81</v>
      </c>
      <c r="I189" s="7">
        <v>9.64</v>
      </c>
      <c r="J189" s="42">
        <f t="shared" si="15"/>
        <v>0.14000000000000057</v>
      </c>
      <c r="K189" s="42">
        <f t="shared" si="16"/>
        <v>-2.9999999999999361E-2</v>
      </c>
      <c r="L189" s="42">
        <f t="shared" si="17"/>
        <v>-0.16999999999999993</v>
      </c>
      <c r="M189" s="17" t="str">
        <f t="shared" si="18"/>
        <v>Within Tolerance</v>
      </c>
      <c r="O189" s="17" t="str">
        <f t="shared" si="19"/>
        <v>Within Tolerance</v>
      </c>
    </row>
    <row r="190" spans="1:15" x14ac:dyDescent="0.3">
      <c r="A190" s="172">
        <v>46150</v>
      </c>
      <c r="B190" s="64">
        <v>46150.916666666701</v>
      </c>
      <c r="C190" s="218">
        <f t="shared" si="14"/>
        <v>46150.916666666701</v>
      </c>
      <c r="D190" s="22" t="s">
        <v>41</v>
      </c>
      <c r="E190" s="15" t="s">
        <v>10</v>
      </c>
      <c r="F190" s="7" t="s">
        <v>15</v>
      </c>
      <c r="G190" s="13">
        <v>9.67</v>
      </c>
      <c r="H190" s="26">
        <v>9.6199999999999992</v>
      </c>
      <c r="I190" s="7">
        <v>9.57</v>
      </c>
      <c r="J190" s="42">
        <f t="shared" si="15"/>
        <v>-5.0000000000000711E-2</v>
      </c>
      <c r="K190" s="42">
        <f t="shared" si="16"/>
        <v>-9.9999999999999645E-2</v>
      </c>
      <c r="L190" s="42">
        <f t="shared" si="17"/>
        <v>-4.9999999999998934E-2</v>
      </c>
      <c r="M190" s="17" t="str">
        <f t="shared" si="18"/>
        <v>Within Tolerance</v>
      </c>
      <c r="O190" s="17" t="str">
        <f t="shared" si="19"/>
        <v>Within Tolerance</v>
      </c>
    </row>
    <row r="191" spans="1:15" x14ac:dyDescent="0.3">
      <c r="A191" s="169">
        <v>46151</v>
      </c>
      <c r="B191" s="64">
        <v>46151</v>
      </c>
      <c r="C191" s="142">
        <f t="shared" si="14"/>
        <v>46151</v>
      </c>
      <c r="D191" s="19" t="s">
        <v>41</v>
      </c>
      <c r="E191" s="15" t="s">
        <v>10</v>
      </c>
      <c r="F191" s="7" t="s">
        <v>15</v>
      </c>
      <c r="G191" s="13">
        <v>9.67</v>
      </c>
      <c r="H191" s="26">
        <v>9.67</v>
      </c>
      <c r="I191" s="7">
        <v>9.57</v>
      </c>
      <c r="J191" s="42">
        <f t="shared" si="15"/>
        <v>0</v>
      </c>
      <c r="K191" s="42">
        <f t="shared" si="16"/>
        <v>-9.9999999999999645E-2</v>
      </c>
      <c r="L191" s="42">
        <f t="shared" si="17"/>
        <v>-9.9999999999999645E-2</v>
      </c>
      <c r="M191" s="17" t="str">
        <f t="shared" si="18"/>
        <v>Within Tolerance</v>
      </c>
      <c r="O191" s="17" t="str">
        <f t="shared" si="19"/>
        <v>Within Tolerance</v>
      </c>
    </row>
    <row r="192" spans="1:15" x14ac:dyDescent="0.3">
      <c r="A192" s="168">
        <v>46151</v>
      </c>
      <c r="B192" s="64">
        <v>46151.083333333299</v>
      </c>
      <c r="C192" s="142">
        <f t="shared" si="14"/>
        <v>46151.083333333299</v>
      </c>
      <c r="D192" s="19" t="s">
        <v>41</v>
      </c>
      <c r="E192" s="15" t="s">
        <v>10</v>
      </c>
      <c r="F192" s="7" t="s">
        <v>15</v>
      </c>
      <c r="G192" s="13" t="s">
        <v>93</v>
      </c>
      <c r="H192" s="26">
        <v>9.6999999999999993</v>
      </c>
      <c r="I192" s="7">
        <v>9.59</v>
      </c>
      <c r="J192" s="42" t="str">
        <f t="shared" si="15"/>
        <v/>
      </c>
      <c r="K192" s="42" t="str">
        <f t="shared" si="16"/>
        <v/>
      </c>
      <c r="L192" s="42">
        <f t="shared" si="17"/>
        <v>-0.10999999999999943</v>
      </c>
      <c r="M192" s="17" t="str">
        <f t="shared" si="18"/>
        <v/>
      </c>
      <c r="O192" s="17" t="str">
        <f t="shared" si="19"/>
        <v>Within Tolerance</v>
      </c>
    </row>
    <row r="193" spans="1:15" x14ac:dyDescent="0.3">
      <c r="A193" s="169">
        <v>46151</v>
      </c>
      <c r="B193" s="64">
        <v>46151.166666666701</v>
      </c>
      <c r="C193" s="142">
        <f t="shared" si="14"/>
        <v>46151.166666666701</v>
      </c>
      <c r="D193" s="19" t="s">
        <v>41</v>
      </c>
      <c r="E193" s="15" t="s">
        <v>10</v>
      </c>
      <c r="F193" s="7" t="s">
        <v>15</v>
      </c>
      <c r="G193" s="13">
        <v>9.27</v>
      </c>
      <c r="H193" s="26">
        <v>9.73</v>
      </c>
      <c r="I193" s="7">
        <v>9.5</v>
      </c>
      <c r="J193" s="42">
        <f t="shared" si="15"/>
        <v>0.46000000000000085</v>
      </c>
      <c r="K193" s="42">
        <f t="shared" si="16"/>
        <v>0.23000000000000043</v>
      </c>
      <c r="L193" s="42">
        <f t="shared" si="17"/>
        <v>-0.23000000000000043</v>
      </c>
      <c r="M193" s="17" t="str">
        <f t="shared" si="18"/>
        <v>Out of Tolerance</v>
      </c>
      <c r="O193" s="17" t="str">
        <f t="shared" si="19"/>
        <v>Out of Tolerance</v>
      </c>
    </row>
    <row r="194" spans="1:15" x14ac:dyDescent="0.3">
      <c r="A194" s="168">
        <v>46151</v>
      </c>
      <c r="B194" s="64">
        <v>46151.239583333299</v>
      </c>
      <c r="C194" s="142">
        <f t="shared" ref="C194:C257" si="20">A194+MOD(B194,1)</f>
        <v>46151.239583333299</v>
      </c>
      <c r="D194" s="19" t="s">
        <v>52</v>
      </c>
      <c r="E194" s="15" t="s">
        <v>17</v>
      </c>
      <c r="F194" s="7" t="s">
        <v>15</v>
      </c>
      <c r="G194" s="13" t="s">
        <v>93</v>
      </c>
      <c r="H194" s="26">
        <v>8.66</v>
      </c>
      <c r="I194" s="7">
        <v>8.5299999999999994</v>
      </c>
      <c r="J194" s="42" t="str">
        <f t="shared" si="15"/>
        <v/>
      </c>
      <c r="K194" s="42" t="str">
        <f t="shared" si="16"/>
        <v/>
      </c>
      <c r="L194" s="42">
        <f t="shared" si="17"/>
        <v>-0.13000000000000078</v>
      </c>
      <c r="M194" s="17" t="str">
        <f t="shared" si="18"/>
        <v/>
      </c>
      <c r="O194" s="17" t="str">
        <f t="shared" si="19"/>
        <v>Within Tolerance</v>
      </c>
    </row>
    <row r="195" spans="1:15" x14ac:dyDescent="0.3">
      <c r="A195" s="169">
        <v>46151</v>
      </c>
      <c r="B195" s="64">
        <v>46151.291666666701</v>
      </c>
      <c r="C195" s="142">
        <f t="shared" si="20"/>
        <v>46151.291666666701</v>
      </c>
      <c r="D195" s="19" t="s">
        <v>52</v>
      </c>
      <c r="E195" s="15" t="s">
        <v>17</v>
      </c>
      <c r="F195" s="7" t="s">
        <v>15</v>
      </c>
      <c r="G195" s="13" t="s">
        <v>93</v>
      </c>
      <c r="H195" s="26">
        <v>8.65</v>
      </c>
      <c r="I195" s="7">
        <v>8.52</v>
      </c>
      <c r="J195" s="42" t="str">
        <f t="shared" ref="J195:J258" si="21">IF(OR(TRIM(G195&amp;"")="",TRIM(H195&amp;"")="",G195="-",H195="-"),"",H195-G195)</f>
        <v/>
      </c>
      <c r="K195" s="42" t="str">
        <f t="shared" ref="K195:K258" si="22">IF(OR(TRIM(G195&amp;"")="",TRIM(I195&amp;"")="",G195="-",I195="-"),"",I195-G195)</f>
        <v/>
      </c>
      <c r="L195" s="42">
        <f t="shared" ref="L195:L258" si="23">IF(OR(TRIM(H195&amp;"")="",TRIM(I195&amp;"")="",H195="-",I195="-"),"",I195-H195)</f>
        <v>-0.13000000000000078</v>
      </c>
      <c r="M195" s="17" t="str">
        <f t="shared" ref="M195:M258" si="24">IF(J195="","",IF(ABS(J195)&lt;=0.2,"Within Tolerance","Out of Tolerance"))</f>
        <v/>
      </c>
      <c r="O195" s="17" t="str">
        <f t="shared" ref="O195:O258" si="25">IF(L195="","",IF(ABS(L195)&lt;=0.2,"Within Tolerance","Out of Tolerance"))</f>
        <v>Within Tolerance</v>
      </c>
    </row>
    <row r="196" spans="1:15" x14ac:dyDescent="0.3">
      <c r="A196" s="168">
        <v>46150</v>
      </c>
      <c r="B196" s="64">
        <v>46150.423611111102</v>
      </c>
      <c r="C196" s="142">
        <f t="shared" si="20"/>
        <v>46150.423611111102</v>
      </c>
      <c r="D196" s="7" t="s">
        <v>18</v>
      </c>
      <c r="E196" s="15" t="s">
        <v>14</v>
      </c>
      <c r="F196" s="14" t="s">
        <v>19</v>
      </c>
      <c r="G196" s="13" t="s">
        <v>93</v>
      </c>
      <c r="H196" s="26">
        <v>13.28</v>
      </c>
      <c r="I196" s="7">
        <v>13.28</v>
      </c>
      <c r="J196" s="42" t="str">
        <f t="shared" si="21"/>
        <v/>
      </c>
      <c r="K196" s="42" t="str">
        <f t="shared" si="22"/>
        <v/>
      </c>
      <c r="L196" s="42">
        <f t="shared" si="23"/>
        <v>0</v>
      </c>
      <c r="M196" s="17" t="str">
        <f t="shared" si="24"/>
        <v/>
      </c>
      <c r="O196" s="17" t="str">
        <f t="shared" si="25"/>
        <v>Within Tolerance</v>
      </c>
    </row>
    <row r="197" spans="1:15" x14ac:dyDescent="0.3">
      <c r="A197" s="169">
        <v>46150</v>
      </c>
      <c r="B197" s="64">
        <v>46150.458333333299</v>
      </c>
      <c r="C197" s="142">
        <f t="shared" si="20"/>
        <v>46150.458333333299</v>
      </c>
      <c r="D197" s="19" t="s">
        <v>51</v>
      </c>
      <c r="E197" s="15" t="s">
        <v>10</v>
      </c>
      <c r="F197" s="7" t="s">
        <v>24</v>
      </c>
      <c r="G197" s="13" t="s">
        <v>93</v>
      </c>
      <c r="H197" s="26">
        <v>9.8000000000000007</v>
      </c>
      <c r="I197" s="7">
        <v>9.82</v>
      </c>
      <c r="J197" s="42" t="str">
        <f t="shared" si="21"/>
        <v/>
      </c>
      <c r="K197" s="42" t="str">
        <f t="shared" si="22"/>
        <v/>
      </c>
      <c r="L197" s="42">
        <f t="shared" si="23"/>
        <v>1.9999999999999574E-2</v>
      </c>
      <c r="M197" s="17" t="str">
        <f t="shared" si="24"/>
        <v/>
      </c>
      <c r="O197" s="17" t="str">
        <f t="shared" si="25"/>
        <v>Within Tolerance</v>
      </c>
    </row>
    <row r="198" spans="1:15" x14ac:dyDescent="0.3">
      <c r="A198" s="168">
        <v>46150</v>
      </c>
      <c r="B198" s="64">
        <v>46150.739583333299</v>
      </c>
      <c r="C198" s="142">
        <f t="shared" si="20"/>
        <v>46150.739583333299</v>
      </c>
      <c r="D198" s="19" t="s">
        <v>50</v>
      </c>
      <c r="E198" s="15" t="s">
        <v>10</v>
      </c>
      <c r="F198" s="7" t="s">
        <v>24</v>
      </c>
      <c r="G198" s="13" t="s">
        <v>93</v>
      </c>
      <c r="H198" s="26">
        <v>9.6999999999999993</v>
      </c>
      <c r="I198" s="7">
        <v>9.8699999999999992</v>
      </c>
      <c r="J198" s="42" t="str">
        <f t="shared" si="21"/>
        <v/>
      </c>
      <c r="K198" s="42" t="str">
        <f t="shared" si="22"/>
        <v/>
      </c>
      <c r="L198" s="42">
        <f t="shared" si="23"/>
        <v>0.16999999999999993</v>
      </c>
      <c r="M198" s="17" t="str">
        <f t="shared" si="24"/>
        <v/>
      </c>
      <c r="O198" s="17" t="str">
        <f t="shared" si="25"/>
        <v>Within Tolerance</v>
      </c>
    </row>
    <row r="199" spans="1:15" x14ac:dyDescent="0.3">
      <c r="A199" s="169">
        <v>46151</v>
      </c>
      <c r="B199" s="64">
        <v>46151.333333333299</v>
      </c>
      <c r="C199" s="142">
        <f t="shared" si="20"/>
        <v>46151.333333333299</v>
      </c>
      <c r="D199" s="19" t="s">
        <v>52</v>
      </c>
      <c r="E199" s="8" t="s">
        <v>17</v>
      </c>
      <c r="F199" s="7" t="s">
        <v>15</v>
      </c>
      <c r="G199" s="13">
        <v>8.57</v>
      </c>
      <c r="H199" s="26">
        <v>8.61</v>
      </c>
      <c r="I199" s="7">
        <v>8.6199999999999992</v>
      </c>
      <c r="J199" s="42">
        <f t="shared" si="21"/>
        <v>3.9999999999999147E-2</v>
      </c>
      <c r="K199" s="42">
        <f t="shared" si="22"/>
        <v>4.9999999999998934E-2</v>
      </c>
      <c r="L199" s="42">
        <f t="shared" si="23"/>
        <v>9.9999999999997868E-3</v>
      </c>
      <c r="M199" s="17" t="str">
        <f t="shared" si="24"/>
        <v>Within Tolerance</v>
      </c>
      <c r="O199" s="17" t="str">
        <f t="shared" si="25"/>
        <v>Within Tolerance</v>
      </c>
    </row>
    <row r="200" spans="1:15" x14ac:dyDescent="0.3">
      <c r="A200" s="168">
        <v>46151</v>
      </c>
      <c r="B200" s="64">
        <v>46151.375</v>
      </c>
      <c r="C200" s="142">
        <f t="shared" si="20"/>
        <v>46151.375</v>
      </c>
      <c r="D200" s="19" t="s">
        <v>40</v>
      </c>
      <c r="E200" s="8" t="s">
        <v>17</v>
      </c>
      <c r="F200" s="7" t="s">
        <v>15</v>
      </c>
      <c r="G200" s="13" t="s">
        <v>93</v>
      </c>
      <c r="H200" s="26">
        <v>8.76</v>
      </c>
      <c r="I200" s="7">
        <v>8.6</v>
      </c>
      <c r="J200" s="42" t="str">
        <f t="shared" si="21"/>
        <v/>
      </c>
      <c r="K200" s="42" t="str">
        <f t="shared" si="22"/>
        <v/>
      </c>
      <c r="L200" s="42">
        <f t="shared" si="23"/>
        <v>-0.16000000000000014</v>
      </c>
      <c r="M200" s="17" t="str">
        <f t="shared" si="24"/>
        <v/>
      </c>
      <c r="O200" s="17" t="str">
        <f t="shared" si="25"/>
        <v>Within Tolerance</v>
      </c>
    </row>
    <row r="201" spans="1:15" x14ac:dyDescent="0.3">
      <c r="A201" s="169">
        <v>46151</v>
      </c>
      <c r="B201" s="64">
        <v>46151.479166666701</v>
      </c>
      <c r="C201" s="142">
        <f t="shared" si="20"/>
        <v>46151.479166666701</v>
      </c>
      <c r="D201" s="19" t="s">
        <v>40</v>
      </c>
      <c r="E201" s="8" t="s">
        <v>17</v>
      </c>
      <c r="F201" s="7" t="s">
        <v>15</v>
      </c>
      <c r="G201" s="13" t="s">
        <v>93</v>
      </c>
      <c r="H201" s="26">
        <v>8.58</v>
      </c>
      <c r="I201" s="7">
        <v>8.65</v>
      </c>
      <c r="J201" s="42" t="str">
        <f t="shared" si="21"/>
        <v/>
      </c>
      <c r="K201" s="42" t="str">
        <f t="shared" si="22"/>
        <v/>
      </c>
      <c r="L201" s="42">
        <f t="shared" si="23"/>
        <v>7.0000000000000284E-2</v>
      </c>
      <c r="M201" s="17" t="str">
        <f t="shared" si="24"/>
        <v/>
      </c>
      <c r="O201" s="17" t="str">
        <f t="shared" si="25"/>
        <v>Within Tolerance</v>
      </c>
    </row>
    <row r="202" spans="1:15" x14ac:dyDescent="0.3">
      <c r="A202" s="168">
        <v>46151</v>
      </c>
      <c r="B202" s="64">
        <v>46151.5625</v>
      </c>
      <c r="C202" s="142">
        <f t="shared" si="20"/>
        <v>46151.5625</v>
      </c>
      <c r="D202" s="19" t="s">
        <v>40</v>
      </c>
      <c r="E202" s="8" t="s">
        <v>17</v>
      </c>
      <c r="F202" s="7" t="s">
        <v>15</v>
      </c>
      <c r="G202" s="13" t="s">
        <v>93</v>
      </c>
      <c r="H202" s="26">
        <v>8.56</v>
      </c>
      <c r="I202" s="21" t="s">
        <v>93</v>
      </c>
      <c r="J202" s="42" t="str">
        <f t="shared" si="21"/>
        <v/>
      </c>
      <c r="K202" s="42" t="str">
        <f t="shared" si="22"/>
        <v/>
      </c>
      <c r="L202" s="42" t="str">
        <f t="shared" si="23"/>
        <v/>
      </c>
      <c r="M202" s="17" t="str">
        <f t="shared" si="24"/>
        <v/>
      </c>
      <c r="O202" s="17" t="str">
        <f t="shared" si="25"/>
        <v/>
      </c>
    </row>
    <row r="203" spans="1:15" x14ac:dyDescent="0.3">
      <c r="A203" s="169">
        <v>46151</v>
      </c>
      <c r="B203" s="64">
        <v>46151.649305555598</v>
      </c>
      <c r="C203" s="142">
        <f t="shared" si="20"/>
        <v>46151.649305555598</v>
      </c>
      <c r="D203" s="19" t="s">
        <v>29</v>
      </c>
      <c r="E203" s="8" t="s">
        <v>10</v>
      </c>
      <c r="F203" s="7" t="s">
        <v>15</v>
      </c>
      <c r="G203" s="13" t="s">
        <v>93</v>
      </c>
      <c r="H203" s="26">
        <v>10.53</v>
      </c>
      <c r="I203" s="21" t="s">
        <v>93</v>
      </c>
      <c r="J203" s="42" t="str">
        <f t="shared" si="21"/>
        <v/>
      </c>
      <c r="K203" s="42" t="str">
        <f t="shared" si="22"/>
        <v/>
      </c>
      <c r="L203" s="42" t="str">
        <f t="shared" si="23"/>
        <v/>
      </c>
      <c r="M203" s="17" t="str">
        <f t="shared" si="24"/>
        <v/>
      </c>
      <c r="O203" s="17" t="str">
        <f t="shared" si="25"/>
        <v/>
      </c>
    </row>
    <row r="204" spans="1:15" x14ac:dyDescent="0.3">
      <c r="A204" s="168">
        <v>46151</v>
      </c>
      <c r="B204" s="64">
        <v>46151.729166666701</v>
      </c>
      <c r="C204" s="142">
        <f t="shared" si="20"/>
        <v>46151.729166666701</v>
      </c>
      <c r="D204" s="19" t="s">
        <v>29</v>
      </c>
      <c r="E204" s="8" t="s">
        <v>10</v>
      </c>
      <c r="F204" s="7" t="s">
        <v>15</v>
      </c>
      <c r="G204" s="13" t="s">
        <v>93</v>
      </c>
      <c r="H204" s="26">
        <v>10.45</v>
      </c>
      <c r="I204" s="7">
        <v>10.42</v>
      </c>
      <c r="J204" s="42" t="str">
        <f t="shared" si="21"/>
        <v/>
      </c>
      <c r="K204" s="42" t="str">
        <f t="shared" si="22"/>
        <v/>
      </c>
      <c r="L204" s="42">
        <f t="shared" si="23"/>
        <v>-2.9999999999999361E-2</v>
      </c>
      <c r="M204" s="17" t="str">
        <f t="shared" si="24"/>
        <v/>
      </c>
      <c r="O204" s="17" t="str">
        <f t="shared" si="25"/>
        <v>Within Tolerance</v>
      </c>
    </row>
    <row r="205" spans="1:15" x14ac:dyDescent="0.3">
      <c r="A205" s="169">
        <v>46151</v>
      </c>
      <c r="B205" s="64">
        <v>46151.833333333299</v>
      </c>
      <c r="C205" s="142">
        <f t="shared" si="20"/>
        <v>46151.833333333299</v>
      </c>
      <c r="D205" s="19" t="s">
        <v>29</v>
      </c>
      <c r="E205" s="8" t="s">
        <v>10</v>
      </c>
      <c r="F205" s="7" t="s">
        <v>15</v>
      </c>
      <c r="G205" s="13" t="s">
        <v>93</v>
      </c>
      <c r="H205" s="26">
        <v>10.49</v>
      </c>
      <c r="I205" s="7">
        <v>10.34</v>
      </c>
      <c r="J205" s="42" t="str">
        <f t="shared" si="21"/>
        <v/>
      </c>
      <c r="K205" s="42" t="str">
        <f t="shared" si="22"/>
        <v/>
      </c>
      <c r="L205" s="42">
        <f t="shared" si="23"/>
        <v>-0.15000000000000036</v>
      </c>
      <c r="M205" s="17" t="str">
        <f t="shared" si="24"/>
        <v/>
      </c>
      <c r="O205" s="17" t="str">
        <f t="shared" si="25"/>
        <v>Within Tolerance</v>
      </c>
    </row>
    <row r="206" spans="1:15" x14ac:dyDescent="0.3">
      <c r="A206" s="168">
        <v>46151</v>
      </c>
      <c r="B206" s="64">
        <v>46151.916666666701</v>
      </c>
      <c r="C206" s="142">
        <f t="shared" si="20"/>
        <v>46151.916666666701</v>
      </c>
      <c r="D206" s="19" t="s">
        <v>29</v>
      </c>
      <c r="E206" s="8" t="s">
        <v>10</v>
      </c>
      <c r="F206" s="7" t="s">
        <v>15</v>
      </c>
      <c r="G206" s="13" t="s">
        <v>93</v>
      </c>
      <c r="H206" s="26">
        <v>10.44</v>
      </c>
      <c r="I206" s="7">
        <v>10.31</v>
      </c>
      <c r="J206" s="42" t="str">
        <f t="shared" si="21"/>
        <v/>
      </c>
      <c r="K206" s="42" t="str">
        <f t="shared" si="22"/>
        <v/>
      </c>
      <c r="L206" s="42">
        <f t="shared" si="23"/>
        <v>-0.12999999999999901</v>
      </c>
      <c r="M206" s="17" t="str">
        <f t="shared" si="24"/>
        <v/>
      </c>
      <c r="O206" s="17" t="str">
        <f t="shared" si="25"/>
        <v>Within Tolerance</v>
      </c>
    </row>
    <row r="207" spans="1:15" x14ac:dyDescent="0.3">
      <c r="A207" s="169">
        <v>46152</v>
      </c>
      <c r="B207" s="64">
        <v>46152</v>
      </c>
      <c r="C207" s="142">
        <f t="shared" si="20"/>
        <v>46152</v>
      </c>
      <c r="D207" s="19" t="s">
        <v>29</v>
      </c>
      <c r="E207" s="8" t="s">
        <v>10</v>
      </c>
      <c r="F207" s="7" t="s">
        <v>15</v>
      </c>
      <c r="G207" s="13" t="s">
        <v>93</v>
      </c>
      <c r="H207" s="26">
        <v>10.55</v>
      </c>
      <c r="I207" s="7">
        <v>10.4</v>
      </c>
      <c r="J207" s="42" t="str">
        <f t="shared" si="21"/>
        <v/>
      </c>
      <c r="K207" s="42" t="str">
        <f t="shared" si="22"/>
        <v/>
      </c>
      <c r="L207" s="42">
        <f t="shared" si="23"/>
        <v>-0.15000000000000036</v>
      </c>
      <c r="M207" s="17" t="str">
        <f t="shared" si="24"/>
        <v/>
      </c>
      <c r="O207" s="17" t="str">
        <f t="shared" si="25"/>
        <v>Within Tolerance</v>
      </c>
    </row>
    <row r="208" spans="1:15" x14ac:dyDescent="0.3">
      <c r="A208" s="168">
        <v>46152</v>
      </c>
      <c r="B208" s="64">
        <v>46152.0625</v>
      </c>
      <c r="C208" s="142">
        <f t="shared" si="20"/>
        <v>46152.0625</v>
      </c>
      <c r="D208" s="19" t="s">
        <v>29</v>
      </c>
      <c r="E208" s="8" t="s">
        <v>10</v>
      </c>
      <c r="F208" s="7" t="s">
        <v>15</v>
      </c>
      <c r="G208" s="13" t="s">
        <v>93</v>
      </c>
      <c r="H208" s="26">
        <v>10.65</v>
      </c>
      <c r="I208" s="7">
        <v>10.41</v>
      </c>
      <c r="J208" s="42" t="str">
        <f t="shared" si="21"/>
        <v/>
      </c>
      <c r="K208" s="42" t="str">
        <f t="shared" si="22"/>
        <v/>
      </c>
      <c r="L208" s="42">
        <f t="shared" si="23"/>
        <v>-0.24000000000000021</v>
      </c>
      <c r="M208" s="17" t="str">
        <f t="shared" si="24"/>
        <v/>
      </c>
      <c r="O208" s="17" t="str">
        <f t="shared" si="25"/>
        <v>Out of Tolerance</v>
      </c>
    </row>
    <row r="209" spans="1:15" x14ac:dyDescent="0.3">
      <c r="A209" s="169">
        <v>46151</v>
      </c>
      <c r="B209" s="64">
        <v>46151.395833333299</v>
      </c>
      <c r="C209" s="142">
        <f t="shared" si="20"/>
        <v>46151.395833333299</v>
      </c>
      <c r="D209" s="19" t="s">
        <v>55</v>
      </c>
      <c r="E209" s="8" t="s">
        <v>14</v>
      </c>
      <c r="F209" s="7" t="s">
        <v>19</v>
      </c>
      <c r="G209" s="13" t="s">
        <v>93</v>
      </c>
      <c r="H209" s="26">
        <v>12.81</v>
      </c>
      <c r="I209" s="7">
        <v>13.02</v>
      </c>
      <c r="J209" s="42" t="str">
        <f t="shared" si="21"/>
        <v/>
      </c>
      <c r="K209" s="42" t="str">
        <f t="shared" si="22"/>
        <v/>
      </c>
      <c r="L209" s="42">
        <f t="shared" si="23"/>
        <v>0.20999999999999908</v>
      </c>
      <c r="M209" s="17" t="str">
        <f t="shared" si="24"/>
        <v/>
      </c>
      <c r="O209" s="17" t="str">
        <f t="shared" si="25"/>
        <v>Out of Tolerance</v>
      </c>
    </row>
    <row r="210" spans="1:15" x14ac:dyDescent="0.3">
      <c r="A210" s="168">
        <v>46151</v>
      </c>
      <c r="B210" s="64">
        <v>46151.440972222197</v>
      </c>
      <c r="C210" s="142">
        <f t="shared" si="20"/>
        <v>46151.440972222197</v>
      </c>
      <c r="D210" s="19" t="s">
        <v>20</v>
      </c>
      <c r="E210" s="8" t="s">
        <v>48</v>
      </c>
      <c r="F210" s="7" t="s">
        <v>19</v>
      </c>
      <c r="G210" s="13" t="s">
        <v>93</v>
      </c>
      <c r="H210" s="26">
        <v>12.32</v>
      </c>
      <c r="I210" s="7">
        <v>12.48</v>
      </c>
      <c r="J210" s="42" t="str">
        <f t="shared" si="21"/>
        <v/>
      </c>
      <c r="K210" s="42" t="str">
        <f t="shared" si="22"/>
        <v/>
      </c>
      <c r="L210" s="42">
        <f t="shared" si="23"/>
        <v>0.16000000000000014</v>
      </c>
      <c r="M210" s="17" t="str">
        <f t="shared" si="24"/>
        <v/>
      </c>
      <c r="O210" s="17" t="str">
        <f t="shared" si="25"/>
        <v>Within Tolerance</v>
      </c>
    </row>
    <row r="211" spans="1:15" x14ac:dyDescent="0.3">
      <c r="A211" s="169">
        <v>46151</v>
      </c>
      <c r="B211" s="64">
        <v>46151.489583333299</v>
      </c>
      <c r="C211" s="142">
        <f t="shared" si="20"/>
        <v>46151.489583333299</v>
      </c>
      <c r="D211" s="19" t="s">
        <v>18</v>
      </c>
      <c r="E211" s="8" t="s">
        <v>14</v>
      </c>
      <c r="F211" s="7" t="s">
        <v>19</v>
      </c>
      <c r="G211" s="13" t="s">
        <v>93</v>
      </c>
      <c r="H211" s="26">
        <v>13.32</v>
      </c>
      <c r="I211" s="7">
        <v>13.49</v>
      </c>
      <c r="J211" s="42" t="str">
        <f t="shared" si="21"/>
        <v/>
      </c>
      <c r="K211" s="42" t="str">
        <f t="shared" si="22"/>
        <v/>
      </c>
      <c r="L211" s="42">
        <f t="shared" si="23"/>
        <v>0.16999999999999993</v>
      </c>
      <c r="M211" s="17" t="str">
        <f t="shared" si="24"/>
        <v/>
      </c>
      <c r="O211" s="17" t="str">
        <f t="shared" si="25"/>
        <v>Within Tolerance</v>
      </c>
    </row>
    <row r="212" spans="1:15" x14ac:dyDescent="0.3">
      <c r="A212" s="168">
        <v>46151</v>
      </c>
      <c r="B212" s="64">
        <v>46151.673611111102</v>
      </c>
      <c r="C212" s="142">
        <f t="shared" si="20"/>
        <v>46151.673611111102</v>
      </c>
      <c r="D212" s="19" t="s">
        <v>21</v>
      </c>
      <c r="E212" s="8" t="s">
        <v>10</v>
      </c>
      <c r="F212" s="7" t="s">
        <v>19</v>
      </c>
      <c r="G212" s="13" t="s">
        <v>93</v>
      </c>
      <c r="H212" s="26">
        <v>11</v>
      </c>
      <c r="I212" s="7">
        <v>11.09</v>
      </c>
      <c r="J212" s="42" t="str">
        <f t="shared" si="21"/>
        <v/>
      </c>
      <c r="K212" s="42" t="str">
        <f t="shared" si="22"/>
        <v/>
      </c>
      <c r="L212" s="42">
        <f t="shared" si="23"/>
        <v>8.9999999999999858E-2</v>
      </c>
      <c r="M212" s="17" t="str">
        <f t="shared" si="24"/>
        <v/>
      </c>
      <c r="O212" s="17" t="str">
        <f t="shared" si="25"/>
        <v>Within Tolerance</v>
      </c>
    </row>
    <row r="213" spans="1:15" x14ac:dyDescent="0.3">
      <c r="A213" s="169">
        <v>46151</v>
      </c>
      <c r="B213" s="64">
        <v>46151.4375</v>
      </c>
      <c r="C213" s="142">
        <f t="shared" si="20"/>
        <v>46151.4375</v>
      </c>
      <c r="D213" s="19" t="s">
        <v>51</v>
      </c>
      <c r="E213" s="8" t="s">
        <v>10</v>
      </c>
      <c r="F213" s="7" t="s">
        <v>24</v>
      </c>
      <c r="G213" s="13" t="s">
        <v>93</v>
      </c>
      <c r="H213" s="26">
        <v>9.83</v>
      </c>
      <c r="I213" s="7">
        <v>9.91</v>
      </c>
      <c r="J213" s="42" t="str">
        <f t="shared" si="21"/>
        <v/>
      </c>
      <c r="K213" s="42" t="str">
        <f t="shared" si="22"/>
        <v/>
      </c>
      <c r="L213" s="42">
        <f t="shared" si="23"/>
        <v>8.0000000000000071E-2</v>
      </c>
      <c r="M213" s="17" t="str">
        <f t="shared" si="24"/>
        <v/>
      </c>
      <c r="O213" s="17" t="str">
        <f t="shared" si="25"/>
        <v>Within Tolerance</v>
      </c>
    </row>
    <row r="214" spans="1:15" x14ac:dyDescent="0.3">
      <c r="A214" s="168">
        <v>46151</v>
      </c>
      <c r="B214" s="64">
        <v>46151.489583333299</v>
      </c>
      <c r="C214" s="142">
        <f t="shared" si="20"/>
        <v>46151.489583333299</v>
      </c>
      <c r="D214" s="19" t="s">
        <v>50</v>
      </c>
      <c r="E214" s="8" t="s">
        <v>10</v>
      </c>
      <c r="F214" s="7" t="s">
        <v>24</v>
      </c>
      <c r="G214" s="13" t="s">
        <v>93</v>
      </c>
      <c r="H214" s="26">
        <v>9.7100000000000009</v>
      </c>
      <c r="I214" s="7">
        <v>9.93</v>
      </c>
      <c r="J214" s="42" t="str">
        <f t="shared" si="21"/>
        <v/>
      </c>
      <c r="K214" s="42" t="str">
        <f t="shared" si="22"/>
        <v/>
      </c>
      <c r="L214" s="42">
        <f t="shared" si="23"/>
        <v>0.21999999999999886</v>
      </c>
      <c r="M214" s="17" t="str">
        <f t="shared" si="24"/>
        <v/>
      </c>
      <c r="O214" s="17" t="str">
        <f t="shared" si="25"/>
        <v>Out of Tolerance</v>
      </c>
    </row>
    <row r="215" spans="1:15" x14ac:dyDescent="0.3">
      <c r="A215" s="169">
        <v>46151</v>
      </c>
      <c r="B215" s="102">
        <v>0.36805555555555558</v>
      </c>
      <c r="C215" s="142">
        <f t="shared" si="20"/>
        <v>46151.368055555555</v>
      </c>
      <c r="D215" s="19" t="s">
        <v>29</v>
      </c>
      <c r="E215" s="8" t="s">
        <v>10</v>
      </c>
      <c r="F215" s="7" t="s">
        <v>47</v>
      </c>
      <c r="G215" s="13">
        <v>10.77</v>
      </c>
      <c r="H215" s="26">
        <v>10.45</v>
      </c>
      <c r="I215" s="21" t="s">
        <v>93</v>
      </c>
      <c r="J215" s="42">
        <f t="shared" si="21"/>
        <v>-0.32000000000000028</v>
      </c>
      <c r="K215" s="42" t="str">
        <f t="shared" si="22"/>
        <v/>
      </c>
      <c r="L215" s="42" t="str">
        <f t="shared" si="23"/>
        <v/>
      </c>
      <c r="M215" s="17" t="str">
        <f t="shared" si="24"/>
        <v>Out of Tolerance</v>
      </c>
      <c r="O215" s="17" t="str">
        <f t="shared" si="25"/>
        <v/>
      </c>
    </row>
    <row r="216" spans="1:15" x14ac:dyDescent="0.3">
      <c r="A216" s="168">
        <v>46152</v>
      </c>
      <c r="B216" s="64">
        <v>46152.444444444402</v>
      </c>
      <c r="C216" s="142">
        <f t="shared" si="20"/>
        <v>46152.444444444402</v>
      </c>
      <c r="D216" s="19" t="s">
        <v>55</v>
      </c>
      <c r="E216" s="20" t="s">
        <v>14</v>
      </c>
      <c r="F216" s="8" t="s">
        <v>19</v>
      </c>
      <c r="G216" s="13" t="s">
        <v>93</v>
      </c>
      <c r="H216" s="26">
        <v>12.92</v>
      </c>
      <c r="I216" s="7">
        <v>12.89</v>
      </c>
      <c r="J216" s="42" t="str">
        <f t="shared" si="21"/>
        <v/>
      </c>
      <c r="K216" s="42" t="str">
        <f t="shared" si="22"/>
        <v/>
      </c>
      <c r="L216" s="42">
        <f t="shared" si="23"/>
        <v>-2.9999999999999361E-2</v>
      </c>
      <c r="M216" s="17" t="str">
        <f t="shared" si="24"/>
        <v/>
      </c>
      <c r="O216" s="17" t="str">
        <f t="shared" si="25"/>
        <v>Within Tolerance</v>
      </c>
    </row>
    <row r="217" spans="1:15" x14ac:dyDescent="0.3">
      <c r="A217" s="169">
        <v>46152</v>
      </c>
      <c r="B217" s="64">
        <v>46152.46875</v>
      </c>
      <c r="C217" s="142">
        <f t="shared" si="20"/>
        <v>46152.46875</v>
      </c>
      <c r="D217" s="19" t="s">
        <v>18</v>
      </c>
      <c r="E217" s="20" t="s">
        <v>14</v>
      </c>
      <c r="F217" s="8" t="s">
        <v>19</v>
      </c>
      <c r="G217" s="13" t="s">
        <v>93</v>
      </c>
      <c r="H217" s="26">
        <v>13.31</v>
      </c>
      <c r="I217" s="7">
        <v>13.34</v>
      </c>
      <c r="J217" s="42" t="str">
        <f t="shared" si="21"/>
        <v/>
      </c>
      <c r="K217" s="42" t="str">
        <f t="shared" si="22"/>
        <v/>
      </c>
      <c r="L217" s="42">
        <f t="shared" si="23"/>
        <v>2.9999999999999361E-2</v>
      </c>
      <c r="M217" s="17" t="str">
        <f t="shared" si="24"/>
        <v/>
      </c>
      <c r="O217" s="17" t="str">
        <f t="shared" si="25"/>
        <v>Within Tolerance</v>
      </c>
    </row>
    <row r="218" spans="1:15" x14ac:dyDescent="0.3">
      <c r="A218" s="168">
        <v>46152</v>
      </c>
      <c r="B218" s="64">
        <v>46152.479166666701</v>
      </c>
      <c r="C218" s="142">
        <f t="shared" si="20"/>
        <v>46152.479166666701</v>
      </c>
      <c r="D218" s="7" t="s">
        <v>31</v>
      </c>
      <c r="E218" s="20" t="s">
        <v>14</v>
      </c>
      <c r="F218" s="8" t="s">
        <v>19</v>
      </c>
      <c r="G218" s="13">
        <v>13.26</v>
      </c>
      <c r="H218" s="26">
        <v>13.28</v>
      </c>
      <c r="I218" s="7">
        <v>13.24</v>
      </c>
      <c r="J218" s="42">
        <f t="shared" si="21"/>
        <v>1.9999999999999574E-2</v>
      </c>
      <c r="K218" s="42">
        <f t="shared" si="22"/>
        <v>-1.9999999999999574E-2</v>
      </c>
      <c r="L218" s="42">
        <f t="shared" si="23"/>
        <v>-3.9999999999999147E-2</v>
      </c>
      <c r="M218" s="17" t="str">
        <f t="shared" si="24"/>
        <v>Within Tolerance</v>
      </c>
      <c r="O218" s="17" t="str">
        <f t="shared" si="25"/>
        <v>Within Tolerance</v>
      </c>
    </row>
    <row r="219" spans="1:15" x14ac:dyDescent="0.3">
      <c r="A219" s="169">
        <v>46152</v>
      </c>
      <c r="B219" s="64">
        <v>46152.510416666701</v>
      </c>
      <c r="C219" s="142">
        <f t="shared" si="20"/>
        <v>46152.510416666701</v>
      </c>
      <c r="D219" s="19" t="s">
        <v>20</v>
      </c>
      <c r="E219" s="20" t="s">
        <v>14</v>
      </c>
      <c r="F219" s="8" t="s">
        <v>19</v>
      </c>
      <c r="G219" s="13" t="s">
        <v>93</v>
      </c>
      <c r="H219" s="26">
        <v>12.46</v>
      </c>
      <c r="I219" s="7">
        <v>12.4</v>
      </c>
      <c r="J219" s="42" t="str">
        <f t="shared" si="21"/>
        <v/>
      </c>
      <c r="K219" s="42" t="str">
        <f t="shared" si="22"/>
        <v/>
      </c>
      <c r="L219" s="42">
        <f t="shared" si="23"/>
        <v>-6.0000000000000497E-2</v>
      </c>
      <c r="M219" s="17" t="str">
        <f t="shared" si="24"/>
        <v/>
      </c>
      <c r="O219" s="17" t="str">
        <f t="shared" si="25"/>
        <v>Within Tolerance</v>
      </c>
    </row>
    <row r="220" spans="1:15" x14ac:dyDescent="0.3">
      <c r="A220" s="168">
        <v>46152</v>
      </c>
      <c r="B220" s="64">
        <v>46152.527777777803</v>
      </c>
      <c r="C220" s="142">
        <f t="shared" si="20"/>
        <v>46152.527777777803</v>
      </c>
      <c r="D220" s="19" t="s">
        <v>62</v>
      </c>
      <c r="E220" s="20" t="s">
        <v>10</v>
      </c>
      <c r="F220" s="8" t="s">
        <v>19</v>
      </c>
      <c r="G220" s="13">
        <v>9.3699999999999992</v>
      </c>
      <c r="H220" s="26">
        <v>9.67</v>
      </c>
      <c r="I220" s="7">
        <v>9.67</v>
      </c>
      <c r="J220" s="42">
        <f t="shared" si="21"/>
        <v>0.30000000000000071</v>
      </c>
      <c r="K220" s="42">
        <f t="shared" si="22"/>
        <v>0.30000000000000071</v>
      </c>
      <c r="L220" s="42">
        <f t="shared" si="23"/>
        <v>0</v>
      </c>
      <c r="M220" s="17" t="str">
        <f t="shared" si="24"/>
        <v>Out of Tolerance</v>
      </c>
      <c r="O220" s="17" t="str">
        <f t="shared" si="25"/>
        <v>Within Tolerance</v>
      </c>
    </row>
    <row r="221" spans="1:15" x14ac:dyDescent="0.3">
      <c r="A221" s="169">
        <v>46152</v>
      </c>
      <c r="B221" s="64">
        <v>46152.576388888898</v>
      </c>
      <c r="C221" s="142">
        <f t="shared" si="20"/>
        <v>46152.576388888898</v>
      </c>
      <c r="D221" s="19" t="s">
        <v>21</v>
      </c>
      <c r="E221" s="20" t="s">
        <v>10</v>
      </c>
      <c r="F221" s="8" t="s">
        <v>19</v>
      </c>
      <c r="G221" s="13" t="s">
        <v>93</v>
      </c>
      <c r="H221" s="26">
        <v>11.34</v>
      </c>
      <c r="I221" s="7">
        <v>11.07</v>
      </c>
      <c r="J221" s="42" t="str">
        <f t="shared" si="21"/>
        <v/>
      </c>
      <c r="K221" s="42" t="str">
        <f t="shared" si="22"/>
        <v/>
      </c>
      <c r="L221" s="42">
        <f t="shared" si="23"/>
        <v>-0.26999999999999957</v>
      </c>
      <c r="M221" s="17" t="str">
        <f t="shared" si="24"/>
        <v/>
      </c>
      <c r="O221" s="17" t="str">
        <f t="shared" si="25"/>
        <v>Out of Tolerance</v>
      </c>
    </row>
    <row r="222" spans="1:15" x14ac:dyDescent="0.3">
      <c r="A222" s="168">
        <v>46153</v>
      </c>
      <c r="B222" s="64">
        <v>46153.354166666701</v>
      </c>
      <c r="C222" s="142">
        <f t="shared" si="20"/>
        <v>46153.354166666701</v>
      </c>
      <c r="D222" s="19" t="s">
        <v>18</v>
      </c>
      <c r="E222" s="8" t="s">
        <v>14</v>
      </c>
      <c r="F222" s="7" t="s">
        <v>11</v>
      </c>
      <c r="G222" s="13" t="s">
        <v>93</v>
      </c>
      <c r="H222" s="26">
        <v>13.18</v>
      </c>
      <c r="I222" s="21" t="s">
        <v>93</v>
      </c>
      <c r="J222" s="42" t="str">
        <f t="shared" si="21"/>
        <v/>
      </c>
      <c r="K222" s="42" t="str">
        <f t="shared" si="22"/>
        <v/>
      </c>
      <c r="L222" s="42" t="str">
        <f t="shared" si="23"/>
        <v/>
      </c>
      <c r="M222" s="17" t="str">
        <f t="shared" si="24"/>
        <v/>
      </c>
      <c r="O222" s="17" t="str">
        <f t="shared" si="25"/>
        <v/>
      </c>
    </row>
    <row r="223" spans="1:15" x14ac:dyDescent="0.3">
      <c r="A223" s="169">
        <v>46153</v>
      </c>
      <c r="B223" s="64">
        <v>46153.375</v>
      </c>
      <c r="C223" s="142">
        <f t="shared" si="20"/>
        <v>46153.375</v>
      </c>
      <c r="D223" s="19" t="s">
        <v>18</v>
      </c>
      <c r="E223" s="8" t="s">
        <v>14</v>
      </c>
      <c r="F223" s="7" t="s">
        <v>11</v>
      </c>
      <c r="G223" s="13" t="s">
        <v>93</v>
      </c>
      <c r="H223" s="26">
        <v>13.26</v>
      </c>
      <c r="I223" s="7">
        <v>12.97</v>
      </c>
      <c r="J223" s="42" t="str">
        <f t="shared" si="21"/>
        <v/>
      </c>
      <c r="K223" s="42" t="str">
        <f t="shared" si="22"/>
        <v/>
      </c>
      <c r="L223" s="42">
        <f t="shared" si="23"/>
        <v>-0.28999999999999915</v>
      </c>
      <c r="M223" s="17" t="str">
        <f t="shared" si="24"/>
        <v/>
      </c>
      <c r="O223" s="17" t="str">
        <f t="shared" si="25"/>
        <v>Out of Tolerance</v>
      </c>
    </row>
    <row r="224" spans="1:15" x14ac:dyDescent="0.3">
      <c r="A224" s="168">
        <v>46153</v>
      </c>
      <c r="B224" s="64">
        <v>46153.402777777803</v>
      </c>
      <c r="C224" s="142">
        <f t="shared" si="20"/>
        <v>46153.402777777803</v>
      </c>
      <c r="D224" s="19" t="s">
        <v>18</v>
      </c>
      <c r="E224" s="8" t="s">
        <v>14</v>
      </c>
      <c r="F224" s="7" t="s">
        <v>11</v>
      </c>
      <c r="G224" s="13" t="s">
        <v>93</v>
      </c>
      <c r="H224" s="26">
        <v>13.35</v>
      </c>
      <c r="I224" s="21" t="s">
        <v>93</v>
      </c>
      <c r="J224" s="42" t="str">
        <f t="shared" si="21"/>
        <v/>
      </c>
      <c r="K224" s="42" t="str">
        <f t="shared" si="22"/>
        <v/>
      </c>
      <c r="L224" s="42" t="str">
        <f t="shared" si="23"/>
        <v/>
      </c>
      <c r="M224" s="17" t="str">
        <f t="shared" si="24"/>
        <v/>
      </c>
      <c r="O224" s="17" t="str">
        <f t="shared" si="25"/>
        <v/>
      </c>
    </row>
    <row r="225" spans="1:15" x14ac:dyDescent="0.3">
      <c r="A225" s="169">
        <v>46153</v>
      </c>
      <c r="B225" s="64">
        <v>46153.4375</v>
      </c>
      <c r="C225" s="142">
        <f t="shared" si="20"/>
        <v>46153.4375</v>
      </c>
      <c r="D225" s="19" t="s">
        <v>18</v>
      </c>
      <c r="E225" s="8" t="s">
        <v>14</v>
      </c>
      <c r="F225" s="7" t="s">
        <v>11</v>
      </c>
      <c r="G225" s="13">
        <v>13.36</v>
      </c>
      <c r="H225" s="26">
        <v>13.37</v>
      </c>
      <c r="I225" s="7">
        <v>13.31</v>
      </c>
      <c r="J225" s="42">
        <f t="shared" si="21"/>
        <v>9.9999999999997868E-3</v>
      </c>
      <c r="K225" s="42">
        <f t="shared" si="22"/>
        <v>-4.9999999999998934E-2</v>
      </c>
      <c r="L225" s="42">
        <f t="shared" si="23"/>
        <v>-5.9999999999998721E-2</v>
      </c>
      <c r="M225" s="17" t="str">
        <f t="shared" si="24"/>
        <v>Within Tolerance</v>
      </c>
      <c r="O225" s="17" t="str">
        <f t="shared" si="25"/>
        <v>Within Tolerance</v>
      </c>
    </row>
    <row r="226" spans="1:15" x14ac:dyDescent="0.3">
      <c r="A226" s="168">
        <v>46153</v>
      </c>
      <c r="B226" s="64">
        <v>46153.520833333299</v>
      </c>
      <c r="C226" s="142">
        <f t="shared" si="20"/>
        <v>46153.520833333299</v>
      </c>
      <c r="D226" s="19" t="s">
        <v>18</v>
      </c>
      <c r="E226" s="8" t="s">
        <v>14</v>
      </c>
      <c r="F226" s="7" t="s">
        <v>11</v>
      </c>
      <c r="G226" s="13" t="s">
        <v>93</v>
      </c>
      <c r="H226" s="26">
        <v>13.36</v>
      </c>
      <c r="I226" s="7">
        <v>13.22</v>
      </c>
      <c r="J226" s="42" t="str">
        <f t="shared" si="21"/>
        <v/>
      </c>
      <c r="K226" s="42" t="str">
        <f t="shared" si="22"/>
        <v/>
      </c>
      <c r="L226" s="42">
        <f t="shared" si="23"/>
        <v>-0.13999999999999879</v>
      </c>
      <c r="M226" s="17" t="str">
        <f t="shared" si="24"/>
        <v/>
      </c>
      <c r="O226" s="17" t="str">
        <f t="shared" si="25"/>
        <v>Within Tolerance</v>
      </c>
    </row>
    <row r="227" spans="1:15" x14ac:dyDescent="0.3">
      <c r="A227" s="169">
        <v>46153</v>
      </c>
      <c r="B227" s="64">
        <v>46153.604166666701</v>
      </c>
      <c r="C227" s="142">
        <f t="shared" si="20"/>
        <v>46153.604166666701</v>
      </c>
      <c r="D227" s="19" t="s">
        <v>18</v>
      </c>
      <c r="E227" s="8" t="s">
        <v>14</v>
      </c>
      <c r="F227" s="7" t="s">
        <v>11</v>
      </c>
      <c r="G227" s="13" t="s">
        <v>93</v>
      </c>
      <c r="H227" s="26">
        <v>13.42</v>
      </c>
      <c r="I227" s="7">
        <v>13.33</v>
      </c>
      <c r="J227" s="42" t="str">
        <f t="shared" si="21"/>
        <v/>
      </c>
      <c r="K227" s="42" t="str">
        <f t="shared" si="22"/>
        <v/>
      </c>
      <c r="L227" s="42">
        <f t="shared" si="23"/>
        <v>-8.9999999999999858E-2</v>
      </c>
      <c r="M227" s="17" t="str">
        <f t="shared" si="24"/>
        <v/>
      </c>
      <c r="O227" s="17" t="str">
        <f t="shared" si="25"/>
        <v>Within Tolerance</v>
      </c>
    </row>
    <row r="228" spans="1:15" x14ac:dyDescent="0.3">
      <c r="A228" s="168">
        <v>46153</v>
      </c>
      <c r="B228" s="64">
        <v>46153.666666666701</v>
      </c>
      <c r="C228" s="142">
        <f t="shared" si="20"/>
        <v>46153.666666666701</v>
      </c>
      <c r="D228" s="19" t="s">
        <v>18</v>
      </c>
      <c r="E228" s="8" t="s">
        <v>14</v>
      </c>
      <c r="F228" s="7" t="s">
        <v>11</v>
      </c>
      <c r="G228" s="13" t="s">
        <v>93</v>
      </c>
      <c r="H228" s="26">
        <v>13.36</v>
      </c>
      <c r="I228" s="7">
        <v>13.43</v>
      </c>
      <c r="J228" s="42" t="str">
        <f t="shared" si="21"/>
        <v/>
      </c>
      <c r="K228" s="42" t="str">
        <f t="shared" si="22"/>
        <v/>
      </c>
      <c r="L228" s="42">
        <f t="shared" si="23"/>
        <v>7.0000000000000284E-2</v>
      </c>
      <c r="M228" s="17" t="str">
        <f t="shared" si="24"/>
        <v/>
      </c>
      <c r="O228" s="17" t="str">
        <f t="shared" si="25"/>
        <v>Within Tolerance</v>
      </c>
    </row>
    <row r="229" spans="1:15" x14ac:dyDescent="0.3">
      <c r="A229" s="169">
        <v>46153</v>
      </c>
      <c r="B229" s="64">
        <v>46153.75</v>
      </c>
      <c r="C229" s="142">
        <f t="shared" si="20"/>
        <v>46153.75</v>
      </c>
      <c r="D229" s="19" t="s">
        <v>18</v>
      </c>
      <c r="E229" s="8" t="s">
        <v>14</v>
      </c>
      <c r="F229" s="7" t="s">
        <v>11</v>
      </c>
      <c r="G229" s="13" t="s">
        <v>93</v>
      </c>
      <c r="H229" s="26">
        <v>13.49</v>
      </c>
      <c r="I229" s="7">
        <v>13.46</v>
      </c>
      <c r="J229" s="42" t="str">
        <f t="shared" si="21"/>
        <v/>
      </c>
      <c r="K229" s="42" t="str">
        <f t="shared" si="22"/>
        <v/>
      </c>
      <c r="L229" s="42">
        <f t="shared" si="23"/>
        <v>-2.9999999999999361E-2</v>
      </c>
      <c r="M229" s="17" t="str">
        <f t="shared" si="24"/>
        <v/>
      </c>
      <c r="O229" s="17" t="str">
        <f t="shared" si="25"/>
        <v>Within Tolerance</v>
      </c>
    </row>
    <row r="230" spans="1:15" x14ac:dyDescent="0.3">
      <c r="A230" s="168">
        <v>46153</v>
      </c>
      <c r="B230" s="64">
        <v>46153.833333333299</v>
      </c>
      <c r="C230" s="142">
        <f t="shared" si="20"/>
        <v>46153.833333333299</v>
      </c>
      <c r="D230" s="19" t="s">
        <v>18</v>
      </c>
      <c r="E230" s="8" t="s">
        <v>14</v>
      </c>
      <c r="F230" s="7" t="s">
        <v>11</v>
      </c>
      <c r="G230" s="13" t="s">
        <v>93</v>
      </c>
      <c r="H230" s="26">
        <v>13.47</v>
      </c>
      <c r="I230" s="7">
        <v>13.36</v>
      </c>
      <c r="J230" s="42" t="str">
        <f t="shared" si="21"/>
        <v/>
      </c>
      <c r="K230" s="42" t="str">
        <f t="shared" si="22"/>
        <v/>
      </c>
      <c r="L230" s="42">
        <f t="shared" si="23"/>
        <v>-0.11000000000000121</v>
      </c>
      <c r="M230" s="17" t="str">
        <f t="shared" si="24"/>
        <v/>
      </c>
      <c r="O230" s="17" t="str">
        <f t="shared" si="25"/>
        <v>Within Tolerance</v>
      </c>
    </row>
    <row r="231" spans="1:15" x14ac:dyDescent="0.3">
      <c r="A231" s="169">
        <v>46153</v>
      </c>
      <c r="B231" s="64">
        <v>46153.916666666701</v>
      </c>
      <c r="C231" s="142">
        <f t="shared" si="20"/>
        <v>46153.916666666701</v>
      </c>
      <c r="D231" s="19" t="s">
        <v>18</v>
      </c>
      <c r="E231" s="8" t="s">
        <v>14</v>
      </c>
      <c r="F231" s="7" t="s">
        <v>11</v>
      </c>
      <c r="G231" s="13" t="s">
        <v>93</v>
      </c>
      <c r="H231" s="26">
        <v>13.51</v>
      </c>
      <c r="I231" s="7">
        <v>13.49</v>
      </c>
      <c r="J231" s="42" t="str">
        <f t="shared" si="21"/>
        <v/>
      </c>
      <c r="K231" s="42" t="str">
        <f t="shared" si="22"/>
        <v/>
      </c>
      <c r="L231" s="42">
        <f t="shared" si="23"/>
        <v>-1.9999999999999574E-2</v>
      </c>
      <c r="M231" s="17" t="str">
        <f t="shared" si="24"/>
        <v/>
      </c>
      <c r="O231" s="17" t="str">
        <f t="shared" si="25"/>
        <v>Within Tolerance</v>
      </c>
    </row>
    <row r="232" spans="1:15" x14ac:dyDescent="0.3">
      <c r="A232" s="168">
        <v>46153</v>
      </c>
      <c r="B232" s="64">
        <v>46153.96875</v>
      </c>
      <c r="C232" s="142">
        <f t="shared" si="20"/>
        <v>46153.96875</v>
      </c>
      <c r="D232" s="19" t="s">
        <v>18</v>
      </c>
      <c r="E232" s="8" t="s">
        <v>14</v>
      </c>
      <c r="F232" s="7" t="s">
        <v>11</v>
      </c>
      <c r="G232" s="13" t="s">
        <v>93</v>
      </c>
      <c r="H232" s="26">
        <v>13.41</v>
      </c>
      <c r="I232" s="21" t="s">
        <v>93</v>
      </c>
      <c r="J232" s="42" t="str">
        <f t="shared" si="21"/>
        <v/>
      </c>
      <c r="K232" s="42" t="str">
        <f t="shared" si="22"/>
        <v/>
      </c>
      <c r="L232" s="42" t="str">
        <f t="shared" si="23"/>
        <v/>
      </c>
      <c r="M232" s="17" t="str">
        <f t="shared" si="24"/>
        <v/>
      </c>
      <c r="O232" s="17" t="str">
        <f t="shared" si="25"/>
        <v/>
      </c>
    </row>
    <row r="233" spans="1:15" x14ac:dyDescent="0.3">
      <c r="A233" s="169">
        <v>46154</v>
      </c>
      <c r="B233" s="64">
        <v>46154</v>
      </c>
      <c r="C233" s="142">
        <f t="shared" si="20"/>
        <v>46154</v>
      </c>
      <c r="D233" s="19" t="s">
        <v>18</v>
      </c>
      <c r="E233" s="8" t="s">
        <v>14</v>
      </c>
      <c r="F233" s="7" t="s">
        <v>11</v>
      </c>
      <c r="G233" s="13" t="s">
        <v>93</v>
      </c>
      <c r="H233" s="26">
        <v>13.26</v>
      </c>
      <c r="I233" s="7">
        <v>13.09</v>
      </c>
      <c r="J233" s="42" t="str">
        <f t="shared" si="21"/>
        <v/>
      </c>
      <c r="K233" s="42" t="str">
        <f t="shared" si="22"/>
        <v/>
      </c>
      <c r="L233" s="42">
        <f t="shared" si="23"/>
        <v>-0.16999999999999993</v>
      </c>
      <c r="M233" s="17" t="str">
        <f t="shared" si="24"/>
        <v/>
      </c>
      <c r="O233" s="17" t="str">
        <f t="shared" si="25"/>
        <v>Within Tolerance</v>
      </c>
    </row>
    <row r="234" spans="1:15" x14ac:dyDescent="0.3">
      <c r="A234" s="168">
        <v>46154</v>
      </c>
      <c r="B234" s="64">
        <v>46154.083333333299</v>
      </c>
      <c r="C234" s="142">
        <f t="shared" si="20"/>
        <v>46154.083333333299</v>
      </c>
      <c r="D234" s="19" t="s">
        <v>18</v>
      </c>
      <c r="E234" s="8" t="s">
        <v>14</v>
      </c>
      <c r="F234" s="7" t="s">
        <v>11</v>
      </c>
      <c r="G234" s="13" t="s">
        <v>93</v>
      </c>
      <c r="H234" s="26">
        <v>13.33</v>
      </c>
      <c r="I234" s="7">
        <v>13.31</v>
      </c>
      <c r="J234" s="42" t="str">
        <f t="shared" si="21"/>
        <v/>
      </c>
      <c r="K234" s="42" t="str">
        <f t="shared" si="22"/>
        <v/>
      </c>
      <c r="L234" s="42">
        <f t="shared" si="23"/>
        <v>-1.9999999999999574E-2</v>
      </c>
      <c r="M234" s="17" t="str">
        <f t="shared" si="24"/>
        <v/>
      </c>
      <c r="O234" s="17" t="str">
        <f t="shared" si="25"/>
        <v>Within Tolerance</v>
      </c>
    </row>
    <row r="235" spans="1:15" x14ac:dyDescent="0.3">
      <c r="A235" s="169">
        <v>46154</v>
      </c>
      <c r="B235" s="64">
        <v>46154.135416666701</v>
      </c>
      <c r="C235" s="142">
        <f t="shared" si="20"/>
        <v>46154.135416666701</v>
      </c>
      <c r="D235" s="19" t="s">
        <v>35</v>
      </c>
      <c r="E235" s="8" t="s">
        <v>14</v>
      </c>
      <c r="F235" s="7" t="s">
        <v>11</v>
      </c>
      <c r="G235" s="13" t="s">
        <v>93</v>
      </c>
      <c r="H235" s="26">
        <v>12.63</v>
      </c>
      <c r="I235" s="7">
        <v>12.89</v>
      </c>
      <c r="J235" s="42" t="str">
        <f t="shared" si="21"/>
        <v/>
      </c>
      <c r="K235" s="42" t="str">
        <f t="shared" si="22"/>
        <v/>
      </c>
      <c r="L235" s="42">
        <f t="shared" si="23"/>
        <v>0.25999999999999979</v>
      </c>
      <c r="M235" s="17" t="str">
        <f t="shared" si="24"/>
        <v/>
      </c>
      <c r="O235" s="17" t="str">
        <f t="shared" si="25"/>
        <v>Out of Tolerance</v>
      </c>
    </row>
    <row r="236" spans="1:15" x14ac:dyDescent="0.3">
      <c r="A236" s="168">
        <v>46154</v>
      </c>
      <c r="B236" s="64">
        <v>46154.229166666701</v>
      </c>
      <c r="C236" s="142">
        <f t="shared" si="20"/>
        <v>46154.229166666701</v>
      </c>
      <c r="D236" s="19" t="s">
        <v>35</v>
      </c>
      <c r="E236" s="8" t="s">
        <v>14</v>
      </c>
      <c r="F236" s="7" t="s">
        <v>11</v>
      </c>
      <c r="G236" s="13" t="s">
        <v>93</v>
      </c>
      <c r="H236" s="26">
        <v>12.83</v>
      </c>
      <c r="I236" s="7">
        <v>12.96</v>
      </c>
      <c r="J236" s="42" t="str">
        <f t="shared" si="21"/>
        <v/>
      </c>
      <c r="K236" s="42" t="str">
        <f t="shared" si="22"/>
        <v/>
      </c>
      <c r="L236" s="42">
        <f t="shared" si="23"/>
        <v>0.13000000000000078</v>
      </c>
      <c r="M236" s="17" t="str">
        <f t="shared" si="24"/>
        <v/>
      </c>
      <c r="O236" s="17" t="str">
        <f t="shared" si="25"/>
        <v>Within Tolerance</v>
      </c>
    </row>
    <row r="237" spans="1:15" x14ac:dyDescent="0.3">
      <c r="A237" s="169">
        <v>46153</v>
      </c>
      <c r="B237" s="64">
        <v>46153.763888888898</v>
      </c>
      <c r="C237" s="142">
        <f t="shared" si="20"/>
        <v>46153.763888888898</v>
      </c>
      <c r="D237" s="19" t="s">
        <v>29</v>
      </c>
      <c r="E237" s="8" t="s">
        <v>10</v>
      </c>
      <c r="F237" s="7" t="s">
        <v>15</v>
      </c>
      <c r="G237" s="13" t="s">
        <v>93</v>
      </c>
      <c r="H237" s="26">
        <v>10.55</v>
      </c>
      <c r="I237" s="21" t="s">
        <v>93</v>
      </c>
      <c r="J237" s="42" t="str">
        <f t="shared" si="21"/>
        <v/>
      </c>
      <c r="K237" s="42" t="str">
        <f t="shared" si="22"/>
        <v/>
      </c>
      <c r="L237" s="42" t="str">
        <f t="shared" si="23"/>
        <v/>
      </c>
      <c r="M237" s="17" t="str">
        <f t="shared" si="24"/>
        <v/>
      </c>
      <c r="O237" s="17" t="str">
        <f t="shared" si="25"/>
        <v/>
      </c>
    </row>
    <row r="238" spans="1:15" x14ac:dyDescent="0.3">
      <c r="A238" s="168">
        <v>46153</v>
      </c>
      <c r="B238" s="64">
        <v>46153.777777777803</v>
      </c>
      <c r="C238" s="142">
        <f t="shared" si="20"/>
        <v>46153.777777777803</v>
      </c>
      <c r="D238" s="19" t="s">
        <v>29</v>
      </c>
      <c r="E238" s="8" t="s">
        <v>10</v>
      </c>
      <c r="F238" s="7" t="s">
        <v>15</v>
      </c>
      <c r="G238" s="13" t="s">
        <v>93</v>
      </c>
      <c r="H238" s="26">
        <v>10.49</v>
      </c>
      <c r="I238" s="7">
        <v>10.4</v>
      </c>
      <c r="J238" s="42" t="str">
        <f t="shared" si="21"/>
        <v/>
      </c>
      <c r="K238" s="42" t="str">
        <f t="shared" si="22"/>
        <v/>
      </c>
      <c r="L238" s="42">
        <f t="shared" si="23"/>
        <v>-8.9999999999999858E-2</v>
      </c>
      <c r="M238" s="17" t="str">
        <f t="shared" si="24"/>
        <v/>
      </c>
      <c r="O238" s="17" t="str">
        <f t="shared" si="25"/>
        <v>Within Tolerance</v>
      </c>
    </row>
    <row r="239" spans="1:15" x14ac:dyDescent="0.3">
      <c r="A239" s="169">
        <v>46153</v>
      </c>
      <c r="B239" s="64">
        <v>46153.833333333299</v>
      </c>
      <c r="C239" s="142">
        <f t="shared" si="20"/>
        <v>46153.833333333299</v>
      </c>
      <c r="D239" s="19" t="s">
        <v>29</v>
      </c>
      <c r="E239" s="8" t="s">
        <v>10</v>
      </c>
      <c r="F239" s="7" t="s">
        <v>15</v>
      </c>
      <c r="G239" s="13">
        <v>10.27</v>
      </c>
      <c r="H239" s="26">
        <v>10.45</v>
      </c>
      <c r="I239" s="7">
        <v>10.33</v>
      </c>
      <c r="J239" s="42">
        <f t="shared" si="21"/>
        <v>0.17999999999999972</v>
      </c>
      <c r="K239" s="42">
        <f t="shared" si="22"/>
        <v>6.0000000000000497E-2</v>
      </c>
      <c r="L239" s="42">
        <f t="shared" si="23"/>
        <v>-0.11999999999999922</v>
      </c>
      <c r="M239" s="17" t="str">
        <f t="shared" si="24"/>
        <v>Within Tolerance</v>
      </c>
      <c r="O239" s="17" t="str">
        <f t="shared" si="25"/>
        <v>Within Tolerance</v>
      </c>
    </row>
    <row r="240" spans="1:15" x14ac:dyDescent="0.3">
      <c r="A240" s="168">
        <v>46153</v>
      </c>
      <c r="B240" s="64">
        <v>46153.895833333299</v>
      </c>
      <c r="C240" s="142">
        <f t="shared" si="20"/>
        <v>46153.895833333299</v>
      </c>
      <c r="D240" s="19" t="s">
        <v>29</v>
      </c>
      <c r="E240" s="8" t="s">
        <v>10</v>
      </c>
      <c r="F240" s="7" t="s">
        <v>15</v>
      </c>
      <c r="G240" s="13" t="s">
        <v>93</v>
      </c>
      <c r="H240" s="26">
        <v>10.55</v>
      </c>
      <c r="I240" s="7">
        <v>10.42</v>
      </c>
      <c r="J240" s="42" t="str">
        <f t="shared" si="21"/>
        <v/>
      </c>
      <c r="K240" s="42" t="str">
        <f t="shared" si="22"/>
        <v/>
      </c>
      <c r="L240" s="42">
        <f t="shared" si="23"/>
        <v>-0.13000000000000078</v>
      </c>
      <c r="M240" s="17" t="str">
        <f t="shared" si="24"/>
        <v/>
      </c>
      <c r="O240" s="17" t="str">
        <f t="shared" si="25"/>
        <v>Within Tolerance</v>
      </c>
    </row>
    <row r="241" spans="1:15" x14ac:dyDescent="0.3">
      <c r="A241" s="169">
        <v>46154</v>
      </c>
      <c r="B241" s="64">
        <v>46154.125</v>
      </c>
      <c r="C241" s="142">
        <f t="shared" si="20"/>
        <v>46154.125</v>
      </c>
      <c r="D241" s="19" t="s">
        <v>29</v>
      </c>
      <c r="E241" s="8" t="s">
        <v>10</v>
      </c>
      <c r="F241" s="7" t="s">
        <v>15</v>
      </c>
      <c r="G241" s="13" t="s">
        <v>93</v>
      </c>
      <c r="H241" s="26">
        <v>10.54</v>
      </c>
      <c r="I241" s="7">
        <v>10.45</v>
      </c>
      <c r="J241" s="42" t="str">
        <f t="shared" si="21"/>
        <v/>
      </c>
      <c r="K241" s="42" t="str">
        <f t="shared" si="22"/>
        <v/>
      </c>
      <c r="L241" s="42">
        <f t="shared" si="23"/>
        <v>-8.9999999999999858E-2</v>
      </c>
      <c r="M241" s="17" t="str">
        <f t="shared" si="24"/>
        <v/>
      </c>
      <c r="O241" s="17" t="str">
        <f t="shared" si="25"/>
        <v>Within Tolerance</v>
      </c>
    </row>
    <row r="242" spans="1:15" x14ac:dyDescent="0.3">
      <c r="A242" s="168">
        <v>46154</v>
      </c>
      <c r="B242" s="64">
        <v>46154.145833333299</v>
      </c>
      <c r="C242" s="142">
        <f t="shared" si="20"/>
        <v>46154.145833333299</v>
      </c>
      <c r="D242" s="19" t="s">
        <v>29</v>
      </c>
      <c r="E242" s="8" t="s">
        <v>10</v>
      </c>
      <c r="F242" s="7" t="s">
        <v>15</v>
      </c>
      <c r="G242" s="13" t="s">
        <v>93</v>
      </c>
      <c r="H242" s="26">
        <v>10.58</v>
      </c>
      <c r="I242" s="7">
        <v>10.41</v>
      </c>
      <c r="J242" s="42" t="str">
        <f t="shared" si="21"/>
        <v/>
      </c>
      <c r="K242" s="42" t="str">
        <f t="shared" si="22"/>
        <v/>
      </c>
      <c r="L242" s="42">
        <f t="shared" si="23"/>
        <v>-0.16999999999999993</v>
      </c>
      <c r="M242" s="17" t="str">
        <f t="shared" si="24"/>
        <v/>
      </c>
      <c r="O242" s="17" t="str">
        <f t="shared" si="25"/>
        <v>Within Tolerance</v>
      </c>
    </row>
    <row r="243" spans="1:15" x14ac:dyDescent="0.3">
      <c r="A243" s="169">
        <v>46154</v>
      </c>
      <c r="B243" s="64">
        <v>46154.229166666701</v>
      </c>
      <c r="C243" s="142">
        <f t="shared" si="20"/>
        <v>46154.229166666701</v>
      </c>
      <c r="D243" s="19" t="s">
        <v>29</v>
      </c>
      <c r="E243" s="8" t="s">
        <v>10</v>
      </c>
      <c r="F243" s="7" t="s">
        <v>15</v>
      </c>
      <c r="G243" s="13">
        <v>10.37</v>
      </c>
      <c r="H243" s="26">
        <v>10.56</v>
      </c>
      <c r="I243" s="21" t="s">
        <v>93</v>
      </c>
      <c r="J243" s="42">
        <f t="shared" si="21"/>
        <v>0.19000000000000128</v>
      </c>
      <c r="K243" s="42" t="str">
        <f t="shared" si="22"/>
        <v/>
      </c>
      <c r="L243" s="42" t="str">
        <f t="shared" si="23"/>
        <v/>
      </c>
      <c r="M243" s="17" t="str">
        <f t="shared" si="24"/>
        <v>Within Tolerance</v>
      </c>
      <c r="O243" s="17" t="str">
        <f t="shared" si="25"/>
        <v/>
      </c>
    </row>
    <row r="244" spans="1:15" x14ac:dyDescent="0.3">
      <c r="A244" s="168">
        <v>46153</v>
      </c>
      <c r="B244" s="64">
        <v>46153.416666666701</v>
      </c>
      <c r="C244" s="142">
        <f t="shared" si="20"/>
        <v>46153.416666666701</v>
      </c>
      <c r="D244" s="19" t="s">
        <v>20</v>
      </c>
      <c r="E244" s="8" t="s">
        <v>14</v>
      </c>
      <c r="F244" s="7" t="s">
        <v>19</v>
      </c>
      <c r="G244" s="13" t="s">
        <v>93</v>
      </c>
      <c r="H244" s="26">
        <v>12.41</v>
      </c>
      <c r="I244" s="7">
        <v>12.36</v>
      </c>
      <c r="J244" s="42" t="str">
        <f t="shared" si="21"/>
        <v/>
      </c>
      <c r="K244" s="42" t="str">
        <f t="shared" si="22"/>
        <v/>
      </c>
      <c r="L244" s="42">
        <f t="shared" si="23"/>
        <v>-5.0000000000000711E-2</v>
      </c>
      <c r="M244" s="17" t="str">
        <f t="shared" si="24"/>
        <v/>
      </c>
      <c r="O244" s="17" t="str">
        <f t="shared" si="25"/>
        <v>Within Tolerance</v>
      </c>
    </row>
    <row r="245" spans="1:15" x14ac:dyDescent="0.3">
      <c r="A245" s="169">
        <v>46153</v>
      </c>
      <c r="B245" s="64">
        <v>46153.479166666701</v>
      </c>
      <c r="C245" s="142">
        <f t="shared" si="20"/>
        <v>46153.479166666701</v>
      </c>
      <c r="D245" s="19" t="s">
        <v>55</v>
      </c>
      <c r="E245" s="8" t="s">
        <v>14</v>
      </c>
      <c r="F245" s="7" t="s">
        <v>19</v>
      </c>
      <c r="G245" s="13" t="s">
        <v>93</v>
      </c>
      <c r="H245" s="26">
        <v>12.92</v>
      </c>
      <c r="I245" s="7">
        <v>13</v>
      </c>
      <c r="J245" s="42" t="str">
        <f t="shared" si="21"/>
        <v/>
      </c>
      <c r="K245" s="42" t="str">
        <f t="shared" si="22"/>
        <v/>
      </c>
      <c r="L245" s="42">
        <f t="shared" si="23"/>
        <v>8.0000000000000071E-2</v>
      </c>
      <c r="M245" s="17" t="str">
        <f t="shared" si="24"/>
        <v/>
      </c>
      <c r="O245" s="17" t="str">
        <f t="shared" si="25"/>
        <v>Within Tolerance</v>
      </c>
    </row>
    <row r="246" spans="1:15" x14ac:dyDescent="0.3">
      <c r="A246" s="168">
        <v>46153</v>
      </c>
      <c r="B246" s="64">
        <v>46153.666666666701</v>
      </c>
      <c r="C246" s="142">
        <f t="shared" si="20"/>
        <v>46153.666666666701</v>
      </c>
      <c r="D246" s="19" t="s">
        <v>30</v>
      </c>
      <c r="E246" s="8" t="s">
        <v>14</v>
      </c>
      <c r="F246" s="7" t="s">
        <v>19</v>
      </c>
      <c r="G246" s="13" t="s">
        <v>93</v>
      </c>
      <c r="H246" s="26">
        <v>12.74</v>
      </c>
      <c r="I246" s="7">
        <v>12.77</v>
      </c>
      <c r="J246" s="42" t="str">
        <f t="shared" si="21"/>
        <v/>
      </c>
      <c r="K246" s="42" t="str">
        <f t="shared" si="22"/>
        <v/>
      </c>
      <c r="L246" s="42">
        <f t="shared" si="23"/>
        <v>2.9999999999999361E-2</v>
      </c>
      <c r="M246" s="17" t="str">
        <f t="shared" si="24"/>
        <v/>
      </c>
      <c r="O246" s="17" t="str">
        <f t="shared" si="25"/>
        <v>Within Tolerance</v>
      </c>
    </row>
    <row r="247" spans="1:15" x14ac:dyDescent="0.3">
      <c r="A247" s="169">
        <v>46153</v>
      </c>
      <c r="B247" s="64">
        <v>46153.8125</v>
      </c>
      <c r="C247" s="142">
        <f t="shared" si="20"/>
        <v>46153.8125</v>
      </c>
      <c r="D247" s="7" t="s">
        <v>31</v>
      </c>
      <c r="E247" s="8" t="s">
        <v>14</v>
      </c>
      <c r="F247" s="7" t="s">
        <v>19</v>
      </c>
      <c r="G247" s="13" t="s">
        <v>93</v>
      </c>
      <c r="H247" s="26">
        <v>13.25</v>
      </c>
      <c r="I247" s="7">
        <v>13.35</v>
      </c>
      <c r="J247" s="42" t="str">
        <f t="shared" si="21"/>
        <v/>
      </c>
      <c r="K247" s="42" t="str">
        <f t="shared" si="22"/>
        <v/>
      </c>
      <c r="L247" s="42">
        <f t="shared" si="23"/>
        <v>9.9999999999999645E-2</v>
      </c>
      <c r="M247" s="17" t="str">
        <f t="shared" si="24"/>
        <v/>
      </c>
      <c r="O247" s="17" t="str">
        <f t="shared" si="25"/>
        <v>Within Tolerance</v>
      </c>
    </row>
    <row r="248" spans="1:15" x14ac:dyDescent="0.3">
      <c r="A248" s="168">
        <v>46153</v>
      </c>
      <c r="B248" s="64">
        <v>46153.402777777803</v>
      </c>
      <c r="C248" s="142">
        <f t="shared" si="20"/>
        <v>46153.402777777803</v>
      </c>
      <c r="D248" s="19" t="s">
        <v>45</v>
      </c>
      <c r="E248" s="8" t="s">
        <v>17</v>
      </c>
      <c r="F248" s="7" t="s">
        <v>24</v>
      </c>
      <c r="G248" s="13" t="s">
        <v>93</v>
      </c>
      <c r="H248" s="26">
        <v>8.58</v>
      </c>
      <c r="I248" s="7">
        <v>8.67</v>
      </c>
      <c r="J248" s="42" t="str">
        <f t="shared" si="21"/>
        <v/>
      </c>
      <c r="K248" s="42" t="str">
        <f t="shared" si="22"/>
        <v/>
      </c>
      <c r="L248" s="42">
        <f t="shared" si="23"/>
        <v>8.9999999999999858E-2</v>
      </c>
      <c r="M248" s="17" t="str">
        <f t="shared" si="24"/>
        <v/>
      </c>
      <c r="O248" s="17" t="str">
        <f t="shared" si="25"/>
        <v>Within Tolerance</v>
      </c>
    </row>
    <row r="249" spans="1:15" x14ac:dyDescent="0.3">
      <c r="A249" s="169">
        <v>46153</v>
      </c>
      <c r="B249" s="64">
        <v>46153.513888888898</v>
      </c>
      <c r="C249" s="142">
        <f t="shared" si="20"/>
        <v>46153.513888888898</v>
      </c>
      <c r="D249" s="19" t="s">
        <v>51</v>
      </c>
      <c r="E249" s="8" t="s">
        <v>10</v>
      </c>
      <c r="F249" s="7" t="s">
        <v>24</v>
      </c>
      <c r="G249" s="13" t="s">
        <v>93</v>
      </c>
      <c r="H249" s="26">
        <v>9.9600000000000009</v>
      </c>
      <c r="I249" s="7">
        <v>9.9499999999999993</v>
      </c>
      <c r="J249" s="42" t="str">
        <f t="shared" si="21"/>
        <v/>
      </c>
      <c r="K249" s="42" t="str">
        <f t="shared" si="22"/>
        <v/>
      </c>
      <c r="L249" s="42">
        <f t="shared" si="23"/>
        <v>-1.0000000000001563E-2</v>
      </c>
      <c r="M249" s="17" t="str">
        <f t="shared" si="24"/>
        <v/>
      </c>
      <c r="O249" s="17" t="str">
        <f t="shared" si="25"/>
        <v>Within Tolerance</v>
      </c>
    </row>
    <row r="250" spans="1:15" x14ac:dyDescent="0.3">
      <c r="A250" s="168">
        <v>46153</v>
      </c>
      <c r="B250" s="64">
        <v>46153.770833333299</v>
      </c>
      <c r="C250" s="142">
        <f t="shared" si="20"/>
        <v>46153.770833333299</v>
      </c>
      <c r="D250" s="19" t="s">
        <v>50</v>
      </c>
      <c r="E250" s="8" t="s">
        <v>10</v>
      </c>
      <c r="F250" s="7" t="s">
        <v>24</v>
      </c>
      <c r="G250" s="13" t="s">
        <v>93</v>
      </c>
      <c r="H250" s="26">
        <v>9.81</v>
      </c>
      <c r="I250" s="7">
        <v>9.7899999999999991</v>
      </c>
      <c r="J250" s="42" t="str">
        <f t="shared" si="21"/>
        <v/>
      </c>
      <c r="K250" s="42" t="str">
        <f t="shared" si="22"/>
        <v/>
      </c>
      <c r="L250" s="42">
        <f t="shared" si="23"/>
        <v>-2.000000000000135E-2</v>
      </c>
      <c r="M250" s="17" t="str">
        <f t="shared" si="24"/>
        <v/>
      </c>
      <c r="O250" s="17" t="str">
        <f t="shared" si="25"/>
        <v>Within Tolerance</v>
      </c>
    </row>
    <row r="251" spans="1:15" x14ac:dyDescent="0.3">
      <c r="A251" s="169">
        <v>46153</v>
      </c>
      <c r="B251" s="102">
        <v>0.36805555555555558</v>
      </c>
      <c r="C251" s="219">
        <f t="shared" si="20"/>
        <v>46153.368055555555</v>
      </c>
      <c r="D251" s="15" t="s">
        <v>29</v>
      </c>
      <c r="E251" s="15" t="s">
        <v>10</v>
      </c>
      <c r="F251" s="15" t="s">
        <v>47</v>
      </c>
      <c r="G251" s="16">
        <v>10.27</v>
      </c>
      <c r="H251" s="16">
        <v>10.54</v>
      </c>
      <c r="I251" s="25" t="s">
        <v>93</v>
      </c>
      <c r="J251" s="42">
        <f t="shared" si="21"/>
        <v>0.26999999999999957</v>
      </c>
      <c r="K251" s="42" t="str">
        <f t="shared" si="22"/>
        <v/>
      </c>
      <c r="L251" s="42" t="str">
        <f t="shared" si="23"/>
        <v/>
      </c>
      <c r="M251" s="17" t="str">
        <f t="shared" si="24"/>
        <v>Out of Tolerance</v>
      </c>
      <c r="O251" s="17" t="str">
        <f t="shared" si="25"/>
        <v/>
      </c>
    </row>
    <row r="252" spans="1:15" x14ac:dyDescent="0.3">
      <c r="A252" s="168">
        <v>46154</v>
      </c>
      <c r="B252" s="64">
        <v>46154.333333333299</v>
      </c>
      <c r="C252" s="142">
        <f t="shared" si="20"/>
        <v>46154.333333333299</v>
      </c>
      <c r="D252" s="19" t="s">
        <v>35</v>
      </c>
      <c r="E252" s="8" t="s">
        <v>14</v>
      </c>
      <c r="F252" s="7" t="s">
        <v>11</v>
      </c>
      <c r="G252" s="25">
        <v>12.96</v>
      </c>
      <c r="H252" s="26">
        <v>12.79</v>
      </c>
      <c r="I252" s="16">
        <v>12.73</v>
      </c>
      <c r="J252" s="42">
        <f t="shared" si="21"/>
        <v>-0.17000000000000171</v>
      </c>
      <c r="K252" s="42">
        <f t="shared" si="22"/>
        <v>-0.23000000000000043</v>
      </c>
      <c r="L252" s="42">
        <f t="shared" si="23"/>
        <v>-5.9999999999998721E-2</v>
      </c>
      <c r="M252" s="17" t="str">
        <f t="shared" si="24"/>
        <v>Within Tolerance</v>
      </c>
      <c r="O252" s="17" t="str">
        <f t="shared" si="25"/>
        <v>Within Tolerance</v>
      </c>
    </row>
    <row r="253" spans="1:15" x14ac:dyDescent="0.3">
      <c r="A253" s="169">
        <v>46154</v>
      </c>
      <c r="B253" s="64">
        <v>46154.416666666701</v>
      </c>
      <c r="C253" s="142">
        <f t="shared" si="20"/>
        <v>46154.416666666701</v>
      </c>
      <c r="D253" s="19" t="s">
        <v>35</v>
      </c>
      <c r="E253" s="8" t="s">
        <v>14</v>
      </c>
      <c r="F253" s="7" t="s">
        <v>11</v>
      </c>
      <c r="G253" s="25" t="s">
        <v>93</v>
      </c>
      <c r="H253" s="26">
        <v>12.78</v>
      </c>
      <c r="I253" s="16">
        <v>12.79</v>
      </c>
      <c r="J253" s="42" t="str">
        <f t="shared" si="21"/>
        <v/>
      </c>
      <c r="K253" s="42" t="str">
        <f t="shared" si="22"/>
        <v/>
      </c>
      <c r="L253" s="42">
        <f t="shared" si="23"/>
        <v>9.9999999999997868E-3</v>
      </c>
      <c r="M253" s="17" t="str">
        <f t="shared" si="24"/>
        <v/>
      </c>
      <c r="O253" s="17" t="str">
        <f t="shared" si="25"/>
        <v>Within Tolerance</v>
      </c>
    </row>
    <row r="254" spans="1:15" x14ac:dyDescent="0.3">
      <c r="A254" s="168">
        <v>46154</v>
      </c>
      <c r="B254" s="64">
        <v>46154.5</v>
      </c>
      <c r="C254" s="142">
        <f t="shared" si="20"/>
        <v>46154.5</v>
      </c>
      <c r="D254" s="19" t="s">
        <v>35</v>
      </c>
      <c r="E254" s="8" t="s">
        <v>14</v>
      </c>
      <c r="F254" s="7" t="s">
        <v>11</v>
      </c>
      <c r="G254" s="25" t="s">
        <v>93</v>
      </c>
      <c r="H254" s="26">
        <v>12.85</v>
      </c>
      <c r="I254" s="16">
        <v>12.92</v>
      </c>
      <c r="J254" s="42" t="str">
        <f t="shared" si="21"/>
        <v/>
      </c>
      <c r="K254" s="42" t="str">
        <f t="shared" si="22"/>
        <v/>
      </c>
      <c r="L254" s="42">
        <f t="shared" si="23"/>
        <v>7.0000000000000284E-2</v>
      </c>
      <c r="M254" s="17" t="str">
        <f t="shared" si="24"/>
        <v/>
      </c>
      <c r="O254" s="17" t="str">
        <f t="shared" si="25"/>
        <v>Within Tolerance</v>
      </c>
    </row>
    <row r="255" spans="1:15" x14ac:dyDescent="0.3">
      <c r="A255" s="169">
        <v>46154</v>
      </c>
      <c r="B255" s="64">
        <v>46154.583333333299</v>
      </c>
      <c r="C255" s="142">
        <f t="shared" si="20"/>
        <v>46154.583333333299</v>
      </c>
      <c r="D255" s="19" t="s">
        <v>13</v>
      </c>
      <c r="E255" s="8" t="s">
        <v>14</v>
      </c>
      <c r="F255" s="7" t="s">
        <v>11</v>
      </c>
      <c r="G255" s="25" t="s">
        <v>93</v>
      </c>
      <c r="H255" s="26">
        <v>13.07</v>
      </c>
      <c r="I255" s="16">
        <v>12.98</v>
      </c>
      <c r="J255" s="42" t="str">
        <f t="shared" si="21"/>
        <v/>
      </c>
      <c r="K255" s="42" t="str">
        <f t="shared" si="22"/>
        <v/>
      </c>
      <c r="L255" s="42">
        <f t="shared" si="23"/>
        <v>-8.9999999999999858E-2</v>
      </c>
      <c r="M255" s="17" t="str">
        <f t="shared" si="24"/>
        <v/>
      </c>
      <c r="O255" s="17" t="str">
        <f t="shared" si="25"/>
        <v>Within Tolerance</v>
      </c>
    </row>
    <row r="256" spans="1:15" x14ac:dyDescent="0.3">
      <c r="A256" s="168">
        <v>46154</v>
      </c>
      <c r="B256" s="64">
        <v>46154.666666666701</v>
      </c>
      <c r="C256" s="142">
        <f t="shared" si="20"/>
        <v>46154.666666666701</v>
      </c>
      <c r="D256" s="19" t="s">
        <v>13</v>
      </c>
      <c r="E256" s="8" t="s">
        <v>14</v>
      </c>
      <c r="F256" s="7" t="s">
        <v>11</v>
      </c>
      <c r="G256" s="25">
        <v>13.16</v>
      </c>
      <c r="H256" s="26">
        <v>13</v>
      </c>
      <c r="I256" s="16">
        <v>13.24</v>
      </c>
      <c r="J256" s="42">
        <f t="shared" si="21"/>
        <v>-0.16000000000000014</v>
      </c>
      <c r="K256" s="42">
        <f t="shared" si="22"/>
        <v>8.0000000000000071E-2</v>
      </c>
      <c r="L256" s="42">
        <f t="shared" si="23"/>
        <v>0.24000000000000021</v>
      </c>
      <c r="M256" s="17" t="str">
        <f t="shared" si="24"/>
        <v>Within Tolerance</v>
      </c>
      <c r="O256" s="17" t="str">
        <f t="shared" si="25"/>
        <v>Out of Tolerance</v>
      </c>
    </row>
    <row r="257" spans="1:15" x14ac:dyDescent="0.3">
      <c r="A257" s="169">
        <v>46154</v>
      </c>
      <c r="B257" s="64">
        <v>46154.75</v>
      </c>
      <c r="C257" s="142">
        <f t="shared" si="20"/>
        <v>46154.75</v>
      </c>
      <c r="D257" s="19" t="s">
        <v>13</v>
      </c>
      <c r="E257" s="8" t="s">
        <v>14</v>
      </c>
      <c r="F257" s="7" t="s">
        <v>11</v>
      </c>
      <c r="G257" s="25" t="s">
        <v>93</v>
      </c>
      <c r="H257" s="26">
        <v>13.24</v>
      </c>
      <c r="I257" s="16">
        <v>13.33</v>
      </c>
      <c r="J257" s="42" t="str">
        <f t="shared" si="21"/>
        <v/>
      </c>
      <c r="K257" s="42" t="str">
        <f t="shared" si="22"/>
        <v/>
      </c>
      <c r="L257" s="42">
        <f t="shared" si="23"/>
        <v>8.9999999999999858E-2</v>
      </c>
      <c r="M257" s="17" t="str">
        <f t="shared" si="24"/>
        <v/>
      </c>
      <c r="O257" s="17" t="str">
        <f t="shared" si="25"/>
        <v>Within Tolerance</v>
      </c>
    </row>
    <row r="258" spans="1:15" x14ac:dyDescent="0.3">
      <c r="A258" s="168">
        <v>46154</v>
      </c>
      <c r="B258" s="64">
        <v>46154.833333333299</v>
      </c>
      <c r="C258" s="142">
        <f t="shared" ref="C258:C321" si="26">A258+MOD(B258,1)</f>
        <v>46154.833333333299</v>
      </c>
      <c r="D258" s="19" t="s">
        <v>13</v>
      </c>
      <c r="E258" s="8" t="s">
        <v>14</v>
      </c>
      <c r="F258" s="7" t="s">
        <v>11</v>
      </c>
      <c r="G258" s="25" t="s">
        <v>93</v>
      </c>
      <c r="H258" s="26">
        <v>13.15</v>
      </c>
      <c r="I258" s="16">
        <v>13.22</v>
      </c>
      <c r="J258" s="42" t="str">
        <f t="shared" si="21"/>
        <v/>
      </c>
      <c r="K258" s="42" t="str">
        <f t="shared" si="22"/>
        <v/>
      </c>
      <c r="L258" s="42">
        <f t="shared" si="23"/>
        <v>7.0000000000000284E-2</v>
      </c>
      <c r="M258" s="17" t="str">
        <f t="shared" si="24"/>
        <v/>
      </c>
      <c r="O258" s="17" t="str">
        <f t="shared" si="25"/>
        <v>Within Tolerance</v>
      </c>
    </row>
    <row r="259" spans="1:15" x14ac:dyDescent="0.3">
      <c r="A259" s="169">
        <v>46154</v>
      </c>
      <c r="B259" s="64">
        <v>46154.916666666701</v>
      </c>
      <c r="C259" s="142">
        <f t="shared" si="26"/>
        <v>46154.916666666701</v>
      </c>
      <c r="D259" s="19" t="s">
        <v>13</v>
      </c>
      <c r="E259" s="8" t="s">
        <v>14</v>
      </c>
      <c r="F259" s="7" t="s">
        <v>11</v>
      </c>
      <c r="G259" s="25" t="s">
        <v>93</v>
      </c>
      <c r="H259" s="26">
        <v>13.22</v>
      </c>
      <c r="I259" s="16">
        <v>13.22</v>
      </c>
      <c r="J259" s="42" t="str">
        <f t="shared" ref="J259:J322" si="27">IF(OR(TRIM(G259&amp;"")="",TRIM(H259&amp;"")="",G259="-",H259="-"),"",H259-G259)</f>
        <v/>
      </c>
      <c r="K259" s="42" t="str">
        <f t="shared" ref="K259:K322" si="28">IF(OR(TRIM(G259&amp;"")="",TRIM(I259&amp;"")="",G259="-",I259="-"),"",I259-G259)</f>
        <v/>
      </c>
      <c r="L259" s="42">
        <f t="shared" ref="L259:L322" si="29">IF(OR(TRIM(H259&amp;"")="",TRIM(I259&amp;"")="",H259="-",I259="-"),"",I259-H259)</f>
        <v>0</v>
      </c>
      <c r="M259" s="17" t="str">
        <f t="shared" ref="M259:M322" si="30">IF(J259="","",IF(ABS(J259)&lt;=0.2,"Within Tolerance","Out of Tolerance"))</f>
        <v/>
      </c>
      <c r="O259" s="17" t="str">
        <f t="shared" ref="O259:O322" si="31">IF(L259="","",IF(ABS(L259)&lt;=0.2,"Within Tolerance","Out of Tolerance"))</f>
        <v>Within Tolerance</v>
      </c>
    </row>
    <row r="260" spans="1:15" x14ac:dyDescent="0.3">
      <c r="A260" s="168">
        <v>46186</v>
      </c>
      <c r="B260" s="64">
        <v>46155</v>
      </c>
      <c r="C260" s="142">
        <f t="shared" si="26"/>
        <v>46186</v>
      </c>
      <c r="D260" s="19" t="s">
        <v>13</v>
      </c>
      <c r="E260" s="8" t="s">
        <v>14</v>
      </c>
      <c r="F260" s="7" t="s">
        <v>11</v>
      </c>
      <c r="G260" s="25" t="s">
        <v>93</v>
      </c>
      <c r="H260" s="26">
        <v>13.19</v>
      </c>
      <c r="I260" s="16">
        <v>13.38</v>
      </c>
      <c r="J260" s="42" t="str">
        <f t="shared" si="27"/>
        <v/>
      </c>
      <c r="K260" s="42" t="str">
        <f t="shared" si="28"/>
        <v/>
      </c>
      <c r="L260" s="42">
        <f t="shared" si="29"/>
        <v>0.19000000000000128</v>
      </c>
      <c r="M260" s="17" t="str">
        <f t="shared" si="30"/>
        <v/>
      </c>
      <c r="O260" s="17" t="str">
        <f t="shared" si="31"/>
        <v>Within Tolerance</v>
      </c>
    </row>
    <row r="261" spans="1:15" x14ac:dyDescent="0.3">
      <c r="A261" s="169">
        <v>46186</v>
      </c>
      <c r="B261" s="64">
        <v>46155.083333333299</v>
      </c>
      <c r="C261" s="142">
        <f t="shared" si="26"/>
        <v>46186.083333333299</v>
      </c>
      <c r="D261" s="19" t="s">
        <v>13</v>
      </c>
      <c r="E261" s="8" t="s">
        <v>14</v>
      </c>
      <c r="F261" s="7" t="s">
        <v>11</v>
      </c>
      <c r="G261" s="25" t="s">
        <v>93</v>
      </c>
      <c r="H261" s="26">
        <v>13.25</v>
      </c>
      <c r="I261" s="16">
        <v>13.26</v>
      </c>
      <c r="J261" s="42" t="str">
        <f t="shared" si="27"/>
        <v/>
      </c>
      <c r="K261" s="42" t="str">
        <f t="shared" si="28"/>
        <v/>
      </c>
      <c r="L261" s="42">
        <f t="shared" si="29"/>
        <v>9.9999999999997868E-3</v>
      </c>
      <c r="M261" s="17" t="str">
        <f t="shared" si="30"/>
        <v/>
      </c>
      <c r="O261" s="17" t="str">
        <f t="shared" si="31"/>
        <v>Within Tolerance</v>
      </c>
    </row>
    <row r="262" spans="1:15" x14ac:dyDescent="0.3">
      <c r="A262" s="168">
        <v>46186</v>
      </c>
      <c r="B262" s="64">
        <v>46155.166666666701</v>
      </c>
      <c r="C262" s="142">
        <f t="shared" si="26"/>
        <v>46186.166666666701</v>
      </c>
      <c r="D262" s="19" t="s">
        <v>13</v>
      </c>
      <c r="E262" s="8" t="s">
        <v>14</v>
      </c>
      <c r="F262" s="7" t="s">
        <v>11</v>
      </c>
      <c r="G262" s="25" t="s">
        <v>93</v>
      </c>
      <c r="H262" s="26">
        <v>13.17</v>
      </c>
      <c r="I262" s="16">
        <v>13.32</v>
      </c>
      <c r="J262" s="42" t="str">
        <f t="shared" si="27"/>
        <v/>
      </c>
      <c r="K262" s="42" t="str">
        <f t="shared" si="28"/>
        <v/>
      </c>
      <c r="L262" s="42">
        <f t="shared" si="29"/>
        <v>0.15000000000000036</v>
      </c>
      <c r="M262" s="17" t="str">
        <f t="shared" si="30"/>
        <v/>
      </c>
      <c r="O262" s="17" t="str">
        <f t="shared" si="31"/>
        <v>Within Tolerance</v>
      </c>
    </row>
    <row r="263" spans="1:15" x14ac:dyDescent="0.3">
      <c r="A263" s="169">
        <v>46186</v>
      </c>
      <c r="B263" s="64">
        <v>46155.229166666701</v>
      </c>
      <c r="C263" s="142">
        <f t="shared" si="26"/>
        <v>46186.229166666701</v>
      </c>
      <c r="D263" s="19" t="s">
        <v>13</v>
      </c>
      <c r="E263" s="8" t="s">
        <v>14</v>
      </c>
      <c r="F263" s="7" t="s">
        <v>11</v>
      </c>
      <c r="G263" s="25" t="s">
        <v>93</v>
      </c>
      <c r="H263" s="26">
        <v>13.18</v>
      </c>
      <c r="I263" s="16">
        <v>13.35</v>
      </c>
      <c r="J263" s="42" t="str">
        <f t="shared" si="27"/>
        <v/>
      </c>
      <c r="K263" s="42" t="str">
        <f t="shared" si="28"/>
        <v/>
      </c>
      <c r="L263" s="42">
        <f t="shared" si="29"/>
        <v>0.16999999999999993</v>
      </c>
      <c r="M263" s="17" t="str">
        <f t="shared" si="30"/>
        <v/>
      </c>
      <c r="O263" s="17" t="str">
        <f t="shared" si="31"/>
        <v>Within Tolerance</v>
      </c>
    </row>
    <row r="264" spans="1:15" x14ac:dyDescent="0.3">
      <c r="A264" s="168">
        <v>46186</v>
      </c>
      <c r="B264" s="64">
        <v>46155.274305555598</v>
      </c>
      <c r="C264" s="142">
        <f t="shared" si="26"/>
        <v>46186.274305555598</v>
      </c>
      <c r="D264" s="19" t="s">
        <v>41</v>
      </c>
      <c r="E264" s="8" t="s">
        <v>10</v>
      </c>
      <c r="F264" s="7" t="s">
        <v>11</v>
      </c>
      <c r="G264" s="25" t="s">
        <v>93</v>
      </c>
      <c r="H264" s="26">
        <v>9.69</v>
      </c>
      <c r="I264" s="16">
        <v>9.7899999999999991</v>
      </c>
      <c r="J264" s="42" t="str">
        <f t="shared" si="27"/>
        <v/>
      </c>
      <c r="K264" s="42" t="str">
        <f t="shared" si="28"/>
        <v/>
      </c>
      <c r="L264" s="42">
        <f t="shared" si="29"/>
        <v>9.9999999999999645E-2</v>
      </c>
      <c r="M264" s="17" t="str">
        <f t="shared" si="30"/>
        <v/>
      </c>
      <c r="O264" s="17" t="str">
        <f t="shared" si="31"/>
        <v>Within Tolerance</v>
      </c>
    </row>
    <row r="265" spans="1:15" x14ac:dyDescent="0.3">
      <c r="A265" s="169">
        <v>46154</v>
      </c>
      <c r="B265" s="64">
        <v>46154.333333333299</v>
      </c>
      <c r="C265" s="142">
        <f t="shared" si="26"/>
        <v>46154.333333333299</v>
      </c>
      <c r="D265" s="19" t="s">
        <v>29</v>
      </c>
      <c r="E265" s="8" t="s">
        <v>10</v>
      </c>
      <c r="F265" s="7" t="s">
        <v>15</v>
      </c>
      <c r="G265" s="25" t="s">
        <v>93</v>
      </c>
      <c r="H265" s="26">
        <v>10.48</v>
      </c>
      <c r="I265" s="16">
        <v>10.3</v>
      </c>
      <c r="J265" s="42" t="str">
        <f t="shared" si="27"/>
        <v/>
      </c>
      <c r="K265" s="42" t="str">
        <f t="shared" si="28"/>
        <v/>
      </c>
      <c r="L265" s="42">
        <f t="shared" si="29"/>
        <v>-0.17999999999999972</v>
      </c>
      <c r="M265" s="17" t="str">
        <f t="shared" si="30"/>
        <v/>
      </c>
      <c r="O265" s="17" t="str">
        <f t="shared" si="31"/>
        <v>Within Tolerance</v>
      </c>
    </row>
    <row r="266" spans="1:15" x14ac:dyDescent="0.3">
      <c r="A266" s="168">
        <v>46154</v>
      </c>
      <c r="B266" s="64">
        <v>46154.416666666701</v>
      </c>
      <c r="C266" s="142">
        <f t="shared" si="26"/>
        <v>46154.416666666701</v>
      </c>
      <c r="D266" s="19" t="s">
        <v>29</v>
      </c>
      <c r="E266" s="8" t="s">
        <v>10</v>
      </c>
      <c r="F266" s="7" t="s">
        <v>15</v>
      </c>
      <c r="G266" s="25" t="s">
        <v>93</v>
      </c>
      <c r="H266" s="26">
        <v>10.51</v>
      </c>
      <c r="I266" s="16">
        <v>10.29</v>
      </c>
      <c r="J266" s="42" t="str">
        <f t="shared" si="27"/>
        <v/>
      </c>
      <c r="K266" s="42" t="str">
        <f t="shared" si="28"/>
        <v/>
      </c>
      <c r="L266" s="42">
        <f t="shared" si="29"/>
        <v>-0.22000000000000064</v>
      </c>
      <c r="M266" s="17" t="str">
        <f t="shared" si="30"/>
        <v/>
      </c>
      <c r="O266" s="17" t="str">
        <f t="shared" si="31"/>
        <v>Out of Tolerance</v>
      </c>
    </row>
    <row r="267" spans="1:15" x14ac:dyDescent="0.3">
      <c r="A267" s="169">
        <v>46154</v>
      </c>
      <c r="B267" s="64">
        <v>46154.878472222197</v>
      </c>
      <c r="C267" s="142">
        <f t="shared" si="26"/>
        <v>46154.878472222197</v>
      </c>
      <c r="D267" s="19" t="s">
        <v>41</v>
      </c>
      <c r="E267" s="8" t="s">
        <v>10</v>
      </c>
      <c r="F267" s="7" t="s">
        <v>15</v>
      </c>
      <c r="G267" s="25" t="s">
        <v>93</v>
      </c>
      <c r="H267" s="26">
        <v>9.6300000000000008</v>
      </c>
      <c r="I267" s="16"/>
      <c r="J267" s="42" t="str">
        <f t="shared" si="27"/>
        <v/>
      </c>
      <c r="K267" s="42" t="str">
        <f t="shared" si="28"/>
        <v/>
      </c>
      <c r="L267" s="42" t="str">
        <f t="shared" si="29"/>
        <v/>
      </c>
      <c r="M267" s="17" t="str">
        <f t="shared" si="30"/>
        <v/>
      </c>
      <c r="O267" s="17" t="str">
        <f t="shared" si="31"/>
        <v/>
      </c>
    </row>
    <row r="268" spans="1:15" x14ac:dyDescent="0.3">
      <c r="A268" s="168">
        <v>46154</v>
      </c>
      <c r="B268" s="64">
        <v>46154.892361111102</v>
      </c>
      <c r="C268" s="142">
        <f t="shared" si="26"/>
        <v>46154.892361111102</v>
      </c>
      <c r="D268" s="19" t="s">
        <v>41</v>
      </c>
      <c r="E268" s="8" t="s">
        <v>10</v>
      </c>
      <c r="F268" s="7" t="s">
        <v>15</v>
      </c>
      <c r="G268" s="25" t="s">
        <v>93</v>
      </c>
      <c r="H268" s="26">
        <v>9.56</v>
      </c>
      <c r="I268" s="16">
        <v>9.44</v>
      </c>
      <c r="J268" s="42" t="str">
        <f t="shared" si="27"/>
        <v/>
      </c>
      <c r="K268" s="42" t="str">
        <f t="shared" si="28"/>
        <v/>
      </c>
      <c r="L268" s="42">
        <f t="shared" si="29"/>
        <v>-0.12000000000000099</v>
      </c>
      <c r="M268" s="17" t="str">
        <f t="shared" si="30"/>
        <v/>
      </c>
      <c r="O268" s="17" t="str">
        <f t="shared" si="31"/>
        <v>Within Tolerance</v>
      </c>
    </row>
    <row r="269" spans="1:15" x14ac:dyDescent="0.3">
      <c r="A269" s="169">
        <v>46155</v>
      </c>
      <c r="B269" s="64">
        <v>46155</v>
      </c>
      <c r="C269" s="142">
        <f t="shared" si="26"/>
        <v>46155</v>
      </c>
      <c r="D269" s="19" t="s">
        <v>41</v>
      </c>
      <c r="E269" s="8" t="s">
        <v>10</v>
      </c>
      <c r="F269" s="7" t="s">
        <v>15</v>
      </c>
      <c r="G269" s="25">
        <v>9.57</v>
      </c>
      <c r="H269" s="26">
        <v>9.56</v>
      </c>
      <c r="I269" s="16">
        <v>9.5299999999999994</v>
      </c>
      <c r="J269" s="42">
        <f t="shared" si="27"/>
        <v>-9.9999999999997868E-3</v>
      </c>
      <c r="K269" s="42">
        <f t="shared" si="28"/>
        <v>-4.0000000000000924E-2</v>
      </c>
      <c r="L269" s="42">
        <f t="shared" si="29"/>
        <v>-3.0000000000001137E-2</v>
      </c>
      <c r="M269" s="17" t="str">
        <f t="shared" si="30"/>
        <v>Within Tolerance</v>
      </c>
      <c r="O269" s="17" t="str">
        <f t="shared" si="31"/>
        <v>Within Tolerance</v>
      </c>
    </row>
    <row r="270" spans="1:15" x14ac:dyDescent="0.3">
      <c r="A270" s="168">
        <v>46155</v>
      </c>
      <c r="B270" s="64">
        <v>46155.083333333299</v>
      </c>
      <c r="C270" s="142">
        <f t="shared" si="26"/>
        <v>46155.083333333299</v>
      </c>
      <c r="D270" s="19" t="s">
        <v>41</v>
      </c>
      <c r="E270" s="8" t="s">
        <v>10</v>
      </c>
      <c r="F270" s="7" t="s">
        <v>15</v>
      </c>
      <c r="G270" s="25" t="s">
        <v>93</v>
      </c>
      <c r="H270" s="26">
        <v>9.66</v>
      </c>
      <c r="I270" s="16">
        <v>9.52</v>
      </c>
      <c r="J270" s="42" t="str">
        <f t="shared" si="27"/>
        <v/>
      </c>
      <c r="K270" s="42" t="str">
        <f t="shared" si="28"/>
        <v/>
      </c>
      <c r="L270" s="42">
        <f t="shared" si="29"/>
        <v>-0.14000000000000057</v>
      </c>
      <c r="M270" s="17" t="str">
        <f t="shared" si="30"/>
        <v/>
      </c>
      <c r="O270" s="17" t="str">
        <f t="shared" si="31"/>
        <v>Within Tolerance</v>
      </c>
    </row>
    <row r="271" spans="1:15" x14ac:dyDescent="0.3">
      <c r="A271" s="169">
        <v>46155</v>
      </c>
      <c r="B271" s="64">
        <v>46155.166666666701</v>
      </c>
      <c r="C271" s="142">
        <f t="shared" si="26"/>
        <v>46155.166666666701</v>
      </c>
      <c r="D271" s="19" t="s">
        <v>41</v>
      </c>
      <c r="E271" s="8" t="s">
        <v>10</v>
      </c>
      <c r="F271" s="7" t="s">
        <v>15</v>
      </c>
      <c r="G271" s="25" t="s">
        <v>93</v>
      </c>
      <c r="H271" s="26">
        <v>9.56</v>
      </c>
      <c r="I271" s="16">
        <v>9.56</v>
      </c>
      <c r="J271" s="42" t="str">
        <f t="shared" si="27"/>
        <v/>
      </c>
      <c r="K271" s="42" t="str">
        <f t="shared" si="28"/>
        <v/>
      </c>
      <c r="L271" s="42">
        <f t="shared" si="29"/>
        <v>0</v>
      </c>
      <c r="M271" s="17" t="str">
        <f t="shared" si="30"/>
        <v/>
      </c>
      <c r="O271" s="17" t="str">
        <f t="shared" si="31"/>
        <v>Within Tolerance</v>
      </c>
    </row>
    <row r="272" spans="1:15" x14ac:dyDescent="0.3">
      <c r="A272" s="168">
        <v>46155</v>
      </c>
      <c r="B272" s="64">
        <v>46155.25</v>
      </c>
      <c r="C272" s="142">
        <f t="shared" si="26"/>
        <v>46155.25</v>
      </c>
      <c r="D272" s="19" t="s">
        <v>41</v>
      </c>
      <c r="E272" s="8" t="s">
        <v>10</v>
      </c>
      <c r="F272" s="7" t="s">
        <v>15</v>
      </c>
      <c r="G272" s="25">
        <v>9.3699999999999992</v>
      </c>
      <c r="H272" s="26">
        <v>9.6300000000000008</v>
      </c>
      <c r="I272" s="16">
        <v>9.6</v>
      </c>
      <c r="J272" s="42">
        <f t="shared" si="27"/>
        <v>0.26000000000000156</v>
      </c>
      <c r="K272" s="42">
        <f t="shared" si="28"/>
        <v>0.23000000000000043</v>
      </c>
      <c r="L272" s="42">
        <f t="shared" si="29"/>
        <v>-3.0000000000001137E-2</v>
      </c>
      <c r="M272" s="17" t="str">
        <f t="shared" si="30"/>
        <v>Out of Tolerance</v>
      </c>
      <c r="O272" s="17" t="str">
        <f t="shared" si="31"/>
        <v>Within Tolerance</v>
      </c>
    </row>
    <row r="273" spans="1:15" x14ac:dyDescent="0.3">
      <c r="A273" s="169">
        <v>46154</v>
      </c>
      <c r="B273" s="64">
        <v>46154.416666666701</v>
      </c>
      <c r="C273" s="142">
        <f t="shared" si="26"/>
        <v>46154.416666666701</v>
      </c>
      <c r="D273" s="19" t="s">
        <v>21</v>
      </c>
      <c r="E273" s="8" t="s">
        <v>10</v>
      </c>
      <c r="F273" s="7" t="s">
        <v>19</v>
      </c>
      <c r="G273" s="25" t="s">
        <v>93</v>
      </c>
      <c r="H273" s="26">
        <v>11.54</v>
      </c>
      <c r="I273" s="16">
        <v>11.97</v>
      </c>
      <c r="J273" s="42" t="str">
        <f t="shared" si="27"/>
        <v/>
      </c>
      <c r="K273" s="42" t="str">
        <f t="shared" si="28"/>
        <v/>
      </c>
      <c r="L273" s="42">
        <f t="shared" si="29"/>
        <v>0.43000000000000149</v>
      </c>
      <c r="M273" s="17" t="str">
        <f t="shared" si="30"/>
        <v/>
      </c>
      <c r="O273" s="17" t="str">
        <f t="shared" si="31"/>
        <v>Out of Tolerance</v>
      </c>
    </row>
    <row r="274" spans="1:15" x14ac:dyDescent="0.3">
      <c r="A274" s="168">
        <v>46154</v>
      </c>
      <c r="B274" s="64">
        <v>46154.444444444402</v>
      </c>
      <c r="C274" s="142">
        <f t="shared" si="26"/>
        <v>46154.444444444402</v>
      </c>
      <c r="D274" s="19" t="s">
        <v>37</v>
      </c>
      <c r="E274" s="8" t="s">
        <v>14</v>
      </c>
      <c r="F274" s="7" t="s">
        <v>19</v>
      </c>
      <c r="G274" s="25" t="s">
        <v>93</v>
      </c>
      <c r="H274" s="26">
        <v>12.09</v>
      </c>
      <c r="I274" s="16">
        <v>12.07</v>
      </c>
      <c r="J274" s="42" t="str">
        <f t="shared" si="27"/>
        <v/>
      </c>
      <c r="K274" s="42" t="str">
        <f t="shared" si="28"/>
        <v/>
      </c>
      <c r="L274" s="42">
        <f t="shared" si="29"/>
        <v>-1.9999999999999574E-2</v>
      </c>
      <c r="M274" s="17" t="str">
        <f t="shared" si="30"/>
        <v/>
      </c>
      <c r="O274" s="17" t="str">
        <f t="shared" si="31"/>
        <v>Within Tolerance</v>
      </c>
    </row>
    <row r="275" spans="1:15" x14ac:dyDescent="0.3">
      <c r="A275" s="169">
        <v>46154</v>
      </c>
      <c r="B275" s="64">
        <v>46154.472222222197</v>
      </c>
      <c r="C275" s="142">
        <f t="shared" si="26"/>
        <v>46154.472222222197</v>
      </c>
      <c r="D275" s="19" t="s">
        <v>20</v>
      </c>
      <c r="E275" s="8" t="s">
        <v>14</v>
      </c>
      <c r="F275" s="7" t="s">
        <v>19</v>
      </c>
      <c r="G275" s="25">
        <v>12.36</v>
      </c>
      <c r="H275" s="26">
        <v>12.62</v>
      </c>
      <c r="I275" s="16">
        <v>12.46</v>
      </c>
      <c r="J275" s="42">
        <f t="shared" si="27"/>
        <v>0.25999999999999979</v>
      </c>
      <c r="K275" s="42">
        <f t="shared" si="28"/>
        <v>0.10000000000000142</v>
      </c>
      <c r="L275" s="42">
        <f t="shared" si="29"/>
        <v>-0.15999999999999837</v>
      </c>
      <c r="M275" s="17" t="str">
        <f t="shared" si="30"/>
        <v>Out of Tolerance</v>
      </c>
      <c r="O275" s="17" t="str">
        <f t="shared" si="31"/>
        <v>Within Tolerance</v>
      </c>
    </row>
    <row r="276" spans="1:15" x14ac:dyDescent="0.3">
      <c r="A276" s="168">
        <v>46154</v>
      </c>
      <c r="B276" s="64">
        <v>46154.583333333336</v>
      </c>
      <c r="C276" s="142">
        <f t="shared" si="26"/>
        <v>46154.583333333336</v>
      </c>
      <c r="D276" s="19" t="s">
        <v>30</v>
      </c>
      <c r="E276" s="8" t="s">
        <v>14</v>
      </c>
      <c r="F276" s="7" t="s">
        <v>32</v>
      </c>
      <c r="G276" s="25">
        <v>12.86</v>
      </c>
      <c r="H276" s="26">
        <v>12.89</v>
      </c>
      <c r="I276" s="16"/>
      <c r="J276" s="42">
        <f t="shared" si="27"/>
        <v>3.0000000000001137E-2</v>
      </c>
      <c r="K276" s="42" t="str">
        <f t="shared" si="28"/>
        <v/>
      </c>
      <c r="L276" s="42" t="str">
        <f t="shared" si="29"/>
        <v/>
      </c>
      <c r="M276" s="17" t="str">
        <f t="shared" si="30"/>
        <v>Within Tolerance</v>
      </c>
      <c r="O276" s="17" t="str">
        <f t="shared" si="31"/>
        <v/>
      </c>
    </row>
    <row r="277" spans="1:15" x14ac:dyDescent="0.3">
      <c r="A277" s="169">
        <v>46154</v>
      </c>
      <c r="B277" s="64">
        <v>46154.527777777803</v>
      </c>
      <c r="C277" s="142">
        <f t="shared" si="26"/>
        <v>46154.527777777803</v>
      </c>
      <c r="D277" s="19" t="s">
        <v>30</v>
      </c>
      <c r="E277" s="8" t="s">
        <v>14</v>
      </c>
      <c r="F277" s="7" t="s">
        <v>19</v>
      </c>
      <c r="G277" s="25" t="s">
        <v>93</v>
      </c>
      <c r="H277" s="26">
        <v>12.88</v>
      </c>
      <c r="I277" s="16">
        <v>12.9</v>
      </c>
      <c r="J277" s="42" t="str">
        <f t="shared" si="27"/>
        <v/>
      </c>
      <c r="K277" s="42" t="str">
        <f t="shared" si="28"/>
        <v/>
      </c>
      <c r="L277" s="42">
        <f t="shared" si="29"/>
        <v>1.9999999999999574E-2</v>
      </c>
      <c r="M277" s="17" t="str">
        <f t="shared" si="30"/>
        <v/>
      </c>
      <c r="O277" s="17" t="str">
        <f t="shared" si="31"/>
        <v>Within Tolerance</v>
      </c>
    </row>
    <row r="278" spans="1:15" x14ac:dyDescent="0.3">
      <c r="A278" s="168">
        <v>46154</v>
      </c>
      <c r="B278" s="64">
        <v>46154.552083333299</v>
      </c>
      <c r="C278" s="142">
        <f t="shared" si="26"/>
        <v>46154.552083333299</v>
      </c>
      <c r="D278" s="19" t="s">
        <v>55</v>
      </c>
      <c r="E278" s="8" t="s">
        <v>14</v>
      </c>
      <c r="F278" s="7" t="s">
        <v>19</v>
      </c>
      <c r="G278" s="25" t="s">
        <v>93</v>
      </c>
      <c r="H278" s="26">
        <v>13.08</v>
      </c>
      <c r="I278" s="16">
        <v>13.23</v>
      </c>
      <c r="J278" s="42" t="str">
        <f t="shared" si="27"/>
        <v/>
      </c>
      <c r="K278" s="42" t="str">
        <f t="shared" si="28"/>
        <v/>
      </c>
      <c r="L278" s="42">
        <f t="shared" si="29"/>
        <v>0.15000000000000036</v>
      </c>
      <c r="M278" s="17" t="str">
        <f t="shared" si="30"/>
        <v/>
      </c>
      <c r="O278" s="17" t="str">
        <f t="shared" si="31"/>
        <v>Within Tolerance</v>
      </c>
    </row>
    <row r="279" spans="1:15" x14ac:dyDescent="0.3">
      <c r="A279" s="169">
        <v>46154</v>
      </c>
      <c r="B279" s="64">
        <v>46154.607638888898</v>
      </c>
      <c r="C279" s="142">
        <f t="shared" si="26"/>
        <v>46154.607638888898</v>
      </c>
      <c r="D279" s="19" t="s">
        <v>42</v>
      </c>
      <c r="E279" s="8" t="s">
        <v>10</v>
      </c>
      <c r="F279" s="7" t="s">
        <v>19</v>
      </c>
      <c r="G279" s="25" t="s">
        <v>93</v>
      </c>
      <c r="H279" s="26">
        <v>10.039999999999999</v>
      </c>
      <c r="I279" s="16">
        <v>10.09</v>
      </c>
      <c r="J279" s="42" t="str">
        <f t="shared" si="27"/>
        <v/>
      </c>
      <c r="K279" s="42" t="str">
        <f t="shared" si="28"/>
        <v/>
      </c>
      <c r="L279" s="42">
        <f t="shared" si="29"/>
        <v>5.0000000000000711E-2</v>
      </c>
      <c r="M279" s="17" t="str">
        <f t="shared" si="30"/>
        <v/>
      </c>
      <c r="O279" s="17" t="str">
        <f t="shared" si="31"/>
        <v>Within Tolerance</v>
      </c>
    </row>
    <row r="280" spans="1:15" x14ac:dyDescent="0.3">
      <c r="A280" s="168">
        <v>46154</v>
      </c>
      <c r="B280" s="64">
        <v>46154.645833333299</v>
      </c>
      <c r="C280" s="142">
        <f t="shared" si="26"/>
        <v>46154.645833333299</v>
      </c>
      <c r="D280" s="19" t="s">
        <v>56</v>
      </c>
      <c r="E280" s="13" t="s">
        <v>14</v>
      </c>
      <c r="F280" s="7" t="s">
        <v>19</v>
      </c>
      <c r="G280" s="25" t="s">
        <v>93</v>
      </c>
      <c r="H280" s="26">
        <v>16.72</v>
      </c>
      <c r="I280" s="16">
        <v>17.89</v>
      </c>
      <c r="J280" s="42" t="str">
        <f t="shared" si="27"/>
        <v/>
      </c>
      <c r="K280" s="42" t="str">
        <f t="shared" si="28"/>
        <v/>
      </c>
      <c r="L280" s="42">
        <f t="shared" si="29"/>
        <v>1.1700000000000017</v>
      </c>
      <c r="M280" s="17" t="str">
        <f t="shared" si="30"/>
        <v/>
      </c>
      <c r="O280" s="17" t="str">
        <f t="shared" si="31"/>
        <v>Out of Tolerance</v>
      </c>
    </row>
    <row r="281" spans="1:15" x14ac:dyDescent="0.3">
      <c r="A281" s="169">
        <v>46154</v>
      </c>
      <c r="B281" s="64">
        <v>46154.4375</v>
      </c>
      <c r="C281" s="142">
        <f t="shared" si="26"/>
        <v>46154.4375</v>
      </c>
      <c r="D281" s="19" t="s">
        <v>51</v>
      </c>
      <c r="E281" s="8" t="s">
        <v>10</v>
      </c>
      <c r="F281" s="7" t="s">
        <v>24</v>
      </c>
      <c r="G281" s="25" t="s">
        <v>93</v>
      </c>
      <c r="H281" s="26">
        <v>10.01</v>
      </c>
      <c r="I281" s="16">
        <v>9.8000000000000007</v>
      </c>
      <c r="J281" s="42" t="str">
        <f t="shared" si="27"/>
        <v/>
      </c>
      <c r="K281" s="42" t="str">
        <f t="shared" si="28"/>
        <v/>
      </c>
      <c r="L281" s="42">
        <f t="shared" si="29"/>
        <v>-0.20999999999999908</v>
      </c>
      <c r="M281" s="17" t="str">
        <f t="shared" si="30"/>
        <v/>
      </c>
      <c r="O281" s="17" t="str">
        <f t="shared" si="31"/>
        <v>Out of Tolerance</v>
      </c>
    </row>
    <row r="282" spans="1:15" x14ac:dyDescent="0.3">
      <c r="A282" s="168">
        <v>46154</v>
      </c>
      <c r="B282" s="64">
        <v>46154.694444444402</v>
      </c>
      <c r="C282" s="142">
        <f t="shared" si="26"/>
        <v>46154.694444444402</v>
      </c>
      <c r="D282" s="19" t="s">
        <v>50</v>
      </c>
      <c r="E282" s="8" t="s">
        <v>10</v>
      </c>
      <c r="F282" s="7" t="s">
        <v>24</v>
      </c>
      <c r="G282" s="25" t="s">
        <v>93</v>
      </c>
      <c r="H282" s="26">
        <v>9.7100000000000009</v>
      </c>
      <c r="I282" s="16">
        <v>9.83</v>
      </c>
      <c r="J282" s="42" t="str">
        <f t="shared" si="27"/>
        <v/>
      </c>
      <c r="K282" s="42" t="str">
        <f t="shared" si="28"/>
        <v/>
      </c>
      <c r="L282" s="42">
        <f t="shared" si="29"/>
        <v>0.11999999999999922</v>
      </c>
      <c r="M282" s="17" t="str">
        <f t="shared" si="30"/>
        <v/>
      </c>
      <c r="O282" s="17" t="str">
        <f t="shared" si="31"/>
        <v>Within Tolerance</v>
      </c>
    </row>
    <row r="283" spans="1:15" x14ac:dyDescent="0.3">
      <c r="A283" s="169">
        <v>46155</v>
      </c>
      <c r="B283" s="64">
        <v>46155.333333333299</v>
      </c>
      <c r="C283" s="142">
        <f t="shared" si="26"/>
        <v>46155.333333333299</v>
      </c>
      <c r="D283" s="19" t="s">
        <v>41</v>
      </c>
      <c r="E283" s="8" t="s">
        <v>10</v>
      </c>
      <c r="F283" s="7" t="s">
        <v>11</v>
      </c>
      <c r="G283" s="25">
        <v>9.3699999999999992</v>
      </c>
      <c r="H283" s="26">
        <v>9.4</v>
      </c>
      <c r="I283" s="16">
        <v>9.36</v>
      </c>
      <c r="J283" s="42">
        <f t="shared" si="27"/>
        <v>3.0000000000001137E-2</v>
      </c>
      <c r="K283" s="42">
        <f t="shared" si="28"/>
        <v>-9.9999999999997868E-3</v>
      </c>
      <c r="L283" s="42">
        <f t="shared" si="29"/>
        <v>-4.0000000000000924E-2</v>
      </c>
      <c r="M283" s="17" t="str">
        <f t="shared" si="30"/>
        <v>Within Tolerance</v>
      </c>
      <c r="O283" s="17" t="str">
        <f t="shared" si="31"/>
        <v>Within Tolerance</v>
      </c>
    </row>
    <row r="284" spans="1:15" x14ac:dyDescent="0.3">
      <c r="A284" s="168">
        <v>46155</v>
      </c>
      <c r="B284" s="64">
        <v>46155.46875</v>
      </c>
      <c r="C284" s="142">
        <f t="shared" si="26"/>
        <v>46155.46875</v>
      </c>
      <c r="D284" s="19" t="s">
        <v>41</v>
      </c>
      <c r="E284" s="8" t="s">
        <v>10</v>
      </c>
      <c r="F284" s="7" t="s">
        <v>11</v>
      </c>
      <c r="G284" s="25" t="s">
        <v>93</v>
      </c>
      <c r="H284" s="26">
        <v>9.57</v>
      </c>
      <c r="I284" s="16"/>
      <c r="J284" s="42" t="str">
        <f t="shared" si="27"/>
        <v/>
      </c>
      <c r="K284" s="42" t="str">
        <f t="shared" si="28"/>
        <v/>
      </c>
      <c r="L284" s="42" t="str">
        <f t="shared" si="29"/>
        <v/>
      </c>
      <c r="M284" s="17" t="str">
        <f t="shared" si="30"/>
        <v/>
      </c>
      <c r="O284" s="17" t="str">
        <f t="shared" si="31"/>
        <v/>
      </c>
    </row>
    <row r="285" spans="1:15" x14ac:dyDescent="0.3">
      <c r="A285" s="169">
        <v>46155</v>
      </c>
      <c r="B285" s="64">
        <v>46155.5</v>
      </c>
      <c r="C285" s="142">
        <f t="shared" si="26"/>
        <v>46155.5</v>
      </c>
      <c r="D285" s="19" t="s">
        <v>41</v>
      </c>
      <c r="E285" s="8" t="s">
        <v>10</v>
      </c>
      <c r="F285" s="7" t="s">
        <v>11</v>
      </c>
      <c r="G285" s="25" t="s">
        <v>93</v>
      </c>
      <c r="H285" s="26">
        <v>9.5</v>
      </c>
      <c r="I285" s="16">
        <v>9.31</v>
      </c>
      <c r="J285" s="42" t="str">
        <f t="shared" si="27"/>
        <v/>
      </c>
      <c r="K285" s="42" t="str">
        <f t="shared" si="28"/>
        <v/>
      </c>
      <c r="L285" s="42">
        <f t="shared" si="29"/>
        <v>-0.1899999999999995</v>
      </c>
      <c r="M285" s="17" t="str">
        <f t="shared" si="30"/>
        <v/>
      </c>
      <c r="O285" s="17" t="str">
        <f t="shared" si="31"/>
        <v>Within Tolerance</v>
      </c>
    </row>
    <row r="286" spans="1:15" x14ac:dyDescent="0.3">
      <c r="A286" s="168">
        <v>46155</v>
      </c>
      <c r="B286" s="64">
        <v>46155.583333333299</v>
      </c>
      <c r="C286" s="142">
        <f t="shared" si="26"/>
        <v>46155.583333333299</v>
      </c>
      <c r="D286" s="19" t="s">
        <v>41</v>
      </c>
      <c r="E286" s="8" t="s">
        <v>10</v>
      </c>
      <c r="F286" s="7" t="s">
        <v>11</v>
      </c>
      <c r="G286" s="25" t="s">
        <v>93</v>
      </c>
      <c r="H286" s="26">
        <v>9.61</v>
      </c>
      <c r="I286" s="16">
        <v>9.59</v>
      </c>
      <c r="J286" s="42" t="str">
        <f t="shared" si="27"/>
        <v/>
      </c>
      <c r="K286" s="42" t="str">
        <f t="shared" si="28"/>
        <v/>
      </c>
      <c r="L286" s="42">
        <f t="shared" si="29"/>
        <v>-1.9999999999999574E-2</v>
      </c>
      <c r="M286" s="17" t="str">
        <f t="shared" si="30"/>
        <v/>
      </c>
      <c r="O286" s="17" t="str">
        <f t="shared" si="31"/>
        <v>Within Tolerance</v>
      </c>
    </row>
    <row r="287" spans="1:15" x14ac:dyDescent="0.3">
      <c r="A287" s="169">
        <v>46155</v>
      </c>
      <c r="B287" s="64">
        <v>46155.666666666701</v>
      </c>
      <c r="C287" s="142">
        <f t="shared" si="26"/>
        <v>46155.666666666701</v>
      </c>
      <c r="D287" s="19" t="s">
        <v>41</v>
      </c>
      <c r="E287" s="8" t="s">
        <v>10</v>
      </c>
      <c r="F287" s="7" t="s">
        <v>11</v>
      </c>
      <c r="G287" s="25" t="s">
        <v>93</v>
      </c>
      <c r="H287" s="26">
        <v>9.49</v>
      </c>
      <c r="I287" s="16">
        <v>9.65</v>
      </c>
      <c r="J287" s="42" t="str">
        <f t="shared" si="27"/>
        <v/>
      </c>
      <c r="K287" s="42" t="str">
        <f t="shared" si="28"/>
        <v/>
      </c>
      <c r="L287" s="42">
        <f t="shared" si="29"/>
        <v>0.16000000000000014</v>
      </c>
      <c r="M287" s="17" t="str">
        <f t="shared" si="30"/>
        <v/>
      </c>
      <c r="O287" s="17" t="str">
        <f t="shared" si="31"/>
        <v>Within Tolerance</v>
      </c>
    </row>
    <row r="288" spans="1:15" x14ac:dyDescent="0.3">
      <c r="A288" s="168">
        <v>46155</v>
      </c>
      <c r="B288" s="64">
        <v>46155.75</v>
      </c>
      <c r="C288" s="142">
        <f t="shared" si="26"/>
        <v>46155.75</v>
      </c>
      <c r="D288" s="19" t="s">
        <v>41</v>
      </c>
      <c r="E288" s="8" t="s">
        <v>10</v>
      </c>
      <c r="F288" s="7" t="s">
        <v>11</v>
      </c>
      <c r="G288" s="25" t="s">
        <v>93</v>
      </c>
      <c r="H288" s="26">
        <v>9.52</v>
      </c>
      <c r="I288" s="16">
        <v>9.6300000000000008</v>
      </c>
      <c r="J288" s="42" t="str">
        <f t="shared" si="27"/>
        <v/>
      </c>
      <c r="K288" s="42" t="str">
        <f t="shared" si="28"/>
        <v/>
      </c>
      <c r="L288" s="42">
        <f t="shared" si="29"/>
        <v>0.11000000000000121</v>
      </c>
      <c r="M288" s="17" t="str">
        <f t="shared" si="30"/>
        <v/>
      </c>
      <c r="O288" s="17" t="str">
        <f t="shared" si="31"/>
        <v>Within Tolerance</v>
      </c>
    </row>
    <row r="289" spans="1:15" x14ac:dyDescent="0.3">
      <c r="A289" s="169">
        <v>46155</v>
      </c>
      <c r="B289" s="64">
        <v>46155.833333333299</v>
      </c>
      <c r="C289" s="142">
        <f t="shared" si="26"/>
        <v>46155.833333333299</v>
      </c>
      <c r="D289" s="19" t="s">
        <v>41</v>
      </c>
      <c r="E289" s="8" t="s">
        <v>10</v>
      </c>
      <c r="F289" s="7" t="s">
        <v>11</v>
      </c>
      <c r="G289" s="25">
        <v>9.52</v>
      </c>
      <c r="H289" s="26">
        <v>9.59</v>
      </c>
      <c r="I289" s="16">
        <v>9.66</v>
      </c>
      <c r="J289" s="42">
        <f t="shared" si="27"/>
        <v>7.0000000000000284E-2</v>
      </c>
      <c r="K289" s="42">
        <f t="shared" si="28"/>
        <v>0.14000000000000057</v>
      </c>
      <c r="L289" s="42">
        <f t="shared" si="29"/>
        <v>7.0000000000000284E-2</v>
      </c>
      <c r="M289" s="17" t="str">
        <f t="shared" si="30"/>
        <v>Within Tolerance</v>
      </c>
      <c r="O289" s="17" t="str">
        <f t="shared" si="31"/>
        <v>Within Tolerance</v>
      </c>
    </row>
    <row r="290" spans="1:15" x14ac:dyDescent="0.3">
      <c r="A290" s="168">
        <v>46155</v>
      </c>
      <c r="B290" s="64">
        <v>46155.916666666701</v>
      </c>
      <c r="C290" s="142">
        <f t="shared" si="26"/>
        <v>46155.916666666701</v>
      </c>
      <c r="D290" s="19" t="s">
        <v>41</v>
      </c>
      <c r="E290" s="8" t="s">
        <v>10</v>
      </c>
      <c r="F290" s="7" t="s">
        <v>11</v>
      </c>
      <c r="G290" s="25" t="s">
        <v>93</v>
      </c>
      <c r="H290" s="26">
        <v>9.52</v>
      </c>
      <c r="I290" s="16">
        <v>9.57</v>
      </c>
      <c r="J290" s="42" t="str">
        <f t="shared" si="27"/>
        <v/>
      </c>
      <c r="K290" s="42" t="str">
        <f t="shared" si="28"/>
        <v/>
      </c>
      <c r="L290" s="42">
        <f t="shared" si="29"/>
        <v>5.0000000000000711E-2</v>
      </c>
      <c r="M290" s="17" t="str">
        <f t="shared" si="30"/>
        <v/>
      </c>
      <c r="O290" s="17" t="str">
        <f t="shared" si="31"/>
        <v>Within Tolerance</v>
      </c>
    </row>
    <row r="291" spans="1:15" x14ac:dyDescent="0.3">
      <c r="A291" s="169">
        <v>46156</v>
      </c>
      <c r="B291" s="64">
        <v>46156</v>
      </c>
      <c r="C291" s="142">
        <f t="shared" si="26"/>
        <v>46156</v>
      </c>
      <c r="D291" s="19" t="s">
        <v>41</v>
      </c>
      <c r="E291" s="8" t="s">
        <v>10</v>
      </c>
      <c r="F291" s="7" t="s">
        <v>11</v>
      </c>
      <c r="G291" s="25" t="s">
        <v>93</v>
      </c>
      <c r="H291" s="26">
        <v>9.52</v>
      </c>
      <c r="I291" s="16">
        <v>9.44</v>
      </c>
      <c r="J291" s="42" t="str">
        <f t="shared" si="27"/>
        <v/>
      </c>
      <c r="K291" s="42" t="str">
        <f t="shared" si="28"/>
        <v/>
      </c>
      <c r="L291" s="42">
        <f t="shared" si="29"/>
        <v>-8.0000000000000071E-2</v>
      </c>
      <c r="M291" s="17" t="str">
        <f t="shared" si="30"/>
        <v/>
      </c>
      <c r="O291" s="17" t="str">
        <f t="shared" si="31"/>
        <v>Within Tolerance</v>
      </c>
    </row>
    <row r="292" spans="1:15" x14ac:dyDescent="0.3">
      <c r="A292" s="168">
        <v>46156</v>
      </c>
      <c r="B292" s="64">
        <v>46156.083333333299</v>
      </c>
      <c r="C292" s="142">
        <f t="shared" si="26"/>
        <v>46156.083333333299</v>
      </c>
      <c r="D292" s="19" t="s">
        <v>41</v>
      </c>
      <c r="E292" s="8" t="s">
        <v>10</v>
      </c>
      <c r="F292" s="7" t="s">
        <v>11</v>
      </c>
      <c r="G292" s="25">
        <v>9.4700000000000006</v>
      </c>
      <c r="H292" s="26">
        <v>9.5399999999999991</v>
      </c>
      <c r="I292" s="16">
        <v>9.6199999999999992</v>
      </c>
      <c r="J292" s="42">
        <f t="shared" si="27"/>
        <v>6.9999999999998508E-2</v>
      </c>
      <c r="K292" s="42">
        <f t="shared" si="28"/>
        <v>0.14999999999999858</v>
      </c>
      <c r="L292" s="42">
        <f t="shared" si="29"/>
        <v>8.0000000000000071E-2</v>
      </c>
      <c r="M292" s="17" t="str">
        <f t="shared" si="30"/>
        <v>Within Tolerance</v>
      </c>
      <c r="O292" s="17" t="str">
        <f t="shared" si="31"/>
        <v>Within Tolerance</v>
      </c>
    </row>
    <row r="293" spans="1:15" x14ac:dyDescent="0.3">
      <c r="A293" s="169">
        <v>46156</v>
      </c>
      <c r="B293" s="64">
        <v>46156.166666666701</v>
      </c>
      <c r="C293" s="142">
        <f t="shared" si="26"/>
        <v>46156.166666666701</v>
      </c>
      <c r="D293" s="19" t="s">
        <v>41</v>
      </c>
      <c r="E293" s="8" t="s">
        <v>10</v>
      </c>
      <c r="F293" s="7" t="s">
        <v>11</v>
      </c>
      <c r="G293" s="25" t="s">
        <v>93</v>
      </c>
      <c r="H293" s="26">
        <v>9.51</v>
      </c>
      <c r="I293" s="16">
        <v>9.6</v>
      </c>
      <c r="J293" s="42" t="str">
        <f t="shared" si="27"/>
        <v/>
      </c>
      <c r="K293" s="42" t="str">
        <f t="shared" si="28"/>
        <v/>
      </c>
      <c r="L293" s="42">
        <f t="shared" si="29"/>
        <v>8.9999999999999858E-2</v>
      </c>
      <c r="M293" s="17" t="str">
        <f t="shared" si="30"/>
        <v/>
      </c>
      <c r="O293" s="17" t="str">
        <f t="shared" si="31"/>
        <v>Within Tolerance</v>
      </c>
    </row>
    <row r="294" spans="1:15" x14ac:dyDescent="0.3">
      <c r="A294" s="168">
        <v>46156</v>
      </c>
      <c r="B294" s="64">
        <v>46156.28125</v>
      </c>
      <c r="C294" s="142">
        <f t="shared" si="26"/>
        <v>46156.28125</v>
      </c>
      <c r="D294" s="19" t="s">
        <v>41</v>
      </c>
      <c r="E294" s="8" t="s">
        <v>10</v>
      </c>
      <c r="F294" s="7" t="s">
        <v>11</v>
      </c>
      <c r="G294" s="25" t="s">
        <v>93</v>
      </c>
      <c r="H294" s="26">
        <v>9.69</v>
      </c>
      <c r="I294" s="16">
        <v>9.7100000000000009</v>
      </c>
      <c r="J294" s="42" t="str">
        <f t="shared" si="27"/>
        <v/>
      </c>
      <c r="K294" s="42" t="str">
        <f t="shared" si="28"/>
        <v/>
      </c>
      <c r="L294" s="42">
        <f t="shared" si="29"/>
        <v>2.000000000000135E-2</v>
      </c>
      <c r="M294" s="17" t="str">
        <f t="shared" si="30"/>
        <v/>
      </c>
      <c r="O294" s="17" t="str">
        <f t="shared" si="31"/>
        <v>Within Tolerance</v>
      </c>
    </row>
    <row r="295" spans="1:15" x14ac:dyDescent="0.3">
      <c r="A295" s="169">
        <v>46155</v>
      </c>
      <c r="B295" s="64">
        <v>46155.333333333299</v>
      </c>
      <c r="C295" s="142">
        <f t="shared" si="26"/>
        <v>46155.333333333299</v>
      </c>
      <c r="D295" s="19" t="s">
        <v>41</v>
      </c>
      <c r="E295" s="8" t="s">
        <v>10</v>
      </c>
      <c r="F295" s="7" t="s">
        <v>15</v>
      </c>
      <c r="G295" s="25" t="s">
        <v>93</v>
      </c>
      <c r="H295" s="26">
        <v>9.5</v>
      </c>
      <c r="I295" s="16"/>
      <c r="J295" s="42" t="str">
        <f t="shared" si="27"/>
        <v/>
      </c>
      <c r="K295" s="42" t="str">
        <f t="shared" si="28"/>
        <v/>
      </c>
      <c r="L295" s="42" t="str">
        <f t="shared" si="29"/>
        <v/>
      </c>
      <c r="M295" s="17" t="str">
        <f t="shared" si="30"/>
        <v/>
      </c>
      <c r="O295" s="17" t="str">
        <f t="shared" si="31"/>
        <v/>
      </c>
    </row>
    <row r="296" spans="1:15" x14ac:dyDescent="0.3">
      <c r="A296" s="168">
        <v>46155</v>
      </c>
      <c r="B296" s="64">
        <v>46155.385416666701</v>
      </c>
      <c r="C296" s="142">
        <f t="shared" si="26"/>
        <v>46155.385416666701</v>
      </c>
      <c r="D296" s="19" t="s">
        <v>29</v>
      </c>
      <c r="E296" s="8" t="s">
        <v>10</v>
      </c>
      <c r="F296" s="7" t="s">
        <v>15</v>
      </c>
      <c r="G296" s="25" t="s">
        <v>93</v>
      </c>
      <c r="H296" s="26">
        <v>10.53</v>
      </c>
      <c r="I296" s="16"/>
      <c r="J296" s="42" t="str">
        <f t="shared" si="27"/>
        <v/>
      </c>
      <c r="K296" s="42" t="str">
        <f t="shared" si="28"/>
        <v/>
      </c>
      <c r="L296" s="42" t="str">
        <f t="shared" si="29"/>
        <v/>
      </c>
      <c r="M296" s="17" t="str">
        <f t="shared" si="30"/>
        <v/>
      </c>
      <c r="O296" s="17" t="str">
        <f t="shared" si="31"/>
        <v/>
      </c>
    </row>
    <row r="297" spans="1:15" x14ac:dyDescent="0.3">
      <c r="A297" s="169">
        <v>46155</v>
      </c>
      <c r="B297" s="64">
        <v>46155.416666666701</v>
      </c>
      <c r="C297" s="142">
        <f t="shared" si="26"/>
        <v>46155.416666666701</v>
      </c>
      <c r="D297" s="19" t="s">
        <v>29</v>
      </c>
      <c r="E297" s="8" t="s">
        <v>10</v>
      </c>
      <c r="F297" s="7" t="s">
        <v>15</v>
      </c>
      <c r="G297" s="25">
        <v>10.47</v>
      </c>
      <c r="H297" s="26">
        <v>10.55</v>
      </c>
      <c r="I297" s="16">
        <v>10.37</v>
      </c>
      <c r="J297" s="42">
        <f t="shared" si="27"/>
        <v>8.0000000000000071E-2</v>
      </c>
      <c r="K297" s="42">
        <f t="shared" si="28"/>
        <v>-0.10000000000000142</v>
      </c>
      <c r="L297" s="42">
        <f t="shared" si="29"/>
        <v>-0.18000000000000149</v>
      </c>
      <c r="M297" s="17" t="str">
        <f t="shared" si="30"/>
        <v>Within Tolerance</v>
      </c>
      <c r="O297" s="17" t="str">
        <f t="shared" si="31"/>
        <v>Within Tolerance</v>
      </c>
    </row>
    <row r="298" spans="1:15" x14ac:dyDescent="0.3">
      <c r="A298" s="168">
        <v>46155</v>
      </c>
      <c r="B298" s="64">
        <v>46155.5</v>
      </c>
      <c r="C298" s="142">
        <f t="shared" si="26"/>
        <v>46155.5</v>
      </c>
      <c r="D298" s="19" t="s">
        <v>29</v>
      </c>
      <c r="E298" s="8" t="s">
        <v>10</v>
      </c>
      <c r="F298" s="7" t="s">
        <v>15</v>
      </c>
      <c r="G298" s="25" t="s">
        <v>93</v>
      </c>
      <c r="H298" s="26">
        <v>10.4</v>
      </c>
      <c r="I298" s="16">
        <v>10.28</v>
      </c>
      <c r="J298" s="42" t="str">
        <f t="shared" si="27"/>
        <v/>
      </c>
      <c r="K298" s="42" t="str">
        <f t="shared" si="28"/>
        <v/>
      </c>
      <c r="L298" s="42">
        <f t="shared" si="29"/>
        <v>-0.12000000000000099</v>
      </c>
      <c r="M298" s="17" t="str">
        <f t="shared" si="30"/>
        <v/>
      </c>
      <c r="O298" s="17" t="str">
        <f t="shared" si="31"/>
        <v>Within Tolerance</v>
      </c>
    </row>
    <row r="299" spans="1:15" x14ac:dyDescent="0.3">
      <c r="A299" s="169">
        <v>46155</v>
      </c>
      <c r="B299" s="64">
        <v>46155.583333333299</v>
      </c>
      <c r="C299" s="142">
        <f t="shared" si="26"/>
        <v>46155.583333333299</v>
      </c>
      <c r="D299" s="19" t="s">
        <v>29</v>
      </c>
      <c r="E299" s="8" t="s">
        <v>10</v>
      </c>
      <c r="F299" s="7" t="s">
        <v>15</v>
      </c>
      <c r="G299" s="25" t="s">
        <v>93</v>
      </c>
      <c r="H299" s="26">
        <v>10.46</v>
      </c>
      <c r="I299" s="16">
        <v>10.41</v>
      </c>
      <c r="J299" s="42" t="str">
        <f t="shared" si="27"/>
        <v/>
      </c>
      <c r="K299" s="42" t="str">
        <f t="shared" si="28"/>
        <v/>
      </c>
      <c r="L299" s="42">
        <f t="shared" si="29"/>
        <v>-5.0000000000000711E-2</v>
      </c>
      <c r="M299" s="17" t="str">
        <f t="shared" si="30"/>
        <v/>
      </c>
      <c r="O299" s="17" t="str">
        <f t="shared" si="31"/>
        <v>Within Tolerance</v>
      </c>
    </row>
    <row r="300" spans="1:15" x14ac:dyDescent="0.3">
      <c r="A300" s="168">
        <v>46155</v>
      </c>
      <c r="B300" s="64">
        <v>46155.666666666701</v>
      </c>
      <c r="C300" s="142">
        <f t="shared" si="26"/>
        <v>46155.666666666701</v>
      </c>
      <c r="D300" s="19" t="s">
        <v>29</v>
      </c>
      <c r="E300" s="8" t="s">
        <v>10</v>
      </c>
      <c r="F300" s="7" t="s">
        <v>15</v>
      </c>
      <c r="G300" s="25" t="s">
        <v>93</v>
      </c>
      <c r="H300" s="26">
        <v>10.39</v>
      </c>
      <c r="I300" s="16">
        <v>10.3</v>
      </c>
      <c r="J300" s="42" t="str">
        <f t="shared" si="27"/>
        <v/>
      </c>
      <c r="K300" s="42" t="str">
        <f t="shared" si="28"/>
        <v/>
      </c>
      <c r="L300" s="42">
        <f t="shared" si="29"/>
        <v>-8.9999999999999858E-2</v>
      </c>
      <c r="M300" s="17" t="str">
        <f t="shared" si="30"/>
        <v/>
      </c>
      <c r="O300" s="17" t="str">
        <f t="shared" si="31"/>
        <v>Within Tolerance</v>
      </c>
    </row>
    <row r="301" spans="1:15" x14ac:dyDescent="0.3">
      <c r="A301" s="169">
        <v>46155</v>
      </c>
      <c r="B301" s="64">
        <v>46155.75</v>
      </c>
      <c r="C301" s="142">
        <f t="shared" si="26"/>
        <v>46155.75</v>
      </c>
      <c r="D301" s="19" t="s">
        <v>29</v>
      </c>
      <c r="E301" s="8" t="s">
        <v>10</v>
      </c>
      <c r="F301" s="7" t="s">
        <v>15</v>
      </c>
      <c r="G301" s="25" t="s">
        <v>93</v>
      </c>
      <c r="H301" s="26">
        <v>10.44</v>
      </c>
      <c r="I301" s="16">
        <v>10.49</v>
      </c>
      <c r="J301" s="42" t="str">
        <f t="shared" si="27"/>
        <v/>
      </c>
      <c r="K301" s="42" t="str">
        <f t="shared" si="28"/>
        <v/>
      </c>
      <c r="L301" s="42">
        <f t="shared" si="29"/>
        <v>5.0000000000000711E-2</v>
      </c>
      <c r="M301" s="17" t="str">
        <f t="shared" si="30"/>
        <v/>
      </c>
      <c r="O301" s="17" t="str">
        <f t="shared" si="31"/>
        <v>Within Tolerance</v>
      </c>
    </row>
    <row r="302" spans="1:15" x14ac:dyDescent="0.3">
      <c r="A302" s="168">
        <v>46155</v>
      </c>
      <c r="B302" s="64">
        <v>46155.850694444402</v>
      </c>
      <c r="C302" s="142">
        <f t="shared" si="26"/>
        <v>46155.850694444402</v>
      </c>
      <c r="D302" s="19" t="s">
        <v>41</v>
      </c>
      <c r="E302" s="8" t="s">
        <v>10</v>
      </c>
      <c r="F302" s="7" t="s">
        <v>15</v>
      </c>
      <c r="G302" s="25" t="s">
        <v>93</v>
      </c>
      <c r="H302" s="26">
        <v>9.5399999999999991</v>
      </c>
      <c r="I302" s="16">
        <v>9.51</v>
      </c>
      <c r="J302" s="42" t="str">
        <f t="shared" si="27"/>
        <v/>
      </c>
      <c r="K302" s="42" t="str">
        <f t="shared" si="28"/>
        <v/>
      </c>
      <c r="L302" s="42">
        <f t="shared" si="29"/>
        <v>-2.9999999999999361E-2</v>
      </c>
      <c r="M302" s="17" t="str">
        <f t="shared" si="30"/>
        <v/>
      </c>
      <c r="O302" s="17" t="str">
        <f t="shared" si="31"/>
        <v>Within Tolerance</v>
      </c>
    </row>
    <row r="303" spans="1:15" x14ac:dyDescent="0.3">
      <c r="A303" s="169">
        <v>46155</v>
      </c>
      <c r="B303" s="64">
        <v>46155.916666666701</v>
      </c>
      <c r="C303" s="142">
        <f t="shared" si="26"/>
        <v>46155.916666666701</v>
      </c>
      <c r="D303" s="19" t="s">
        <v>41</v>
      </c>
      <c r="E303" s="8" t="s">
        <v>10</v>
      </c>
      <c r="F303" s="7" t="s">
        <v>15</v>
      </c>
      <c r="G303" s="25" t="s">
        <v>93</v>
      </c>
      <c r="H303" s="26">
        <v>9.5399999999999991</v>
      </c>
      <c r="I303" s="16">
        <v>9.52</v>
      </c>
      <c r="J303" s="42" t="str">
        <f t="shared" si="27"/>
        <v/>
      </c>
      <c r="K303" s="42" t="str">
        <f t="shared" si="28"/>
        <v/>
      </c>
      <c r="L303" s="42">
        <f t="shared" si="29"/>
        <v>-1.9999999999999574E-2</v>
      </c>
      <c r="M303" s="17" t="str">
        <f t="shared" si="30"/>
        <v/>
      </c>
      <c r="O303" s="17" t="str">
        <f t="shared" si="31"/>
        <v>Within Tolerance</v>
      </c>
    </row>
    <row r="304" spans="1:15" x14ac:dyDescent="0.3">
      <c r="A304" s="168">
        <v>46156</v>
      </c>
      <c r="B304" s="64">
        <v>46156</v>
      </c>
      <c r="C304" s="142">
        <f t="shared" si="26"/>
        <v>46156</v>
      </c>
      <c r="D304" s="19" t="s">
        <v>41</v>
      </c>
      <c r="E304" s="8" t="s">
        <v>10</v>
      </c>
      <c r="F304" s="7" t="s">
        <v>15</v>
      </c>
      <c r="G304" s="25" t="s">
        <v>93</v>
      </c>
      <c r="H304" s="26">
        <v>9.56</v>
      </c>
      <c r="I304" s="16">
        <v>9.6999999999999993</v>
      </c>
      <c r="J304" s="42" t="str">
        <f t="shared" si="27"/>
        <v/>
      </c>
      <c r="K304" s="42" t="str">
        <f t="shared" si="28"/>
        <v/>
      </c>
      <c r="L304" s="42">
        <f t="shared" si="29"/>
        <v>0.13999999999999879</v>
      </c>
      <c r="M304" s="17" t="str">
        <f t="shared" si="30"/>
        <v/>
      </c>
      <c r="O304" s="17" t="str">
        <f t="shared" si="31"/>
        <v>Within Tolerance</v>
      </c>
    </row>
    <row r="305" spans="1:15" x14ac:dyDescent="0.3">
      <c r="A305" s="169">
        <v>46156</v>
      </c>
      <c r="B305" s="64">
        <v>46156.083333333299</v>
      </c>
      <c r="C305" s="142">
        <f t="shared" si="26"/>
        <v>46156.083333333299</v>
      </c>
      <c r="D305" s="19" t="s">
        <v>41</v>
      </c>
      <c r="E305" s="8" t="s">
        <v>10</v>
      </c>
      <c r="F305" s="7" t="s">
        <v>15</v>
      </c>
      <c r="G305" s="25" t="s">
        <v>93</v>
      </c>
      <c r="H305" s="26">
        <v>9.64</v>
      </c>
      <c r="I305" s="16">
        <v>9.5500000000000007</v>
      </c>
      <c r="J305" s="42" t="str">
        <f t="shared" si="27"/>
        <v/>
      </c>
      <c r="K305" s="42" t="str">
        <f t="shared" si="28"/>
        <v/>
      </c>
      <c r="L305" s="42">
        <f t="shared" si="29"/>
        <v>-8.9999999999999858E-2</v>
      </c>
      <c r="M305" s="17" t="str">
        <f t="shared" si="30"/>
        <v/>
      </c>
      <c r="O305" s="17" t="str">
        <f t="shared" si="31"/>
        <v>Within Tolerance</v>
      </c>
    </row>
    <row r="306" spans="1:15" x14ac:dyDescent="0.3">
      <c r="A306" s="168">
        <v>46156</v>
      </c>
      <c r="B306" s="64">
        <v>46156.166666666701</v>
      </c>
      <c r="C306" s="142">
        <f t="shared" si="26"/>
        <v>46156.166666666701</v>
      </c>
      <c r="D306" s="19" t="s">
        <v>41</v>
      </c>
      <c r="E306" s="8" t="s">
        <v>10</v>
      </c>
      <c r="F306" s="7" t="s">
        <v>15</v>
      </c>
      <c r="G306" s="25" t="s">
        <v>93</v>
      </c>
      <c r="H306" s="26">
        <v>9.6300000000000008</v>
      </c>
      <c r="I306" s="16">
        <v>9.64</v>
      </c>
      <c r="J306" s="42" t="str">
        <f t="shared" si="27"/>
        <v/>
      </c>
      <c r="K306" s="42" t="str">
        <f t="shared" si="28"/>
        <v/>
      </c>
      <c r="L306" s="42">
        <f t="shared" si="29"/>
        <v>9.9999999999997868E-3</v>
      </c>
      <c r="M306" s="17" t="str">
        <f t="shared" si="30"/>
        <v/>
      </c>
      <c r="O306" s="17" t="str">
        <f t="shared" si="31"/>
        <v>Within Tolerance</v>
      </c>
    </row>
    <row r="307" spans="1:15" x14ac:dyDescent="0.3">
      <c r="A307" s="169">
        <v>46156</v>
      </c>
      <c r="B307" s="64">
        <v>46156.25</v>
      </c>
      <c r="C307" s="142">
        <f t="shared" si="26"/>
        <v>46156.25</v>
      </c>
      <c r="D307" s="19" t="s">
        <v>41</v>
      </c>
      <c r="E307" s="8" t="s">
        <v>10</v>
      </c>
      <c r="F307" s="7" t="s">
        <v>15</v>
      </c>
      <c r="G307" s="25" t="s">
        <v>93</v>
      </c>
      <c r="H307" s="26">
        <v>9.5500000000000007</v>
      </c>
      <c r="I307" s="16">
        <v>9.7100000000000009</v>
      </c>
      <c r="J307" s="42" t="str">
        <f t="shared" si="27"/>
        <v/>
      </c>
      <c r="K307" s="42" t="str">
        <f t="shared" si="28"/>
        <v/>
      </c>
      <c r="L307" s="42">
        <f t="shared" si="29"/>
        <v>0.16000000000000014</v>
      </c>
      <c r="M307" s="17" t="str">
        <f t="shared" si="30"/>
        <v/>
      </c>
      <c r="O307" s="17" t="str">
        <f t="shared" si="31"/>
        <v>Within Tolerance</v>
      </c>
    </row>
    <row r="308" spans="1:15" x14ac:dyDescent="0.3">
      <c r="A308" s="168">
        <v>46155</v>
      </c>
      <c r="B308" s="64">
        <v>46155.423611111102</v>
      </c>
      <c r="C308" s="142">
        <f t="shared" si="26"/>
        <v>46155.423611111102</v>
      </c>
      <c r="D308" s="19" t="s">
        <v>55</v>
      </c>
      <c r="E308" s="13" t="s">
        <v>14</v>
      </c>
      <c r="F308" s="7" t="s">
        <v>19</v>
      </c>
      <c r="G308" s="25" t="s">
        <v>93</v>
      </c>
      <c r="H308" s="26">
        <v>13.06</v>
      </c>
      <c r="I308" s="16">
        <v>13.1</v>
      </c>
      <c r="J308" s="42" t="str">
        <f t="shared" si="27"/>
        <v/>
      </c>
      <c r="K308" s="42" t="str">
        <f t="shared" si="28"/>
        <v/>
      </c>
      <c r="L308" s="42">
        <f t="shared" si="29"/>
        <v>3.9999999999999147E-2</v>
      </c>
      <c r="M308" s="17" t="str">
        <f t="shared" si="30"/>
        <v/>
      </c>
      <c r="O308" s="17" t="str">
        <f t="shared" si="31"/>
        <v>Within Tolerance</v>
      </c>
    </row>
    <row r="309" spans="1:15" x14ac:dyDescent="0.3">
      <c r="A309" s="169">
        <v>46155</v>
      </c>
      <c r="B309" s="64">
        <v>46155.461805555598</v>
      </c>
      <c r="C309" s="142">
        <f t="shared" si="26"/>
        <v>46155.461805555598</v>
      </c>
      <c r="D309" s="19" t="s">
        <v>18</v>
      </c>
      <c r="E309" s="13" t="s">
        <v>14</v>
      </c>
      <c r="F309" s="7" t="s">
        <v>19</v>
      </c>
      <c r="G309" s="25" t="s">
        <v>93</v>
      </c>
      <c r="H309" s="26">
        <v>13.34</v>
      </c>
      <c r="I309" s="16">
        <v>13.42</v>
      </c>
      <c r="J309" s="42" t="str">
        <f t="shared" si="27"/>
        <v/>
      </c>
      <c r="K309" s="42" t="str">
        <f t="shared" si="28"/>
        <v/>
      </c>
      <c r="L309" s="42">
        <f t="shared" si="29"/>
        <v>8.0000000000000071E-2</v>
      </c>
      <c r="M309" s="17" t="str">
        <f t="shared" si="30"/>
        <v/>
      </c>
      <c r="O309" s="17" t="str">
        <f t="shared" si="31"/>
        <v>Within Tolerance</v>
      </c>
    </row>
    <row r="310" spans="1:15" x14ac:dyDescent="0.3">
      <c r="A310" s="168">
        <v>46155</v>
      </c>
      <c r="B310" s="64">
        <v>46155.604166666701</v>
      </c>
      <c r="C310" s="142">
        <f t="shared" si="26"/>
        <v>46155.604166666701</v>
      </c>
      <c r="D310" s="19" t="s">
        <v>20</v>
      </c>
      <c r="E310" s="13" t="s">
        <v>14</v>
      </c>
      <c r="F310" s="7" t="s">
        <v>19</v>
      </c>
      <c r="G310" s="25" t="s">
        <v>93</v>
      </c>
      <c r="H310" s="26">
        <v>12.56</v>
      </c>
      <c r="I310" s="16">
        <v>12.45</v>
      </c>
      <c r="J310" s="42" t="str">
        <f t="shared" si="27"/>
        <v/>
      </c>
      <c r="K310" s="42" t="str">
        <f t="shared" si="28"/>
        <v/>
      </c>
      <c r="L310" s="42">
        <f t="shared" si="29"/>
        <v>-0.11000000000000121</v>
      </c>
      <c r="M310" s="17" t="str">
        <f t="shared" si="30"/>
        <v/>
      </c>
      <c r="O310" s="17" t="str">
        <f t="shared" si="31"/>
        <v>Within Tolerance</v>
      </c>
    </row>
    <row r="311" spans="1:15" x14ac:dyDescent="0.3">
      <c r="A311" s="169">
        <v>46155</v>
      </c>
      <c r="B311" s="64">
        <v>46155.75</v>
      </c>
      <c r="C311" s="142">
        <f t="shared" si="26"/>
        <v>46155.75</v>
      </c>
      <c r="D311" s="19" t="s">
        <v>42</v>
      </c>
      <c r="E311" s="8" t="s">
        <v>10</v>
      </c>
      <c r="F311" s="7" t="s">
        <v>19</v>
      </c>
      <c r="G311" s="25" t="s">
        <v>93</v>
      </c>
      <c r="H311" s="26">
        <v>9.92</v>
      </c>
      <c r="I311" s="16">
        <v>10.14</v>
      </c>
      <c r="J311" s="42" t="str">
        <f t="shared" si="27"/>
        <v/>
      </c>
      <c r="K311" s="42" t="str">
        <f t="shared" si="28"/>
        <v/>
      </c>
      <c r="L311" s="42">
        <f t="shared" si="29"/>
        <v>0.22000000000000064</v>
      </c>
      <c r="M311" s="17" t="str">
        <f t="shared" si="30"/>
        <v/>
      </c>
      <c r="O311" s="17" t="str">
        <f t="shared" si="31"/>
        <v>Out of Tolerance</v>
      </c>
    </row>
    <row r="312" spans="1:15" x14ac:dyDescent="0.3">
      <c r="A312" s="168">
        <v>46155</v>
      </c>
      <c r="B312" s="64">
        <v>46155.930555555598</v>
      </c>
      <c r="C312" s="142">
        <f t="shared" si="26"/>
        <v>46155.930555555598</v>
      </c>
      <c r="D312" s="7" t="s">
        <v>31</v>
      </c>
      <c r="E312" s="13" t="s">
        <v>14</v>
      </c>
      <c r="F312" s="7" t="s">
        <v>19</v>
      </c>
      <c r="G312" s="25" t="s">
        <v>93</v>
      </c>
      <c r="H312" s="26">
        <v>13.27</v>
      </c>
      <c r="I312" s="16">
        <v>13.33</v>
      </c>
      <c r="J312" s="42" t="str">
        <f t="shared" si="27"/>
        <v/>
      </c>
      <c r="K312" s="42" t="str">
        <f t="shared" si="28"/>
        <v/>
      </c>
      <c r="L312" s="42">
        <f t="shared" si="29"/>
        <v>6.0000000000000497E-2</v>
      </c>
      <c r="M312" s="17" t="str">
        <f t="shared" si="30"/>
        <v/>
      </c>
      <c r="O312" s="17" t="str">
        <f t="shared" si="31"/>
        <v>Within Tolerance</v>
      </c>
    </row>
    <row r="313" spans="1:15" x14ac:dyDescent="0.3">
      <c r="A313" s="169">
        <v>46155</v>
      </c>
      <c r="B313" s="64">
        <v>46155.472222222197</v>
      </c>
      <c r="C313" s="142">
        <f t="shared" si="26"/>
        <v>46155.472222222197</v>
      </c>
      <c r="D313" s="19" t="s">
        <v>51</v>
      </c>
      <c r="E313" s="8" t="s">
        <v>10</v>
      </c>
      <c r="F313" s="7" t="s">
        <v>24</v>
      </c>
      <c r="G313" s="25" t="s">
        <v>93</v>
      </c>
      <c r="H313" s="26">
        <v>10.1</v>
      </c>
      <c r="I313" s="16">
        <v>10.07</v>
      </c>
      <c r="J313" s="42" t="str">
        <f t="shared" si="27"/>
        <v/>
      </c>
      <c r="K313" s="42" t="str">
        <f t="shared" si="28"/>
        <v/>
      </c>
      <c r="L313" s="42">
        <f t="shared" si="29"/>
        <v>-2.9999999999999361E-2</v>
      </c>
      <c r="M313" s="17" t="str">
        <f t="shared" si="30"/>
        <v/>
      </c>
      <c r="O313" s="17" t="str">
        <f t="shared" si="31"/>
        <v>Within Tolerance</v>
      </c>
    </row>
    <row r="314" spans="1:15" x14ac:dyDescent="0.3">
      <c r="A314" s="168">
        <v>46155</v>
      </c>
      <c r="B314" s="64">
        <v>46155.586805555598</v>
      </c>
      <c r="C314" s="142">
        <f t="shared" si="26"/>
        <v>46155.586805555598</v>
      </c>
      <c r="D314" s="19" t="s">
        <v>50</v>
      </c>
      <c r="E314" s="8" t="s">
        <v>10</v>
      </c>
      <c r="F314" s="7" t="s">
        <v>24</v>
      </c>
      <c r="G314" s="25" t="s">
        <v>93</v>
      </c>
      <c r="H314" s="26">
        <v>9.89</v>
      </c>
      <c r="I314" s="16">
        <v>9.83</v>
      </c>
      <c r="J314" s="42" t="str">
        <f t="shared" si="27"/>
        <v/>
      </c>
      <c r="K314" s="42" t="str">
        <f t="shared" si="28"/>
        <v/>
      </c>
      <c r="L314" s="42">
        <f t="shared" si="29"/>
        <v>-6.0000000000000497E-2</v>
      </c>
      <c r="M314" s="17" t="str">
        <f t="shared" si="30"/>
        <v/>
      </c>
      <c r="O314" s="17" t="str">
        <f t="shared" si="31"/>
        <v>Within Tolerance</v>
      </c>
    </row>
    <row r="315" spans="1:15" x14ac:dyDescent="0.3">
      <c r="A315" s="169">
        <v>46156</v>
      </c>
      <c r="B315" s="64">
        <v>46156.333333333299</v>
      </c>
      <c r="C315" s="142">
        <f t="shared" si="26"/>
        <v>46156.333333333299</v>
      </c>
      <c r="D315" s="19" t="s">
        <v>41</v>
      </c>
      <c r="E315" s="8" t="s">
        <v>10</v>
      </c>
      <c r="F315" s="7" t="s">
        <v>11</v>
      </c>
      <c r="G315" s="25" t="s">
        <v>93</v>
      </c>
      <c r="H315" s="26">
        <v>9.61</v>
      </c>
      <c r="I315" s="16">
        <v>9.66</v>
      </c>
      <c r="J315" s="42" t="str">
        <f t="shared" si="27"/>
        <v/>
      </c>
      <c r="K315" s="42" t="str">
        <f t="shared" si="28"/>
        <v/>
      </c>
      <c r="L315" s="42">
        <f t="shared" si="29"/>
        <v>5.0000000000000711E-2</v>
      </c>
      <c r="M315" s="17" t="str">
        <f t="shared" si="30"/>
        <v/>
      </c>
      <c r="O315" s="17" t="str">
        <f t="shared" si="31"/>
        <v>Within Tolerance</v>
      </c>
    </row>
    <row r="316" spans="1:15" x14ac:dyDescent="0.3">
      <c r="A316" s="168">
        <v>46156</v>
      </c>
      <c r="B316" s="64">
        <v>46156.552083333299</v>
      </c>
      <c r="C316" s="142">
        <f t="shared" si="26"/>
        <v>46156.552083333299</v>
      </c>
      <c r="D316" s="19" t="s">
        <v>18</v>
      </c>
      <c r="E316" s="8" t="s">
        <v>14</v>
      </c>
      <c r="F316" s="7" t="s">
        <v>11</v>
      </c>
      <c r="G316" s="25" t="s">
        <v>93</v>
      </c>
      <c r="H316" s="26">
        <v>13.43</v>
      </c>
      <c r="I316" s="16"/>
      <c r="J316" s="42" t="str">
        <f t="shared" si="27"/>
        <v/>
      </c>
      <c r="K316" s="42" t="str">
        <f t="shared" si="28"/>
        <v/>
      </c>
      <c r="L316" s="42" t="str">
        <f t="shared" si="29"/>
        <v/>
      </c>
      <c r="M316" s="17" t="str">
        <f t="shared" si="30"/>
        <v/>
      </c>
      <c r="O316" s="17" t="str">
        <f t="shared" si="31"/>
        <v/>
      </c>
    </row>
    <row r="317" spans="1:15" x14ac:dyDescent="0.3">
      <c r="A317" s="169">
        <v>46156</v>
      </c>
      <c r="B317" s="64">
        <v>46156.576388888898</v>
      </c>
      <c r="C317" s="142">
        <f t="shared" si="26"/>
        <v>46156.576388888898</v>
      </c>
      <c r="D317" s="19" t="s">
        <v>18</v>
      </c>
      <c r="E317" s="8" t="s">
        <v>14</v>
      </c>
      <c r="F317" s="7" t="s">
        <v>11</v>
      </c>
      <c r="G317" s="25" t="s">
        <v>93</v>
      </c>
      <c r="H317" s="26">
        <v>13.44</v>
      </c>
      <c r="I317" s="16">
        <v>13.44</v>
      </c>
      <c r="J317" s="42" t="str">
        <f t="shared" si="27"/>
        <v/>
      </c>
      <c r="K317" s="42" t="str">
        <f t="shared" si="28"/>
        <v/>
      </c>
      <c r="L317" s="42">
        <f t="shared" si="29"/>
        <v>0</v>
      </c>
      <c r="M317" s="17" t="str">
        <f t="shared" si="30"/>
        <v/>
      </c>
      <c r="O317" s="17" t="str">
        <f t="shared" si="31"/>
        <v>Within Tolerance</v>
      </c>
    </row>
    <row r="318" spans="1:15" x14ac:dyDescent="0.3">
      <c r="A318" s="168">
        <v>46156</v>
      </c>
      <c r="B318" s="64">
        <v>46156.666666666701</v>
      </c>
      <c r="C318" s="142">
        <f t="shared" si="26"/>
        <v>46156.666666666701</v>
      </c>
      <c r="D318" s="19" t="s">
        <v>18</v>
      </c>
      <c r="E318" s="8" t="s">
        <v>14</v>
      </c>
      <c r="F318" s="7" t="s">
        <v>11</v>
      </c>
      <c r="G318" s="25">
        <v>13.26</v>
      </c>
      <c r="H318" s="26">
        <v>13.4</v>
      </c>
      <c r="I318" s="16">
        <v>13.39</v>
      </c>
      <c r="J318" s="42">
        <f t="shared" si="27"/>
        <v>0.14000000000000057</v>
      </c>
      <c r="K318" s="42">
        <f t="shared" si="28"/>
        <v>0.13000000000000078</v>
      </c>
      <c r="L318" s="42">
        <f t="shared" si="29"/>
        <v>-9.9999999999997868E-3</v>
      </c>
      <c r="M318" s="17" t="str">
        <f t="shared" si="30"/>
        <v>Within Tolerance</v>
      </c>
      <c r="O318" s="17" t="str">
        <f t="shared" si="31"/>
        <v>Within Tolerance</v>
      </c>
    </row>
    <row r="319" spans="1:15" x14ac:dyDescent="0.3">
      <c r="A319" s="169">
        <v>46156</v>
      </c>
      <c r="B319" s="64">
        <v>46156.75</v>
      </c>
      <c r="C319" s="142">
        <f t="shared" si="26"/>
        <v>46156.75</v>
      </c>
      <c r="D319" s="19" t="s">
        <v>18</v>
      </c>
      <c r="E319" s="8" t="s">
        <v>14</v>
      </c>
      <c r="F319" s="7" t="s">
        <v>11</v>
      </c>
      <c r="G319" s="25" t="s">
        <v>93</v>
      </c>
      <c r="H319" s="26">
        <v>13.4</v>
      </c>
      <c r="I319" s="16">
        <v>13.45</v>
      </c>
      <c r="J319" s="42" t="str">
        <f t="shared" si="27"/>
        <v/>
      </c>
      <c r="K319" s="42" t="str">
        <f t="shared" si="28"/>
        <v/>
      </c>
      <c r="L319" s="42">
        <f t="shared" si="29"/>
        <v>4.9999999999998934E-2</v>
      </c>
      <c r="M319" s="17" t="str">
        <f t="shared" si="30"/>
        <v/>
      </c>
      <c r="O319" s="17" t="str">
        <f t="shared" si="31"/>
        <v>Within Tolerance</v>
      </c>
    </row>
    <row r="320" spans="1:15" x14ac:dyDescent="0.3">
      <c r="A320" s="168">
        <v>46156</v>
      </c>
      <c r="B320" s="64">
        <v>46156.833333333299</v>
      </c>
      <c r="C320" s="142">
        <f t="shared" si="26"/>
        <v>46156.833333333299</v>
      </c>
      <c r="D320" s="19" t="s">
        <v>18</v>
      </c>
      <c r="E320" s="8" t="s">
        <v>14</v>
      </c>
      <c r="F320" s="7" t="s">
        <v>11</v>
      </c>
      <c r="G320" s="25" t="s">
        <v>93</v>
      </c>
      <c r="H320" s="26">
        <v>13.28</v>
      </c>
      <c r="I320" s="16">
        <v>13.37</v>
      </c>
      <c r="J320" s="42" t="str">
        <f t="shared" si="27"/>
        <v/>
      </c>
      <c r="K320" s="42" t="str">
        <f t="shared" si="28"/>
        <v/>
      </c>
      <c r="L320" s="42">
        <f t="shared" si="29"/>
        <v>8.9999999999999858E-2</v>
      </c>
      <c r="M320" s="17" t="str">
        <f t="shared" si="30"/>
        <v/>
      </c>
      <c r="O320" s="17" t="str">
        <f t="shared" si="31"/>
        <v>Within Tolerance</v>
      </c>
    </row>
    <row r="321" spans="1:15" x14ac:dyDescent="0.3">
      <c r="A321" s="169">
        <v>46156</v>
      </c>
      <c r="B321" s="64">
        <v>46156.916666666701</v>
      </c>
      <c r="C321" s="142">
        <f t="shared" si="26"/>
        <v>46156.916666666701</v>
      </c>
      <c r="D321" s="19" t="s">
        <v>18</v>
      </c>
      <c r="E321" s="8" t="s">
        <v>14</v>
      </c>
      <c r="F321" s="7" t="s">
        <v>11</v>
      </c>
      <c r="G321" s="25" t="s">
        <v>93</v>
      </c>
      <c r="H321" s="26">
        <v>13.3</v>
      </c>
      <c r="I321" s="16">
        <v>13.26</v>
      </c>
      <c r="J321" s="42" t="str">
        <f t="shared" si="27"/>
        <v/>
      </c>
      <c r="K321" s="42" t="str">
        <f t="shared" si="28"/>
        <v/>
      </c>
      <c r="L321" s="42">
        <f t="shared" si="29"/>
        <v>-4.0000000000000924E-2</v>
      </c>
      <c r="M321" s="17" t="str">
        <f t="shared" si="30"/>
        <v/>
      </c>
      <c r="O321" s="17" t="str">
        <f t="shared" si="31"/>
        <v>Within Tolerance</v>
      </c>
    </row>
    <row r="322" spans="1:15" x14ac:dyDescent="0.3">
      <c r="A322" s="168">
        <v>46156</v>
      </c>
      <c r="B322" s="64">
        <v>46156</v>
      </c>
      <c r="C322" s="142">
        <f t="shared" ref="C322:C385" si="32">A322+MOD(B322,1)</f>
        <v>46156</v>
      </c>
      <c r="D322" s="19" t="s">
        <v>18</v>
      </c>
      <c r="E322" s="8" t="s">
        <v>14</v>
      </c>
      <c r="F322" s="7" t="s">
        <v>11</v>
      </c>
      <c r="G322" s="25" t="s">
        <v>93</v>
      </c>
      <c r="H322" s="26">
        <v>13.29</v>
      </c>
      <c r="I322" s="16">
        <v>13.3</v>
      </c>
      <c r="J322" s="42" t="str">
        <f t="shared" si="27"/>
        <v/>
      </c>
      <c r="K322" s="42" t="str">
        <f t="shared" si="28"/>
        <v/>
      </c>
      <c r="L322" s="42">
        <f t="shared" si="29"/>
        <v>1.0000000000001563E-2</v>
      </c>
      <c r="M322" s="17" t="str">
        <f t="shared" si="30"/>
        <v/>
      </c>
      <c r="O322" s="17" t="str">
        <f t="shared" si="31"/>
        <v>Within Tolerance</v>
      </c>
    </row>
    <row r="323" spans="1:15" x14ac:dyDescent="0.3">
      <c r="A323" s="169">
        <v>46157</v>
      </c>
      <c r="B323" s="64">
        <v>46156.083333333299</v>
      </c>
      <c r="C323" s="142">
        <f t="shared" si="32"/>
        <v>46157.083333333299</v>
      </c>
      <c r="D323" s="19" t="s">
        <v>18</v>
      </c>
      <c r="E323" s="8" t="s">
        <v>14</v>
      </c>
      <c r="F323" s="7" t="s">
        <v>11</v>
      </c>
      <c r="G323" s="25" t="s">
        <v>93</v>
      </c>
      <c r="H323" s="26">
        <v>13.3</v>
      </c>
      <c r="I323" s="16">
        <v>13.37</v>
      </c>
      <c r="J323" s="42" t="str">
        <f t="shared" ref="J323:J386" si="33">IF(OR(TRIM(G323&amp;"")="",TRIM(H323&amp;"")="",G323="-",H323="-"),"",H323-G323)</f>
        <v/>
      </c>
      <c r="K323" s="42" t="str">
        <f t="shared" ref="K323:K386" si="34">IF(OR(TRIM(G323&amp;"")="",TRIM(I323&amp;"")="",G323="-",I323="-"),"",I323-G323)</f>
        <v/>
      </c>
      <c r="L323" s="42">
        <f t="shared" ref="L323:L386" si="35">IF(OR(TRIM(H323&amp;"")="",TRIM(I323&amp;"")="",H323="-",I323="-"),"",I323-H323)</f>
        <v>6.9999999999998508E-2</v>
      </c>
      <c r="M323" s="17" t="str">
        <f t="shared" ref="M323:M386" si="36">IF(J323="","",IF(ABS(J323)&lt;=0.2,"Within Tolerance","Out of Tolerance"))</f>
        <v/>
      </c>
      <c r="O323" s="17" t="str">
        <f t="shared" ref="O323:O386" si="37">IF(L323="","",IF(ABS(L323)&lt;=0.2,"Within Tolerance","Out of Tolerance"))</f>
        <v>Within Tolerance</v>
      </c>
    </row>
    <row r="324" spans="1:15" x14ac:dyDescent="0.3">
      <c r="A324" s="168">
        <v>46157</v>
      </c>
      <c r="B324" s="64">
        <v>46156.166666666701</v>
      </c>
      <c r="C324" s="142">
        <f t="shared" si="32"/>
        <v>46157.166666666701</v>
      </c>
      <c r="D324" s="19" t="s">
        <v>18</v>
      </c>
      <c r="E324" s="8" t="s">
        <v>14</v>
      </c>
      <c r="F324" s="7" t="s">
        <v>11</v>
      </c>
      <c r="G324" s="25" t="s">
        <v>93</v>
      </c>
      <c r="H324" s="26">
        <v>13.26</v>
      </c>
      <c r="I324" s="16">
        <v>13.24</v>
      </c>
      <c r="J324" s="42" t="str">
        <f t="shared" si="33"/>
        <v/>
      </c>
      <c r="K324" s="42" t="str">
        <f t="shared" si="34"/>
        <v/>
      </c>
      <c r="L324" s="42">
        <f t="shared" si="35"/>
        <v>-1.9999999999999574E-2</v>
      </c>
      <c r="M324" s="17" t="str">
        <f t="shared" si="36"/>
        <v/>
      </c>
      <c r="O324" s="17" t="str">
        <f t="shared" si="37"/>
        <v>Within Tolerance</v>
      </c>
    </row>
    <row r="325" spans="1:15" x14ac:dyDescent="0.3">
      <c r="A325" s="169">
        <v>46157</v>
      </c>
      <c r="B325" s="64">
        <v>46156.239583333336</v>
      </c>
      <c r="C325" s="142">
        <f t="shared" si="32"/>
        <v>46157.239583333336</v>
      </c>
      <c r="D325" s="19" t="s">
        <v>18</v>
      </c>
      <c r="E325" s="8" t="s">
        <v>14</v>
      </c>
      <c r="F325" s="7" t="s">
        <v>11</v>
      </c>
      <c r="G325" s="25" t="s">
        <v>93</v>
      </c>
      <c r="H325" s="26">
        <v>13.4</v>
      </c>
      <c r="I325" s="16">
        <v>13.26</v>
      </c>
      <c r="J325" s="42" t="str">
        <f t="shared" si="33"/>
        <v/>
      </c>
      <c r="K325" s="42" t="str">
        <f t="shared" si="34"/>
        <v/>
      </c>
      <c r="L325" s="42">
        <f t="shared" si="35"/>
        <v>-0.14000000000000057</v>
      </c>
      <c r="M325" s="17" t="str">
        <f t="shared" si="36"/>
        <v/>
      </c>
      <c r="O325" s="17" t="str">
        <f t="shared" si="37"/>
        <v>Within Tolerance</v>
      </c>
    </row>
    <row r="326" spans="1:15" x14ac:dyDescent="0.3">
      <c r="A326" s="168">
        <v>46157</v>
      </c>
      <c r="B326" s="64">
        <v>46157.28125</v>
      </c>
      <c r="C326" s="142">
        <f t="shared" si="32"/>
        <v>46157.28125</v>
      </c>
      <c r="D326" s="19" t="s">
        <v>13</v>
      </c>
      <c r="E326" s="8" t="s">
        <v>14</v>
      </c>
      <c r="F326" s="7" t="s">
        <v>11</v>
      </c>
      <c r="G326" s="25" t="s">
        <v>93</v>
      </c>
      <c r="H326" s="26">
        <v>13.15</v>
      </c>
      <c r="I326" s="16">
        <v>13.49</v>
      </c>
      <c r="J326" s="42" t="str">
        <f t="shared" si="33"/>
        <v/>
      </c>
      <c r="K326" s="42" t="str">
        <f t="shared" si="34"/>
        <v/>
      </c>
      <c r="L326" s="42">
        <f t="shared" si="35"/>
        <v>0.33999999999999986</v>
      </c>
      <c r="M326" s="17" t="str">
        <f t="shared" si="36"/>
        <v/>
      </c>
      <c r="O326" s="17" t="str">
        <f t="shared" si="37"/>
        <v>Out of Tolerance</v>
      </c>
    </row>
    <row r="327" spans="1:15" x14ac:dyDescent="0.3">
      <c r="A327" s="169">
        <v>46157</v>
      </c>
      <c r="B327" s="64">
        <v>46157.305555555598</v>
      </c>
      <c r="C327" s="142">
        <f t="shared" si="32"/>
        <v>46157.305555555598</v>
      </c>
      <c r="D327" s="19" t="s">
        <v>13</v>
      </c>
      <c r="E327" s="8" t="s">
        <v>14</v>
      </c>
      <c r="F327" s="7" t="s">
        <v>11</v>
      </c>
      <c r="G327" s="25" t="s">
        <v>93</v>
      </c>
      <c r="H327" s="26">
        <v>13.24</v>
      </c>
      <c r="I327" s="16"/>
      <c r="J327" s="42" t="str">
        <f t="shared" si="33"/>
        <v/>
      </c>
      <c r="K327" s="42" t="str">
        <f t="shared" si="34"/>
        <v/>
      </c>
      <c r="L327" s="42" t="str">
        <f t="shared" si="35"/>
        <v/>
      </c>
      <c r="M327" s="17" t="str">
        <f t="shared" si="36"/>
        <v/>
      </c>
      <c r="O327" s="17" t="str">
        <f t="shared" si="37"/>
        <v/>
      </c>
    </row>
    <row r="328" spans="1:15" x14ac:dyDescent="0.3">
      <c r="A328" s="168">
        <v>46156</v>
      </c>
      <c r="B328" s="64">
        <v>46156.381944444402</v>
      </c>
      <c r="C328" s="142">
        <f t="shared" si="32"/>
        <v>46156.381944444402</v>
      </c>
      <c r="D328" s="19" t="s">
        <v>40</v>
      </c>
      <c r="E328" s="8" t="s">
        <v>17</v>
      </c>
      <c r="F328" s="7" t="s">
        <v>15</v>
      </c>
      <c r="G328" s="25" t="s">
        <v>93</v>
      </c>
      <c r="H328" s="26">
        <v>8.66</v>
      </c>
      <c r="I328" s="16">
        <v>8.57</v>
      </c>
      <c r="J328" s="42" t="str">
        <f t="shared" si="33"/>
        <v/>
      </c>
      <c r="K328" s="42" t="str">
        <f t="shared" si="34"/>
        <v/>
      </c>
      <c r="L328" s="42">
        <f t="shared" si="35"/>
        <v>-8.9999999999999858E-2</v>
      </c>
      <c r="M328" s="17" t="str">
        <f t="shared" si="36"/>
        <v/>
      </c>
      <c r="O328" s="17" t="str">
        <f t="shared" si="37"/>
        <v>Within Tolerance</v>
      </c>
    </row>
    <row r="329" spans="1:15" x14ac:dyDescent="0.3">
      <c r="A329" s="169">
        <v>46156</v>
      </c>
      <c r="B329" s="64">
        <v>46156.458333333299</v>
      </c>
      <c r="C329" s="142">
        <f t="shared" si="32"/>
        <v>46156.458333333299</v>
      </c>
      <c r="D329" s="19" t="s">
        <v>40</v>
      </c>
      <c r="E329" s="8" t="s">
        <v>17</v>
      </c>
      <c r="F329" s="7" t="s">
        <v>15</v>
      </c>
      <c r="G329" s="25">
        <v>8.4700000000000006</v>
      </c>
      <c r="H329" s="26">
        <v>8.59</v>
      </c>
      <c r="I329" s="16">
        <v>8.65</v>
      </c>
      <c r="J329" s="42">
        <f t="shared" si="33"/>
        <v>0.11999999999999922</v>
      </c>
      <c r="K329" s="42">
        <f t="shared" si="34"/>
        <v>0.17999999999999972</v>
      </c>
      <c r="L329" s="42">
        <f t="shared" si="35"/>
        <v>6.0000000000000497E-2</v>
      </c>
      <c r="M329" s="17" t="str">
        <f t="shared" si="36"/>
        <v>Within Tolerance</v>
      </c>
      <c r="O329" s="17" t="str">
        <f t="shared" si="37"/>
        <v>Within Tolerance</v>
      </c>
    </row>
    <row r="330" spans="1:15" x14ac:dyDescent="0.3">
      <c r="A330" s="168">
        <v>46156</v>
      </c>
      <c r="B330" s="64">
        <v>46156.5625</v>
      </c>
      <c r="C330" s="142">
        <f t="shared" si="32"/>
        <v>46156.5625</v>
      </c>
      <c r="D330" s="19" t="s">
        <v>40</v>
      </c>
      <c r="E330" s="8" t="s">
        <v>17</v>
      </c>
      <c r="F330" s="7" t="s">
        <v>15</v>
      </c>
      <c r="G330" s="25" t="s">
        <v>93</v>
      </c>
      <c r="H330" s="26">
        <v>8.69</v>
      </c>
      <c r="I330" s="16">
        <v>8.67</v>
      </c>
      <c r="J330" s="42" t="str">
        <f t="shared" si="33"/>
        <v/>
      </c>
      <c r="K330" s="42" t="str">
        <f t="shared" si="34"/>
        <v/>
      </c>
      <c r="L330" s="42">
        <f t="shared" si="35"/>
        <v>-1.9999999999999574E-2</v>
      </c>
      <c r="M330" s="17" t="str">
        <f t="shared" si="36"/>
        <v/>
      </c>
      <c r="O330" s="17" t="str">
        <f t="shared" si="37"/>
        <v>Within Tolerance</v>
      </c>
    </row>
    <row r="331" spans="1:15" x14ac:dyDescent="0.3">
      <c r="A331" s="169">
        <v>46156</v>
      </c>
      <c r="B331" s="64">
        <v>46156.729166666701</v>
      </c>
      <c r="C331" s="142">
        <f t="shared" si="32"/>
        <v>46156.729166666701</v>
      </c>
      <c r="D331" s="19" t="s">
        <v>40</v>
      </c>
      <c r="E331" s="8" t="s">
        <v>17</v>
      </c>
      <c r="F331" s="7" t="s">
        <v>15</v>
      </c>
      <c r="G331" s="25" t="s">
        <v>93</v>
      </c>
      <c r="H331" s="26">
        <v>8.77</v>
      </c>
      <c r="I331" s="16">
        <v>8.7100000000000009</v>
      </c>
      <c r="J331" s="42" t="str">
        <f t="shared" si="33"/>
        <v/>
      </c>
      <c r="K331" s="42" t="str">
        <f t="shared" si="34"/>
        <v/>
      </c>
      <c r="L331" s="42">
        <f t="shared" si="35"/>
        <v>-5.9999999999998721E-2</v>
      </c>
      <c r="M331" s="17" t="str">
        <f t="shared" si="36"/>
        <v/>
      </c>
      <c r="O331" s="17" t="str">
        <f t="shared" si="37"/>
        <v>Within Tolerance</v>
      </c>
    </row>
    <row r="332" spans="1:15" x14ac:dyDescent="0.3">
      <c r="A332" s="168">
        <v>46156</v>
      </c>
      <c r="B332" s="64">
        <v>46156.833333333299</v>
      </c>
      <c r="C332" s="142">
        <f t="shared" si="32"/>
        <v>46156.833333333299</v>
      </c>
      <c r="D332" s="19" t="s">
        <v>40</v>
      </c>
      <c r="E332" s="8" t="s">
        <v>17</v>
      </c>
      <c r="F332" s="7" t="s">
        <v>15</v>
      </c>
      <c r="G332" s="25" t="s">
        <v>93</v>
      </c>
      <c r="H332" s="26">
        <v>8.61</v>
      </c>
      <c r="I332" s="16">
        <v>8.7200000000000006</v>
      </c>
      <c r="J332" s="42" t="str">
        <f t="shared" si="33"/>
        <v/>
      </c>
      <c r="K332" s="42" t="str">
        <f t="shared" si="34"/>
        <v/>
      </c>
      <c r="L332" s="42">
        <f t="shared" si="35"/>
        <v>0.11000000000000121</v>
      </c>
      <c r="M332" s="17" t="str">
        <f t="shared" si="36"/>
        <v/>
      </c>
      <c r="O332" s="17" t="str">
        <f t="shared" si="37"/>
        <v>Within Tolerance</v>
      </c>
    </row>
    <row r="333" spans="1:15" x14ac:dyDescent="0.3">
      <c r="A333" s="169">
        <v>46156</v>
      </c>
      <c r="B333" s="64">
        <v>46156.916666666701</v>
      </c>
      <c r="C333" s="142">
        <f t="shared" si="32"/>
        <v>46156.916666666701</v>
      </c>
      <c r="D333" s="19" t="s">
        <v>40</v>
      </c>
      <c r="E333" s="8" t="s">
        <v>17</v>
      </c>
      <c r="F333" s="7" t="s">
        <v>15</v>
      </c>
      <c r="G333" s="25" t="s">
        <v>93</v>
      </c>
      <c r="H333" s="26">
        <v>8.7200000000000006</v>
      </c>
      <c r="I333" s="16">
        <v>8.67</v>
      </c>
      <c r="J333" s="42" t="str">
        <f t="shared" si="33"/>
        <v/>
      </c>
      <c r="K333" s="42" t="str">
        <f t="shared" si="34"/>
        <v/>
      </c>
      <c r="L333" s="42">
        <f t="shared" si="35"/>
        <v>-5.0000000000000711E-2</v>
      </c>
      <c r="M333" s="17" t="str">
        <f t="shared" si="36"/>
        <v/>
      </c>
      <c r="O333" s="17" t="str">
        <f t="shared" si="37"/>
        <v>Within Tolerance</v>
      </c>
    </row>
    <row r="334" spans="1:15" x14ac:dyDescent="0.3">
      <c r="A334" s="168">
        <v>46156</v>
      </c>
      <c r="B334" s="64">
        <v>46156.961805555598</v>
      </c>
      <c r="C334" s="142">
        <f t="shared" si="32"/>
        <v>46156.961805555598</v>
      </c>
      <c r="D334" s="19" t="s">
        <v>29</v>
      </c>
      <c r="E334" s="8" t="s">
        <v>10</v>
      </c>
      <c r="F334" s="7" t="s">
        <v>15</v>
      </c>
      <c r="G334" s="25" t="s">
        <v>93</v>
      </c>
      <c r="H334" s="26">
        <v>10.35</v>
      </c>
      <c r="I334" s="16"/>
      <c r="J334" s="42" t="str">
        <f t="shared" si="33"/>
        <v/>
      </c>
      <c r="K334" s="42" t="str">
        <f t="shared" si="34"/>
        <v/>
      </c>
      <c r="L334" s="42" t="str">
        <f t="shared" si="35"/>
        <v/>
      </c>
      <c r="M334" s="17" t="str">
        <f t="shared" si="36"/>
        <v/>
      </c>
      <c r="O334" s="17" t="str">
        <f t="shared" si="37"/>
        <v/>
      </c>
    </row>
    <row r="335" spans="1:15" x14ac:dyDescent="0.3">
      <c r="A335" s="169">
        <v>46156</v>
      </c>
      <c r="B335" s="64">
        <v>46157</v>
      </c>
      <c r="C335" s="142">
        <f t="shared" si="32"/>
        <v>46156</v>
      </c>
      <c r="D335" s="19" t="s">
        <v>29</v>
      </c>
      <c r="E335" s="8" t="s">
        <v>10</v>
      </c>
      <c r="F335" s="7" t="s">
        <v>15</v>
      </c>
      <c r="G335" s="25" t="s">
        <v>93</v>
      </c>
      <c r="H335" s="26">
        <v>10.34</v>
      </c>
      <c r="I335" s="16">
        <v>10.28</v>
      </c>
      <c r="J335" s="42" t="str">
        <f t="shared" si="33"/>
        <v/>
      </c>
      <c r="K335" s="42" t="str">
        <f t="shared" si="34"/>
        <v/>
      </c>
      <c r="L335" s="42">
        <f t="shared" si="35"/>
        <v>-6.0000000000000497E-2</v>
      </c>
      <c r="M335" s="17" t="str">
        <f t="shared" si="36"/>
        <v/>
      </c>
      <c r="O335" s="17" t="str">
        <f t="shared" si="37"/>
        <v>Within Tolerance</v>
      </c>
    </row>
    <row r="336" spans="1:15" x14ac:dyDescent="0.3">
      <c r="A336" s="168">
        <v>46157</v>
      </c>
      <c r="B336" s="64">
        <v>46157.083333333299</v>
      </c>
      <c r="C336" s="142">
        <f t="shared" si="32"/>
        <v>46157.083333333299</v>
      </c>
      <c r="D336" s="19" t="s">
        <v>29</v>
      </c>
      <c r="E336" s="8" t="s">
        <v>10</v>
      </c>
      <c r="F336" s="7" t="s">
        <v>15</v>
      </c>
      <c r="G336" s="25" t="s">
        <v>93</v>
      </c>
      <c r="H336" s="26">
        <v>10.37</v>
      </c>
      <c r="I336" s="16">
        <v>10.42</v>
      </c>
      <c r="J336" s="42" t="str">
        <f t="shared" si="33"/>
        <v/>
      </c>
      <c r="K336" s="42" t="str">
        <f t="shared" si="34"/>
        <v/>
      </c>
      <c r="L336" s="42">
        <f t="shared" si="35"/>
        <v>5.0000000000000711E-2</v>
      </c>
      <c r="M336" s="17" t="str">
        <f t="shared" si="36"/>
        <v/>
      </c>
      <c r="O336" s="17" t="str">
        <f t="shared" si="37"/>
        <v>Within Tolerance</v>
      </c>
    </row>
    <row r="337" spans="1:15" x14ac:dyDescent="0.3">
      <c r="A337" s="169">
        <v>46157</v>
      </c>
      <c r="B337" s="64">
        <v>46157.166666666701</v>
      </c>
      <c r="C337" s="142">
        <f t="shared" si="32"/>
        <v>46157.166666666701</v>
      </c>
      <c r="D337" s="19" t="s">
        <v>29</v>
      </c>
      <c r="E337" s="8" t="s">
        <v>10</v>
      </c>
      <c r="F337" s="7" t="s">
        <v>15</v>
      </c>
      <c r="G337" s="25" t="s">
        <v>93</v>
      </c>
      <c r="H337" s="26">
        <v>10.29</v>
      </c>
      <c r="I337" s="16">
        <v>10.36</v>
      </c>
      <c r="J337" s="42" t="str">
        <f t="shared" si="33"/>
        <v/>
      </c>
      <c r="K337" s="42" t="str">
        <f t="shared" si="34"/>
        <v/>
      </c>
      <c r="L337" s="42">
        <f t="shared" si="35"/>
        <v>7.0000000000000284E-2</v>
      </c>
      <c r="M337" s="17" t="str">
        <f t="shared" si="36"/>
        <v/>
      </c>
      <c r="O337" s="17" t="str">
        <f t="shared" si="37"/>
        <v>Within Tolerance</v>
      </c>
    </row>
    <row r="338" spans="1:15" x14ac:dyDescent="0.3">
      <c r="A338" s="168">
        <v>46157</v>
      </c>
      <c r="B338" s="64">
        <v>46157.25</v>
      </c>
      <c r="C338" s="142">
        <f t="shared" si="32"/>
        <v>46157.25</v>
      </c>
      <c r="D338" s="19" t="s">
        <v>29</v>
      </c>
      <c r="E338" s="8" t="s">
        <v>10</v>
      </c>
      <c r="F338" s="7" t="s">
        <v>15</v>
      </c>
      <c r="G338" s="25" t="s">
        <v>93</v>
      </c>
      <c r="H338" s="26">
        <v>10.42</v>
      </c>
      <c r="I338" s="16">
        <v>10.34</v>
      </c>
      <c r="J338" s="42" t="str">
        <f t="shared" si="33"/>
        <v/>
      </c>
      <c r="K338" s="42" t="str">
        <f t="shared" si="34"/>
        <v/>
      </c>
      <c r="L338" s="42">
        <f t="shared" si="35"/>
        <v>-8.0000000000000071E-2</v>
      </c>
      <c r="M338" s="17" t="str">
        <f t="shared" si="36"/>
        <v/>
      </c>
      <c r="O338" s="17" t="str">
        <f t="shared" si="37"/>
        <v>Within Tolerance</v>
      </c>
    </row>
    <row r="339" spans="1:15" x14ac:dyDescent="0.3">
      <c r="A339" s="173">
        <v>46156</v>
      </c>
      <c r="B339" s="65">
        <v>46156.475694444445</v>
      </c>
      <c r="C339" s="143">
        <f t="shared" si="32"/>
        <v>46156.475694444445</v>
      </c>
      <c r="D339" s="23" t="s">
        <v>55</v>
      </c>
      <c r="E339" s="8" t="s">
        <v>14</v>
      </c>
      <c r="F339" s="7" t="s">
        <v>19</v>
      </c>
      <c r="G339" s="25" t="s">
        <v>93</v>
      </c>
      <c r="H339" s="26">
        <v>13.07</v>
      </c>
      <c r="I339" s="16">
        <v>13.26</v>
      </c>
      <c r="J339" s="42" t="str">
        <f t="shared" si="33"/>
        <v/>
      </c>
      <c r="K339" s="42" t="str">
        <f t="shared" si="34"/>
        <v/>
      </c>
      <c r="L339" s="42">
        <f t="shared" si="35"/>
        <v>0.1899999999999995</v>
      </c>
      <c r="M339" s="17" t="str">
        <f t="shared" si="36"/>
        <v/>
      </c>
      <c r="O339" s="17" t="str">
        <f t="shared" si="37"/>
        <v>Within Tolerance</v>
      </c>
    </row>
    <row r="340" spans="1:15" x14ac:dyDescent="0.3">
      <c r="A340" s="174">
        <v>46156</v>
      </c>
      <c r="B340" s="66">
        <v>46156.565972222197</v>
      </c>
      <c r="C340" s="144">
        <f t="shared" si="32"/>
        <v>46156.565972222197</v>
      </c>
      <c r="D340" s="19" t="s">
        <v>18</v>
      </c>
      <c r="E340" s="8" t="s">
        <v>14</v>
      </c>
      <c r="F340" s="7" t="s">
        <v>19</v>
      </c>
      <c r="G340" s="25" t="s">
        <v>93</v>
      </c>
      <c r="H340" s="26">
        <v>13.51</v>
      </c>
      <c r="I340" s="16">
        <v>13.41</v>
      </c>
      <c r="J340" s="42" t="str">
        <f t="shared" si="33"/>
        <v/>
      </c>
      <c r="K340" s="42" t="str">
        <f t="shared" si="34"/>
        <v/>
      </c>
      <c r="L340" s="42">
        <f t="shared" si="35"/>
        <v>-9.9999999999999645E-2</v>
      </c>
      <c r="M340" s="17" t="str">
        <f t="shared" si="36"/>
        <v/>
      </c>
      <c r="O340" s="17" t="str">
        <f t="shared" si="37"/>
        <v>Within Tolerance</v>
      </c>
    </row>
    <row r="341" spans="1:15" x14ac:dyDescent="0.3">
      <c r="A341" s="175">
        <v>46156</v>
      </c>
      <c r="B341" s="67">
        <v>46156.819444444402</v>
      </c>
      <c r="C341" s="145">
        <f t="shared" si="32"/>
        <v>46156.819444444402</v>
      </c>
      <c r="D341" s="19" t="s">
        <v>42</v>
      </c>
      <c r="E341" s="8" t="s">
        <v>10</v>
      </c>
      <c r="F341" s="7" t="s">
        <v>19</v>
      </c>
      <c r="G341" s="25" t="s">
        <v>93</v>
      </c>
      <c r="H341" s="26">
        <v>9.91</v>
      </c>
      <c r="I341" s="16">
        <v>10.23</v>
      </c>
      <c r="J341" s="42" t="str">
        <f t="shared" si="33"/>
        <v/>
      </c>
      <c r="K341" s="42" t="str">
        <f t="shared" si="34"/>
        <v/>
      </c>
      <c r="L341" s="42">
        <f t="shared" si="35"/>
        <v>0.32000000000000028</v>
      </c>
      <c r="M341" s="17" t="str">
        <f t="shared" si="36"/>
        <v/>
      </c>
      <c r="O341" s="17" t="str">
        <f t="shared" si="37"/>
        <v>Out of Tolerance</v>
      </c>
    </row>
    <row r="342" spans="1:15" x14ac:dyDescent="0.3">
      <c r="A342" s="176">
        <v>46156</v>
      </c>
      <c r="B342" s="68">
        <v>46156.857638888898</v>
      </c>
      <c r="C342" s="146">
        <f t="shared" si="32"/>
        <v>46156.857638888898</v>
      </c>
      <c r="D342" s="19" t="s">
        <v>34</v>
      </c>
      <c r="E342" s="8" t="s">
        <v>14</v>
      </c>
      <c r="F342" s="7" t="s">
        <v>19</v>
      </c>
      <c r="G342" s="25" t="s">
        <v>93</v>
      </c>
      <c r="H342" s="26">
        <v>12.43</v>
      </c>
      <c r="I342" s="16">
        <v>12.48</v>
      </c>
      <c r="J342" s="42" t="str">
        <f t="shared" si="33"/>
        <v/>
      </c>
      <c r="K342" s="42" t="str">
        <f t="shared" si="34"/>
        <v/>
      </c>
      <c r="L342" s="42">
        <f t="shared" si="35"/>
        <v>5.0000000000000711E-2</v>
      </c>
      <c r="M342" s="17" t="str">
        <f t="shared" si="36"/>
        <v/>
      </c>
      <c r="O342" s="17" t="str">
        <f t="shared" si="37"/>
        <v>Within Tolerance</v>
      </c>
    </row>
    <row r="343" spans="1:15" x14ac:dyDescent="0.3">
      <c r="A343" s="177">
        <v>46156</v>
      </c>
      <c r="B343" s="66">
        <v>46156.888888888898</v>
      </c>
      <c r="C343" s="144">
        <f t="shared" si="32"/>
        <v>46156.888888888898</v>
      </c>
      <c r="D343" s="19" t="s">
        <v>20</v>
      </c>
      <c r="E343" s="8" t="s">
        <v>14</v>
      </c>
      <c r="F343" s="7" t="s">
        <v>19</v>
      </c>
      <c r="G343" s="25" t="s">
        <v>93</v>
      </c>
      <c r="H343" s="26">
        <v>12.5</v>
      </c>
      <c r="I343" s="16">
        <v>12.62</v>
      </c>
      <c r="J343" s="42" t="str">
        <f t="shared" si="33"/>
        <v/>
      </c>
      <c r="K343" s="42" t="str">
        <f t="shared" si="34"/>
        <v/>
      </c>
      <c r="L343" s="42">
        <f t="shared" si="35"/>
        <v>0.11999999999999922</v>
      </c>
      <c r="M343" s="17" t="str">
        <f t="shared" si="36"/>
        <v/>
      </c>
      <c r="O343" s="17" t="str">
        <f t="shared" si="37"/>
        <v>Within Tolerance</v>
      </c>
    </row>
    <row r="344" spans="1:15" x14ac:dyDescent="0.3">
      <c r="A344" s="178">
        <v>46156</v>
      </c>
      <c r="B344" s="67">
        <v>46156.440972222197</v>
      </c>
      <c r="C344" s="147">
        <f t="shared" si="32"/>
        <v>46156.440972222197</v>
      </c>
      <c r="D344" s="27" t="s">
        <v>51</v>
      </c>
      <c r="E344" s="8" t="s">
        <v>10</v>
      </c>
      <c r="F344" s="7" t="s">
        <v>24</v>
      </c>
      <c r="G344" s="25" t="s">
        <v>93</v>
      </c>
      <c r="H344" s="26">
        <v>9.84</v>
      </c>
      <c r="I344" s="16">
        <v>9.9600000000000009</v>
      </c>
      <c r="J344" s="42" t="str">
        <f t="shared" si="33"/>
        <v/>
      </c>
      <c r="K344" s="42" t="str">
        <f t="shared" si="34"/>
        <v/>
      </c>
      <c r="L344" s="42">
        <f t="shared" si="35"/>
        <v>0.12000000000000099</v>
      </c>
      <c r="M344" s="17" t="str">
        <f t="shared" si="36"/>
        <v/>
      </c>
      <c r="O344" s="17" t="str">
        <f t="shared" si="37"/>
        <v>Within Tolerance</v>
      </c>
    </row>
    <row r="345" spans="1:15" x14ac:dyDescent="0.3">
      <c r="A345" s="179">
        <v>46156</v>
      </c>
      <c r="B345" s="68">
        <v>46156.520833333299</v>
      </c>
      <c r="C345" s="147">
        <f t="shared" si="32"/>
        <v>46156.520833333299</v>
      </c>
      <c r="D345" s="23" t="s">
        <v>50</v>
      </c>
      <c r="E345" s="8" t="s">
        <v>10</v>
      </c>
      <c r="F345" s="7" t="s">
        <v>24</v>
      </c>
      <c r="G345" s="25" t="s">
        <v>93</v>
      </c>
      <c r="H345" s="26">
        <v>9.68</v>
      </c>
      <c r="I345" s="16">
        <v>9.9499999999999993</v>
      </c>
      <c r="J345" s="42" t="str">
        <f t="shared" si="33"/>
        <v/>
      </c>
      <c r="K345" s="42" t="str">
        <f t="shared" si="34"/>
        <v/>
      </c>
      <c r="L345" s="42">
        <f t="shared" si="35"/>
        <v>0.26999999999999957</v>
      </c>
      <c r="M345" s="17" t="str">
        <f t="shared" si="36"/>
        <v/>
      </c>
      <c r="O345" s="17" t="str">
        <f t="shared" si="37"/>
        <v>Out of Tolerance</v>
      </c>
    </row>
    <row r="346" spans="1:15" x14ac:dyDescent="0.3">
      <c r="A346" s="180">
        <v>46156</v>
      </c>
      <c r="B346" s="66">
        <v>46156.579861111102</v>
      </c>
      <c r="C346" s="148">
        <f t="shared" si="32"/>
        <v>46156.579861111102</v>
      </c>
      <c r="D346" s="23" t="s">
        <v>49</v>
      </c>
      <c r="E346" s="8" t="s">
        <v>10</v>
      </c>
      <c r="F346" s="7" t="s">
        <v>24</v>
      </c>
      <c r="G346" s="25" t="s">
        <v>93</v>
      </c>
      <c r="H346" s="26">
        <v>9.0299999999999994</v>
      </c>
      <c r="I346" s="16">
        <v>9.17</v>
      </c>
      <c r="J346" s="42" t="str">
        <f t="shared" si="33"/>
        <v/>
      </c>
      <c r="K346" s="42" t="str">
        <f t="shared" si="34"/>
        <v/>
      </c>
      <c r="L346" s="42">
        <f t="shared" si="35"/>
        <v>0.14000000000000057</v>
      </c>
      <c r="M346" s="17" t="str">
        <f t="shared" si="36"/>
        <v/>
      </c>
      <c r="O346" s="17" t="str">
        <f t="shared" si="37"/>
        <v>Within Tolerance</v>
      </c>
    </row>
    <row r="347" spans="1:15" x14ac:dyDescent="0.3">
      <c r="A347" s="169">
        <v>46157</v>
      </c>
      <c r="B347" s="64">
        <v>46157.354166666701</v>
      </c>
      <c r="C347" s="142">
        <f t="shared" si="32"/>
        <v>46157.354166666701</v>
      </c>
      <c r="D347" s="19" t="s">
        <v>13</v>
      </c>
      <c r="E347" s="8" t="s">
        <v>14</v>
      </c>
      <c r="F347" s="7" t="s">
        <v>11</v>
      </c>
      <c r="G347" s="25">
        <v>13.26</v>
      </c>
      <c r="H347" s="26">
        <v>13.14</v>
      </c>
      <c r="I347" s="16">
        <v>13.36</v>
      </c>
      <c r="J347" s="42">
        <f t="shared" si="33"/>
        <v>-0.11999999999999922</v>
      </c>
      <c r="K347" s="42">
        <f t="shared" si="34"/>
        <v>9.9999999999999645E-2</v>
      </c>
      <c r="L347" s="42">
        <f t="shared" si="35"/>
        <v>0.21999999999999886</v>
      </c>
      <c r="M347" s="17" t="str">
        <f t="shared" si="36"/>
        <v>Within Tolerance</v>
      </c>
      <c r="O347" s="17" t="str">
        <f t="shared" si="37"/>
        <v>Out of Tolerance</v>
      </c>
    </row>
    <row r="348" spans="1:15" x14ac:dyDescent="0.3">
      <c r="A348" s="168">
        <v>46157</v>
      </c>
      <c r="B348" s="64">
        <v>46157.524305555598</v>
      </c>
      <c r="C348" s="142">
        <f t="shared" si="32"/>
        <v>46157.524305555598</v>
      </c>
      <c r="D348" s="19" t="s">
        <v>13</v>
      </c>
      <c r="E348" s="8" t="s">
        <v>14</v>
      </c>
      <c r="F348" s="7" t="s">
        <v>11</v>
      </c>
      <c r="G348" s="25" t="s">
        <v>93</v>
      </c>
      <c r="H348" s="26">
        <v>13.06</v>
      </c>
      <c r="I348" s="16">
        <v>13.28</v>
      </c>
      <c r="J348" s="42" t="str">
        <f t="shared" si="33"/>
        <v/>
      </c>
      <c r="K348" s="42" t="str">
        <f t="shared" si="34"/>
        <v/>
      </c>
      <c r="L348" s="42">
        <f t="shared" si="35"/>
        <v>0.21999999999999886</v>
      </c>
      <c r="M348" s="17" t="str">
        <f t="shared" si="36"/>
        <v/>
      </c>
      <c r="O348" s="17" t="str">
        <f t="shared" si="37"/>
        <v>Out of Tolerance</v>
      </c>
    </row>
    <row r="349" spans="1:15" x14ac:dyDescent="0.3">
      <c r="A349" s="169">
        <v>46157</v>
      </c>
      <c r="B349" s="64">
        <v>46157.541666666701</v>
      </c>
      <c r="C349" s="142">
        <f t="shared" si="32"/>
        <v>46157.541666666701</v>
      </c>
      <c r="D349" s="19" t="s">
        <v>13</v>
      </c>
      <c r="E349" s="8" t="s">
        <v>14</v>
      </c>
      <c r="F349" s="7" t="s">
        <v>11</v>
      </c>
      <c r="G349" s="25" t="s">
        <v>93</v>
      </c>
      <c r="H349" s="26">
        <v>13.11</v>
      </c>
      <c r="I349" s="16">
        <v>13.34</v>
      </c>
      <c r="J349" s="42" t="str">
        <f t="shared" si="33"/>
        <v/>
      </c>
      <c r="K349" s="42" t="str">
        <f t="shared" si="34"/>
        <v/>
      </c>
      <c r="L349" s="42">
        <f t="shared" si="35"/>
        <v>0.23000000000000043</v>
      </c>
      <c r="M349" s="17" t="str">
        <f t="shared" si="36"/>
        <v/>
      </c>
      <c r="O349" s="17" t="str">
        <f t="shared" si="37"/>
        <v>Out of Tolerance</v>
      </c>
    </row>
    <row r="350" spans="1:15" x14ac:dyDescent="0.3">
      <c r="A350" s="168">
        <v>46157</v>
      </c>
      <c r="B350" s="64">
        <v>46157.604166666701</v>
      </c>
      <c r="C350" s="142">
        <f t="shared" si="32"/>
        <v>46157.604166666701</v>
      </c>
      <c r="D350" s="19" t="s">
        <v>13</v>
      </c>
      <c r="E350" s="8" t="s">
        <v>14</v>
      </c>
      <c r="F350" s="7" t="s">
        <v>11</v>
      </c>
      <c r="G350" s="25" t="s">
        <v>93</v>
      </c>
      <c r="H350" s="26">
        <v>13.12</v>
      </c>
      <c r="I350" s="16">
        <v>13.29</v>
      </c>
      <c r="J350" s="42" t="str">
        <f t="shared" si="33"/>
        <v/>
      </c>
      <c r="K350" s="42" t="str">
        <f t="shared" si="34"/>
        <v/>
      </c>
      <c r="L350" s="42">
        <f t="shared" si="35"/>
        <v>0.16999999999999993</v>
      </c>
      <c r="M350" s="17" t="str">
        <f t="shared" si="36"/>
        <v/>
      </c>
      <c r="O350" s="17" t="str">
        <f t="shared" si="37"/>
        <v>Within Tolerance</v>
      </c>
    </row>
    <row r="351" spans="1:15" x14ac:dyDescent="0.3">
      <c r="A351" s="169">
        <v>46157</v>
      </c>
      <c r="B351" s="64">
        <v>46157.666666666701</v>
      </c>
      <c r="C351" s="142">
        <f t="shared" si="32"/>
        <v>46157.666666666701</v>
      </c>
      <c r="D351" s="19" t="s">
        <v>13</v>
      </c>
      <c r="E351" s="8" t="s">
        <v>14</v>
      </c>
      <c r="F351" s="7" t="s">
        <v>11</v>
      </c>
      <c r="G351" s="25" t="s">
        <v>93</v>
      </c>
      <c r="H351" s="26">
        <v>12.81</v>
      </c>
      <c r="I351" s="16">
        <v>12.98</v>
      </c>
      <c r="J351" s="42" t="str">
        <f t="shared" si="33"/>
        <v/>
      </c>
      <c r="K351" s="42" t="str">
        <f t="shared" si="34"/>
        <v/>
      </c>
      <c r="L351" s="42">
        <f t="shared" si="35"/>
        <v>0.16999999999999993</v>
      </c>
      <c r="M351" s="17" t="str">
        <f t="shared" si="36"/>
        <v/>
      </c>
      <c r="O351" s="17" t="str">
        <f t="shared" si="37"/>
        <v>Within Tolerance</v>
      </c>
    </row>
    <row r="352" spans="1:15" x14ac:dyDescent="0.3">
      <c r="A352" s="168">
        <v>46157</v>
      </c>
      <c r="B352" s="64">
        <v>46157.875</v>
      </c>
      <c r="C352" s="142">
        <f t="shared" si="32"/>
        <v>46157.875</v>
      </c>
      <c r="D352" s="19" t="s">
        <v>13</v>
      </c>
      <c r="E352" s="8" t="s">
        <v>14</v>
      </c>
      <c r="F352" s="7" t="s">
        <v>11</v>
      </c>
      <c r="G352" s="25" t="s">
        <v>93</v>
      </c>
      <c r="H352" s="26">
        <v>13.08</v>
      </c>
      <c r="I352" s="16"/>
      <c r="J352" s="42" t="str">
        <f t="shared" si="33"/>
        <v/>
      </c>
      <c r="K352" s="42" t="str">
        <f t="shared" si="34"/>
        <v/>
      </c>
      <c r="L352" s="42" t="str">
        <f t="shared" si="35"/>
        <v/>
      </c>
      <c r="M352" s="17" t="str">
        <f t="shared" si="36"/>
        <v/>
      </c>
      <c r="O352" s="17" t="str">
        <f t="shared" si="37"/>
        <v/>
      </c>
    </row>
    <row r="353" spans="1:15" x14ac:dyDescent="0.3">
      <c r="A353" s="169">
        <v>46157</v>
      </c>
      <c r="B353" s="64">
        <v>46157.895833333299</v>
      </c>
      <c r="C353" s="142">
        <f t="shared" si="32"/>
        <v>46157.895833333299</v>
      </c>
      <c r="D353" s="19" t="s">
        <v>13</v>
      </c>
      <c r="E353" s="8" t="s">
        <v>14</v>
      </c>
      <c r="F353" s="7" t="s">
        <v>11</v>
      </c>
      <c r="G353" s="25" t="s">
        <v>93</v>
      </c>
      <c r="H353" s="26">
        <v>13.11</v>
      </c>
      <c r="I353" s="16">
        <v>13.2</v>
      </c>
      <c r="J353" s="42" t="str">
        <f t="shared" si="33"/>
        <v/>
      </c>
      <c r="K353" s="42" t="str">
        <f t="shared" si="34"/>
        <v/>
      </c>
      <c r="L353" s="42">
        <f t="shared" si="35"/>
        <v>8.9999999999999858E-2</v>
      </c>
      <c r="M353" s="17" t="str">
        <f t="shared" si="36"/>
        <v/>
      </c>
      <c r="O353" s="17" t="str">
        <f t="shared" si="37"/>
        <v>Within Tolerance</v>
      </c>
    </row>
    <row r="354" spans="1:15" x14ac:dyDescent="0.3">
      <c r="A354" s="168">
        <v>46157</v>
      </c>
      <c r="B354" s="64">
        <v>46158</v>
      </c>
      <c r="C354" s="142">
        <f t="shared" si="32"/>
        <v>46157</v>
      </c>
      <c r="D354" s="19" t="s">
        <v>13</v>
      </c>
      <c r="E354" s="8" t="s">
        <v>14</v>
      </c>
      <c r="F354" s="7" t="s">
        <v>11</v>
      </c>
      <c r="G354" s="25" t="s">
        <v>93</v>
      </c>
      <c r="H354" s="26">
        <v>13.37</v>
      </c>
      <c r="I354" s="16">
        <v>13.45</v>
      </c>
      <c r="J354" s="42" t="str">
        <f t="shared" si="33"/>
        <v/>
      </c>
      <c r="K354" s="42" t="str">
        <f t="shared" si="34"/>
        <v/>
      </c>
      <c r="L354" s="42">
        <f t="shared" si="35"/>
        <v>8.0000000000000071E-2</v>
      </c>
      <c r="M354" s="17" t="str">
        <f t="shared" si="36"/>
        <v/>
      </c>
      <c r="O354" s="17" t="str">
        <f t="shared" si="37"/>
        <v>Within Tolerance</v>
      </c>
    </row>
    <row r="355" spans="1:15" x14ac:dyDescent="0.3">
      <c r="A355" s="169">
        <v>46158</v>
      </c>
      <c r="B355" s="64">
        <v>46158.083333333299</v>
      </c>
      <c r="C355" s="142">
        <f t="shared" si="32"/>
        <v>46158.083333333299</v>
      </c>
      <c r="D355" s="19" t="s">
        <v>13</v>
      </c>
      <c r="E355" s="8" t="s">
        <v>14</v>
      </c>
      <c r="F355" s="7" t="s">
        <v>11</v>
      </c>
      <c r="G355" s="25" t="s">
        <v>93</v>
      </c>
      <c r="H355" s="26">
        <v>13.22</v>
      </c>
      <c r="I355" s="16">
        <v>13.44</v>
      </c>
      <c r="J355" s="42" t="str">
        <f t="shared" si="33"/>
        <v/>
      </c>
      <c r="K355" s="42" t="str">
        <f t="shared" si="34"/>
        <v/>
      </c>
      <c r="L355" s="42">
        <f t="shared" si="35"/>
        <v>0.21999999999999886</v>
      </c>
      <c r="M355" s="17" t="str">
        <f t="shared" si="36"/>
        <v/>
      </c>
      <c r="O355" s="17" t="str">
        <f t="shared" si="37"/>
        <v>Out of Tolerance</v>
      </c>
    </row>
    <row r="356" spans="1:15" x14ac:dyDescent="0.3">
      <c r="A356" s="168">
        <v>46158</v>
      </c>
      <c r="B356" s="64">
        <v>46158.204861111102</v>
      </c>
      <c r="C356" s="142">
        <f t="shared" si="32"/>
        <v>46158.204861111102</v>
      </c>
      <c r="D356" s="19" t="s">
        <v>35</v>
      </c>
      <c r="E356" s="8" t="s">
        <v>14</v>
      </c>
      <c r="F356" s="7" t="s">
        <v>11</v>
      </c>
      <c r="G356" s="25" t="s">
        <v>93</v>
      </c>
      <c r="H356" s="26">
        <v>12.88</v>
      </c>
      <c r="I356" s="16">
        <v>13.07</v>
      </c>
      <c r="J356" s="42" t="str">
        <f t="shared" si="33"/>
        <v/>
      </c>
      <c r="K356" s="42" t="str">
        <f t="shared" si="34"/>
        <v/>
      </c>
      <c r="L356" s="42">
        <f t="shared" si="35"/>
        <v>0.1899999999999995</v>
      </c>
      <c r="M356" s="17" t="str">
        <f t="shared" si="36"/>
        <v/>
      </c>
      <c r="O356" s="17" t="str">
        <f t="shared" si="37"/>
        <v>Within Tolerance</v>
      </c>
    </row>
    <row r="357" spans="1:15" x14ac:dyDescent="0.3">
      <c r="A357" s="169">
        <v>46158</v>
      </c>
      <c r="B357" s="64">
        <v>46158.270833333299</v>
      </c>
      <c r="C357" s="142">
        <f t="shared" si="32"/>
        <v>46158.270833333299</v>
      </c>
      <c r="D357" s="19" t="s">
        <v>35</v>
      </c>
      <c r="E357" s="8" t="s">
        <v>14</v>
      </c>
      <c r="F357" s="7" t="s">
        <v>11</v>
      </c>
      <c r="G357" s="25" t="s">
        <v>93</v>
      </c>
      <c r="H357" s="26">
        <v>12.94</v>
      </c>
      <c r="I357" s="16">
        <v>13.12</v>
      </c>
      <c r="J357" s="42" t="str">
        <f t="shared" si="33"/>
        <v/>
      </c>
      <c r="K357" s="42" t="str">
        <f t="shared" si="34"/>
        <v/>
      </c>
      <c r="L357" s="42">
        <f t="shared" si="35"/>
        <v>0.17999999999999972</v>
      </c>
      <c r="M357" s="17" t="str">
        <f t="shared" si="36"/>
        <v/>
      </c>
      <c r="O357" s="17" t="str">
        <f t="shared" si="37"/>
        <v>Within Tolerance</v>
      </c>
    </row>
    <row r="358" spans="1:15" x14ac:dyDescent="0.3">
      <c r="A358" s="168">
        <v>46157</v>
      </c>
      <c r="B358" s="64">
        <v>46157.333333333299</v>
      </c>
      <c r="C358" s="142">
        <f t="shared" si="32"/>
        <v>46157.333333333299</v>
      </c>
      <c r="D358" s="19" t="s">
        <v>29</v>
      </c>
      <c r="E358" s="8" t="s">
        <v>10</v>
      </c>
      <c r="F358" s="7" t="s">
        <v>15</v>
      </c>
      <c r="G358" s="25" t="s">
        <v>93</v>
      </c>
      <c r="H358" s="26">
        <v>10.36</v>
      </c>
      <c r="I358" s="16">
        <v>10.3</v>
      </c>
      <c r="J358" s="42" t="str">
        <f t="shared" si="33"/>
        <v/>
      </c>
      <c r="K358" s="42" t="str">
        <f t="shared" si="34"/>
        <v/>
      </c>
      <c r="L358" s="42">
        <f t="shared" si="35"/>
        <v>-5.9999999999998721E-2</v>
      </c>
      <c r="M358" s="17" t="str">
        <f t="shared" si="36"/>
        <v/>
      </c>
      <c r="O358" s="17" t="str">
        <f t="shared" si="37"/>
        <v>Within Tolerance</v>
      </c>
    </row>
    <row r="359" spans="1:15" x14ac:dyDescent="0.3">
      <c r="A359" s="169">
        <v>46157</v>
      </c>
      <c r="B359" s="64">
        <v>46157.770833333299</v>
      </c>
      <c r="C359" s="142">
        <f t="shared" si="32"/>
        <v>46157.770833333299</v>
      </c>
      <c r="D359" s="19" t="s">
        <v>29</v>
      </c>
      <c r="E359" s="8" t="s">
        <v>10</v>
      </c>
      <c r="F359" s="7" t="s">
        <v>15</v>
      </c>
      <c r="G359" s="25" t="s">
        <v>93</v>
      </c>
      <c r="H359" s="26">
        <v>10.39</v>
      </c>
      <c r="I359" s="16">
        <v>10.43</v>
      </c>
      <c r="J359" s="42" t="str">
        <f t="shared" si="33"/>
        <v/>
      </c>
      <c r="K359" s="42" t="str">
        <f t="shared" si="34"/>
        <v/>
      </c>
      <c r="L359" s="42">
        <f t="shared" si="35"/>
        <v>3.9999999999999147E-2</v>
      </c>
      <c r="M359" s="17" t="str">
        <f t="shared" si="36"/>
        <v/>
      </c>
      <c r="O359" s="17" t="str">
        <f t="shared" si="37"/>
        <v>Within Tolerance</v>
      </c>
    </row>
    <row r="360" spans="1:15" x14ac:dyDescent="0.3">
      <c r="A360" s="168">
        <v>46157</v>
      </c>
      <c r="B360" s="64">
        <v>46157.784722222197</v>
      </c>
      <c r="C360" s="142">
        <f t="shared" si="32"/>
        <v>46157.784722222197</v>
      </c>
      <c r="D360" s="19" t="s">
        <v>29</v>
      </c>
      <c r="E360" s="8" t="s">
        <v>10</v>
      </c>
      <c r="F360" s="7" t="s">
        <v>15</v>
      </c>
      <c r="G360" s="25" t="s">
        <v>93</v>
      </c>
      <c r="H360" s="26">
        <v>10.38</v>
      </c>
      <c r="I360" s="16">
        <v>10.48</v>
      </c>
      <c r="J360" s="42" t="str">
        <f t="shared" si="33"/>
        <v/>
      </c>
      <c r="K360" s="42" t="str">
        <f t="shared" si="34"/>
        <v/>
      </c>
      <c r="L360" s="42">
        <f t="shared" si="35"/>
        <v>9.9999999999999645E-2</v>
      </c>
      <c r="M360" s="17" t="str">
        <f t="shared" si="36"/>
        <v/>
      </c>
      <c r="O360" s="17" t="str">
        <f t="shared" si="37"/>
        <v>Within Tolerance</v>
      </c>
    </row>
    <row r="361" spans="1:15" x14ac:dyDescent="0.3">
      <c r="A361" s="169">
        <v>46157</v>
      </c>
      <c r="B361" s="64">
        <v>46157.833333333299</v>
      </c>
      <c r="C361" s="142">
        <f t="shared" si="32"/>
        <v>46157.833333333299</v>
      </c>
      <c r="D361" s="19" t="s">
        <v>29</v>
      </c>
      <c r="E361" s="8" t="s">
        <v>10</v>
      </c>
      <c r="F361" s="7" t="s">
        <v>15</v>
      </c>
      <c r="G361" s="25" t="s">
        <v>93</v>
      </c>
      <c r="H361" s="26">
        <v>10.44</v>
      </c>
      <c r="I361" s="16">
        <v>10.47</v>
      </c>
      <c r="J361" s="42" t="str">
        <f t="shared" si="33"/>
        <v/>
      </c>
      <c r="K361" s="42" t="str">
        <f t="shared" si="34"/>
        <v/>
      </c>
      <c r="L361" s="42">
        <f t="shared" si="35"/>
        <v>3.0000000000001137E-2</v>
      </c>
      <c r="M361" s="17" t="str">
        <f t="shared" si="36"/>
        <v/>
      </c>
      <c r="O361" s="17" t="str">
        <f t="shared" si="37"/>
        <v>Within Tolerance</v>
      </c>
    </row>
    <row r="362" spans="1:15" x14ac:dyDescent="0.3">
      <c r="A362" s="168">
        <v>46157</v>
      </c>
      <c r="B362" s="64">
        <v>46157.916666666701</v>
      </c>
      <c r="C362" s="142">
        <f t="shared" si="32"/>
        <v>46157.916666666701</v>
      </c>
      <c r="D362" s="19" t="s">
        <v>29</v>
      </c>
      <c r="E362" s="8" t="s">
        <v>10</v>
      </c>
      <c r="F362" s="7" t="s">
        <v>15</v>
      </c>
      <c r="G362" s="25" t="s">
        <v>93</v>
      </c>
      <c r="H362" s="26">
        <v>10.39</v>
      </c>
      <c r="I362" s="16">
        <v>10.31</v>
      </c>
      <c r="J362" s="42" t="str">
        <f t="shared" si="33"/>
        <v/>
      </c>
      <c r="K362" s="42" t="str">
        <f t="shared" si="34"/>
        <v/>
      </c>
      <c r="L362" s="42">
        <f t="shared" si="35"/>
        <v>-8.0000000000000071E-2</v>
      </c>
      <c r="M362" s="17" t="str">
        <f t="shared" si="36"/>
        <v/>
      </c>
      <c r="O362" s="17" t="str">
        <f t="shared" si="37"/>
        <v>Within Tolerance</v>
      </c>
    </row>
    <row r="363" spans="1:15" x14ac:dyDescent="0.3">
      <c r="A363" s="169">
        <v>46157</v>
      </c>
      <c r="B363" s="64">
        <v>46158</v>
      </c>
      <c r="C363" s="142">
        <f t="shared" si="32"/>
        <v>46157</v>
      </c>
      <c r="D363" s="19" t="s">
        <v>29</v>
      </c>
      <c r="E363" s="8" t="s">
        <v>10</v>
      </c>
      <c r="F363" s="7" t="s">
        <v>15</v>
      </c>
      <c r="G363" s="25" t="s">
        <v>93</v>
      </c>
      <c r="H363" s="26">
        <v>10.43</v>
      </c>
      <c r="I363" s="16">
        <v>10.34</v>
      </c>
      <c r="J363" s="42" t="str">
        <f t="shared" si="33"/>
        <v/>
      </c>
      <c r="K363" s="42" t="str">
        <f t="shared" si="34"/>
        <v/>
      </c>
      <c r="L363" s="42">
        <f t="shared" si="35"/>
        <v>-8.9999999999999858E-2</v>
      </c>
      <c r="M363" s="17" t="str">
        <f t="shared" si="36"/>
        <v/>
      </c>
      <c r="O363" s="17" t="str">
        <f t="shared" si="37"/>
        <v>Within Tolerance</v>
      </c>
    </row>
    <row r="364" spans="1:15" x14ac:dyDescent="0.3">
      <c r="A364" s="168">
        <v>46158</v>
      </c>
      <c r="B364" s="64">
        <v>46158.083333333299</v>
      </c>
      <c r="C364" s="142">
        <f t="shared" si="32"/>
        <v>46158.083333333299</v>
      </c>
      <c r="D364" s="19" t="s">
        <v>29</v>
      </c>
      <c r="E364" s="8" t="s">
        <v>10</v>
      </c>
      <c r="F364" s="7" t="s">
        <v>15</v>
      </c>
      <c r="G364" s="25" t="s">
        <v>93</v>
      </c>
      <c r="H364" s="26">
        <v>10.42</v>
      </c>
      <c r="I364" s="16">
        <v>10.4</v>
      </c>
      <c r="J364" s="42" t="str">
        <f t="shared" si="33"/>
        <v/>
      </c>
      <c r="K364" s="42" t="str">
        <f t="shared" si="34"/>
        <v/>
      </c>
      <c r="L364" s="42">
        <f t="shared" si="35"/>
        <v>-1.9999999999999574E-2</v>
      </c>
      <c r="M364" s="17" t="str">
        <f t="shared" si="36"/>
        <v/>
      </c>
      <c r="O364" s="17" t="str">
        <f t="shared" si="37"/>
        <v>Within Tolerance</v>
      </c>
    </row>
    <row r="365" spans="1:15" x14ac:dyDescent="0.3">
      <c r="A365" s="169">
        <v>46158</v>
      </c>
      <c r="B365" s="64">
        <v>46158.166666666701</v>
      </c>
      <c r="C365" s="142">
        <f t="shared" si="32"/>
        <v>46158.166666666701</v>
      </c>
      <c r="D365" s="19" t="s">
        <v>29</v>
      </c>
      <c r="E365" s="8" t="s">
        <v>10</v>
      </c>
      <c r="F365" s="7" t="s">
        <v>15</v>
      </c>
      <c r="G365" s="25" t="s">
        <v>93</v>
      </c>
      <c r="H365" s="26">
        <v>10.43</v>
      </c>
      <c r="I365" s="16">
        <v>10.36</v>
      </c>
      <c r="J365" s="42" t="str">
        <f t="shared" si="33"/>
        <v/>
      </c>
      <c r="K365" s="42" t="str">
        <f t="shared" si="34"/>
        <v/>
      </c>
      <c r="L365" s="42">
        <f t="shared" si="35"/>
        <v>-7.0000000000000284E-2</v>
      </c>
      <c r="M365" s="17" t="str">
        <f t="shared" si="36"/>
        <v/>
      </c>
      <c r="O365" s="17" t="str">
        <f t="shared" si="37"/>
        <v>Within Tolerance</v>
      </c>
    </row>
    <row r="366" spans="1:15" x14ac:dyDescent="0.3">
      <c r="A366" s="168">
        <v>46158</v>
      </c>
      <c r="B366" s="64">
        <v>46158.267361111102</v>
      </c>
      <c r="C366" s="142">
        <f t="shared" si="32"/>
        <v>46158.267361111102</v>
      </c>
      <c r="D366" s="19" t="s">
        <v>52</v>
      </c>
      <c r="E366" s="8" t="s">
        <v>17</v>
      </c>
      <c r="F366" s="7" t="s">
        <v>15</v>
      </c>
      <c r="G366" s="25" t="s">
        <v>93</v>
      </c>
      <c r="H366" s="26">
        <v>8.6999999999999993</v>
      </c>
      <c r="I366" s="16">
        <v>9.7899999999999991</v>
      </c>
      <c r="J366" s="42" t="str">
        <f t="shared" si="33"/>
        <v/>
      </c>
      <c r="K366" s="42" t="str">
        <f t="shared" si="34"/>
        <v/>
      </c>
      <c r="L366" s="42">
        <f t="shared" si="35"/>
        <v>1.0899999999999999</v>
      </c>
      <c r="M366" s="17" t="str">
        <f t="shared" si="36"/>
        <v/>
      </c>
      <c r="O366" s="17" t="str">
        <f t="shared" si="37"/>
        <v>Out of Tolerance</v>
      </c>
    </row>
    <row r="367" spans="1:15" x14ac:dyDescent="0.3">
      <c r="A367" s="179">
        <v>46157</v>
      </c>
      <c r="B367" s="65">
        <v>46157.520833333299</v>
      </c>
      <c r="C367" s="147">
        <f t="shared" si="32"/>
        <v>46157.520833333299</v>
      </c>
      <c r="D367" s="27" t="s">
        <v>55</v>
      </c>
      <c r="E367" s="8" t="s">
        <v>14</v>
      </c>
      <c r="F367" s="15" t="s">
        <v>19</v>
      </c>
      <c r="G367" s="16"/>
      <c r="H367" s="35">
        <v>13.09</v>
      </c>
      <c r="I367" s="16">
        <v>13.23</v>
      </c>
      <c r="J367" s="42" t="str">
        <f t="shared" si="33"/>
        <v/>
      </c>
      <c r="K367" s="42" t="str">
        <f t="shared" si="34"/>
        <v/>
      </c>
      <c r="L367" s="42">
        <f t="shared" si="35"/>
        <v>0.14000000000000057</v>
      </c>
      <c r="M367" s="17" t="str">
        <f t="shared" si="36"/>
        <v/>
      </c>
      <c r="O367" s="17" t="str">
        <f t="shared" si="37"/>
        <v>Within Tolerance</v>
      </c>
    </row>
    <row r="368" spans="1:15" x14ac:dyDescent="0.3">
      <c r="A368" s="181">
        <v>46157</v>
      </c>
      <c r="B368" s="66">
        <v>46157.555555555598</v>
      </c>
      <c r="C368" s="220">
        <f t="shared" si="32"/>
        <v>46157.555555555598</v>
      </c>
      <c r="D368" s="28" t="s">
        <v>18</v>
      </c>
      <c r="E368" s="8" t="s">
        <v>14</v>
      </c>
      <c r="F368" s="15" t="s">
        <v>19</v>
      </c>
      <c r="G368" s="16"/>
      <c r="H368" s="26">
        <v>13.67</v>
      </c>
      <c r="I368" s="16">
        <v>13.86</v>
      </c>
      <c r="J368" s="42" t="str">
        <f t="shared" si="33"/>
        <v/>
      </c>
      <c r="K368" s="42" t="str">
        <f t="shared" si="34"/>
        <v/>
      </c>
      <c r="L368" s="42">
        <f t="shared" si="35"/>
        <v>0.1899999999999995</v>
      </c>
      <c r="M368" s="17" t="str">
        <f t="shared" si="36"/>
        <v/>
      </c>
      <c r="O368" s="17" t="str">
        <f t="shared" si="37"/>
        <v>Within Tolerance</v>
      </c>
    </row>
    <row r="369" spans="1:15" x14ac:dyDescent="0.3">
      <c r="A369" s="173">
        <v>46157</v>
      </c>
      <c r="B369" s="89">
        <v>46157.451388888898</v>
      </c>
      <c r="C369" s="143">
        <f t="shared" si="32"/>
        <v>46157.451388888898</v>
      </c>
      <c r="D369" s="22" t="s">
        <v>49</v>
      </c>
      <c r="E369" s="8" t="s">
        <v>10</v>
      </c>
      <c r="F369" s="7" t="s">
        <v>24</v>
      </c>
      <c r="G369" s="8"/>
      <c r="H369" s="26">
        <v>9.1199999999999992</v>
      </c>
      <c r="I369" s="16">
        <v>9.31</v>
      </c>
      <c r="J369" s="42" t="str">
        <f t="shared" si="33"/>
        <v/>
      </c>
      <c r="K369" s="42" t="str">
        <f t="shared" si="34"/>
        <v/>
      </c>
      <c r="L369" s="42">
        <f t="shared" si="35"/>
        <v>0.19000000000000128</v>
      </c>
      <c r="M369" s="17" t="str">
        <f t="shared" si="36"/>
        <v/>
      </c>
      <c r="O369" s="17" t="str">
        <f t="shared" si="37"/>
        <v>Within Tolerance</v>
      </c>
    </row>
    <row r="370" spans="1:15" x14ac:dyDescent="0.3">
      <c r="A370" s="182">
        <v>46157</v>
      </c>
      <c r="B370" s="90">
        <v>46157.479166666701</v>
      </c>
      <c r="C370" s="221">
        <f t="shared" si="32"/>
        <v>46157.479166666701</v>
      </c>
      <c r="D370" s="29" t="s">
        <v>51</v>
      </c>
      <c r="E370" s="8" t="s">
        <v>10</v>
      </c>
      <c r="F370" s="7" t="s">
        <v>24</v>
      </c>
      <c r="G370" s="8"/>
      <c r="H370" s="26">
        <v>10.07</v>
      </c>
      <c r="I370" s="16">
        <v>9.99</v>
      </c>
      <c r="J370" s="42" t="str">
        <f t="shared" si="33"/>
        <v/>
      </c>
      <c r="K370" s="42" t="str">
        <f t="shared" si="34"/>
        <v/>
      </c>
      <c r="L370" s="42">
        <f t="shared" si="35"/>
        <v>-8.0000000000000071E-2</v>
      </c>
      <c r="M370" s="17" t="str">
        <f t="shared" si="36"/>
        <v/>
      </c>
      <c r="O370" s="17" t="str">
        <f t="shared" si="37"/>
        <v>Within Tolerance</v>
      </c>
    </row>
    <row r="371" spans="1:15" x14ac:dyDescent="0.3">
      <c r="A371" s="183">
        <v>46157</v>
      </c>
      <c r="B371" s="91">
        <v>46157.715277777803</v>
      </c>
      <c r="C371" s="222">
        <f t="shared" si="32"/>
        <v>46157.715277777803</v>
      </c>
      <c r="D371" s="23" t="s">
        <v>50</v>
      </c>
      <c r="E371" s="8" t="s">
        <v>10</v>
      </c>
      <c r="F371" s="7" t="s">
        <v>24</v>
      </c>
      <c r="G371" s="8"/>
      <c r="H371" s="26">
        <v>9.81</v>
      </c>
      <c r="I371" s="16">
        <v>9.98</v>
      </c>
      <c r="J371" s="42" t="str">
        <f t="shared" si="33"/>
        <v/>
      </c>
      <c r="K371" s="42" t="str">
        <f t="shared" si="34"/>
        <v/>
      </c>
      <c r="L371" s="42">
        <f t="shared" si="35"/>
        <v>0.16999999999999993</v>
      </c>
      <c r="M371" s="17" t="str">
        <f t="shared" si="36"/>
        <v/>
      </c>
      <c r="O371" s="17" t="str">
        <f t="shared" si="37"/>
        <v>Within Tolerance</v>
      </c>
    </row>
    <row r="372" spans="1:15" x14ac:dyDescent="0.3">
      <c r="A372" s="178">
        <v>46157</v>
      </c>
      <c r="B372" s="90">
        <v>46157.427083333336</v>
      </c>
      <c r="C372" s="147">
        <f t="shared" si="32"/>
        <v>46157.427083333336</v>
      </c>
      <c r="D372" s="33" t="s">
        <v>18</v>
      </c>
      <c r="E372" s="8" t="s">
        <v>14</v>
      </c>
      <c r="F372" s="15" t="s">
        <v>19</v>
      </c>
      <c r="G372" s="8">
        <v>13.45</v>
      </c>
      <c r="H372" s="16">
        <v>13.7</v>
      </c>
      <c r="I372" s="16">
        <v>13.84</v>
      </c>
      <c r="J372" s="42">
        <f t="shared" si="33"/>
        <v>0.25</v>
      </c>
      <c r="K372" s="42">
        <f t="shared" si="34"/>
        <v>0.39000000000000057</v>
      </c>
      <c r="L372" s="42">
        <f t="shared" si="35"/>
        <v>0.14000000000000057</v>
      </c>
      <c r="M372" s="17" t="str">
        <f t="shared" si="36"/>
        <v>Out of Tolerance</v>
      </c>
      <c r="O372" s="17" t="str">
        <f t="shared" si="37"/>
        <v>Within Tolerance</v>
      </c>
    </row>
    <row r="373" spans="1:15" x14ac:dyDescent="0.3">
      <c r="A373" s="177">
        <v>46156</v>
      </c>
      <c r="B373" s="91">
        <v>46157.565972222219</v>
      </c>
      <c r="C373" s="144">
        <f t="shared" si="32"/>
        <v>46156.565972222219</v>
      </c>
      <c r="D373" s="28" t="s">
        <v>18</v>
      </c>
      <c r="E373" s="8" t="s">
        <v>14</v>
      </c>
      <c r="F373" s="15" t="s">
        <v>19</v>
      </c>
      <c r="G373" s="8">
        <v>13.75</v>
      </c>
      <c r="H373" s="16">
        <v>13.51</v>
      </c>
      <c r="I373" s="16">
        <v>13.44</v>
      </c>
      <c r="J373" s="42">
        <f t="shared" si="33"/>
        <v>-0.24000000000000021</v>
      </c>
      <c r="K373" s="42">
        <f t="shared" si="34"/>
        <v>-0.3100000000000005</v>
      </c>
      <c r="L373" s="42">
        <f t="shared" si="35"/>
        <v>-7.0000000000000284E-2</v>
      </c>
      <c r="M373" s="17" t="str">
        <f t="shared" si="36"/>
        <v>Out of Tolerance</v>
      </c>
      <c r="O373" s="17" t="str">
        <f t="shared" si="37"/>
        <v>Within Tolerance</v>
      </c>
    </row>
    <row r="374" spans="1:15" x14ac:dyDescent="0.3">
      <c r="A374" s="170">
        <v>46158</v>
      </c>
      <c r="B374" s="92">
        <v>46158.333333333299</v>
      </c>
      <c r="C374" s="217">
        <f t="shared" si="32"/>
        <v>46158.333333333299</v>
      </c>
      <c r="D374" s="19" t="s">
        <v>35</v>
      </c>
      <c r="E374" s="8" t="s">
        <v>14</v>
      </c>
      <c r="F374" s="7" t="s">
        <v>11</v>
      </c>
      <c r="G374" s="25" t="s">
        <v>93</v>
      </c>
      <c r="H374" s="26">
        <v>12.89</v>
      </c>
      <c r="I374" s="16">
        <v>13.11</v>
      </c>
      <c r="J374" s="42" t="str">
        <f t="shared" si="33"/>
        <v/>
      </c>
      <c r="K374" s="42" t="str">
        <f t="shared" si="34"/>
        <v/>
      </c>
      <c r="L374" s="42">
        <f t="shared" si="35"/>
        <v>0.21999999999999886</v>
      </c>
      <c r="M374" s="17" t="str">
        <f t="shared" si="36"/>
        <v/>
      </c>
      <c r="O374" s="17" t="str">
        <f t="shared" si="37"/>
        <v>Out of Tolerance</v>
      </c>
    </row>
    <row r="375" spans="1:15" x14ac:dyDescent="0.3">
      <c r="A375" s="171">
        <v>46158</v>
      </c>
      <c r="B375" s="92">
        <v>46158.416666666701</v>
      </c>
      <c r="C375" s="217">
        <f t="shared" si="32"/>
        <v>46158.416666666701</v>
      </c>
      <c r="D375" s="19" t="s">
        <v>35</v>
      </c>
      <c r="E375" s="8" t="s">
        <v>14</v>
      </c>
      <c r="F375" s="7" t="s">
        <v>11</v>
      </c>
      <c r="G375" s="25" t="s">
        <v>93</v>
      </c>
      <c r="H375" s="26">
        <v>12.84</v>
      </c>
      <c r="I375" s="16">
        <v>12.92</v>
      </c>
      <c r="J375" s="42" t="str">
        <f t="shared" si="33"/>
        <v/>
      </c>
      <c r="K375" s="42" t="str">
        <f t="shared" si="34"/>
        <v/>
      </c>
      <c r="L375" s="42">
        <f t="shared" si="35"/>
        <v>8.0000000000000071E-2</v>
      </c>
      <c r="M375" s="17" t="str">
        <f t="shared" si="36"/>
        <v/>
      </c>
      <c r="O375" s="17" t="str">
        <f t="shared" si="37"/>
        <v>Within Tolerance</v>
      </c>
    </row>
    <row r="376" spans="1:15" x14ac:dyDescent="0.3">
      <c r="A376" s="170">
        <v>46158</v>
      </c>
      <c r="B376" s="92">
        <v>46158.5</v>
      </c>
      <c r="C376" s="217">
        <f t="shared" si="32"/>
        <v>46158.5</v>
      </c>
      <c r="D376" s="19" t="s">
        <v>35</v>
      </c>
      <c r="E376" s="8" t="s">
        <v>14</v>
      </c>
      <c r="F376" s="7" t="s">
        <v>11</v>
      </c>
      <c r="G376" s="25" t="s">
        <v>93</v>
      </c>
      <c r="H376" s="26">
        <v>12.93</v>
      </c>
      <c r="I376" s="16">
        <v>13.24</v>
      </c>
      <c r="J376" s="42" t="str">
        <f t="shared" si="33"/>
        <v/>
      </c>
      <c r="K376" s="42" t="str">
        <f t="shared" si="34"/>
        <v/>
      </c>
      <c r="L376" s="42">
        <f t="shared" si="35"/>
        <v>0.3100000000000005</v>
      </c>
      <c r="M376" s="17" t="str">
        <f t="shared" si="36"/>
        <v/>
      </c>
      <c r="O376" s="17" t="str">
        <f t="shared" si="37"/>
        <v>Out of Tolerance</v>
      </c>
    </row>
    <row r="377" spans="1:15" x14ac:dyDescent="0.3">
      <c r="A377" s="171">
        <v>46158</v>
      </c>
      <c r="B377" s="92">
        <v>46158.583333333299</v>
      </c>
      <c r="C377" s="217">
        <f t="shared" si="32"/>
        <v>46158.583333333299</v>
      </c>
      <c r="D377" s="19" t="s">
        <v>35</v>
      </c>
      <c r="E377" s="8" t="s">
        <v>14</v>
      </c>
      <c r="F377" s="7" t="s">
        <v>11</v>
      </c>
      <c r="G377" s="25" t="s">
        <v>93</v>
      </c>
      <c r="H377" s="26">
        <v>12.93</v>
      </c>
      <c r="I377" s="16">
        <v>13</v>
      </c>
      <c r="J377" s="42" t="str">
        <f t="shared" si="33"/>
        <v/>
      </c>
      <c r="K377" s="42" t="str">
        <f t="shared" si="34"/>
        <v/>
      </c>
      <c r="L377" s="42">
        <f t="shared" si="35"/>
        <v>7.0000000000000284E-2</v>
      </c>
      <c r="M377" s="17" t="str">
        <f t="shared" si="36"/>
        <v/>
      </c>
      <c r="O377" s="17" t="str">
        <f t="shared" si="37"/>
        <v>Within Tolerance</v>
      </c>
    </row>
    <row r="378" spans="1:15" x14ac:dyDescent="0.3">
      <c r="A378" s="170">
        <v>46158</v>
      </c>
      <c r="B378" s="92">
        <v>46158.708333333299</v>
      </c>
      <c r="C378" s="217">
        <f t="shared" si="32"/>
        <v>46158.708333333299</v>
      </c>
      <c r="D378" s="19" t="s">
        <v>37</v>
      </c>
      <c r="E378" s="8" t="s">
        <v>14</v>
      </c>
      <c r="F378" s="7" t="s">
        <v>11</v>
      </c>
      <c r="G378" s="25" t="s">
        <v>93</v>
      </c>
      <c r="H378" s="26">
        <v>12.53</v>
      </c>
      <c r="I378" s="16">
        <v>12.72</v>
      </c>
      <c r="J378" s="42" t="str">
        <f t="shared" si="33"/>
        <v/>
      </c>
      <c r="K378" s="42" t="str">
        <f t="shared" si="34"/>
        <v/>
      </c>
      <c r="L378" s="42">
        <f t="shared" si="35"/>
        <v>0.19000000000000128</v>
      </c>
      <c r="M378" s="17" t="str">
        <f t="shared" si="36"/>
        <v/>
      </c>
      <c r="O378" s="17" t="str">
        <f t="shared" si="37"/>
        <v>Within Tolerance</v>
      </c>
    </row>
    <row r="379" spans="1:15" x14ac:dyDescent="0.3">
      <c r="A379" s="171">
        <v>46158</v>
      </c>
      <c r="B379" s="92">
        <v>46158.770833333299</v>
      </c>
      <c r="C379" s="217">
        <f t="shared" si="32"/>
        <v>46158.770833333299</v>
      </c>
      <c r="D379" s="19" t="s">
        <v>37</v>
      </c>
      <c r="E379" s="8" t="s">
        <v>14</v>
      </c>
      <c r="F379" s="7" t="s">
        <v>11</v>
      </c>
      <c r="G379" s="25" t="s">
        <v>93</v>
      </c>
      <c r="H379" s="26">
        <v>12.6</v>
      </c>
      <c r="I379" s="16">
        <v>12.67</v>
      </c>
      <c r="J379" s="42" t="str">
        <f t="shared" si="33"/>
        <v/>
      </c>
      <c r="K379" s="42" t="str">
        <f t="shared" si="34"/>
        <v/>
      </c>
      <c r="L379" s="42">
        <f t="shared" si="35"/>
        <v>7.0000000000000284E-2</v>
      </c>
      <c r="M379" s="17" t="str">
        <f t="shared" si="36"/>
        <v/>
      </c>
      <c r="O379" s="17" t="str">
        <f t="shared" si="37"/>
        <v>Within Tolerance</v>
      </c>
    </row>
    <row r="380" spans="1:15" x14ac:dyDescent="0.3">
      <c r="A380" s="170">
        <v>46158</v>
      </c>
      <c r="B380" s="92">
        <v>46158.833333333299</v>
      </c>
      <c r="C380" s="217">
        <f t="shared" si="32"/>
        <v>46158.833333333299</v>
      </c>
      <c r="D380" s="19" t="s">
        <v>37</v>
      </c>
      <c r="E380" s="8" t="s">
        <v>14</v>
      </c>
      <c r="F380" s="7" t="s">
        <v>11</v>
      </c>
      <c r="G380" s="25" t="s">
        <v>93</v>
      </c>
      <c r="H380" s="26">
        <v>12.64</v>
      </c>
      <c r="I380" s="16">
        <v>12.6</v>
      </c>
      <c r="J380" s="42" t="str">
        <f t="shared" si="33"/>
        <v/>
      </c>
      <c r="K380" s="42" t="str">
        <f t="shared" si="34"/>
        <v/>
      </c>
      <c r="L380" s="42">
        <f t="shared" si="35"/>
        <v>-4.0000000000000924E-2</v>
      </c>
      <c r="M380" s="17" t="str">
        <f t="shared" si="36"/>
        <v/>
      </c>
      <c r="O380" s="17" t="str">
        <f t="shared" si="37"/>
        <v>Within Tolerance</v>
      </c>
    </row>
    <row r="381" spans="1:15" x14ac:dyDescent="0.3">
      <c r="A381" s="171">
        <v>46158</v>
      </c>
      <c r="B381" s="92">
        <v>46158.895833333299</v>
      </c>
      <c r="C381" s="217">
        <f t="shared" si="32"/>
        <v>46158.895833333299</v>
      </c>
      <c r="D381" s="19" t="s">
        <v>37</v>
      </c>
      <c r="E381" s="8" t="s">
        <v>14</v>
      </c>
      <c r="F381" s="7" t="s">
        <v>11</v>
      </c>
      <c r="G381" s="25" t="s">
        <v>93</v>
      </c>
      <c r="H381" s="26">
        <v>12.64</v>
      </c>
      <c r="I381" s="16">
        <v>12.7</v>
      </c>
      <c r="J381" s="42" t="str">
        <f t="shared" si="33"/>
        <v/>
      </c>
      <c r="K381" s="42" t="str">
        <f t="shared" si="34"/>
        <v/>
      </c>
      <c r="L381" s="42">
        <f t="shared" si="35"/>
        <v>5.9999999999998721E-2</v>
      </c>
      <c r="M381" s="17" t="str">
        <f t="shared" si="36"/>
        <v/>
      </c>
      <c r="O381" s="17" t="str">
        <f t="shared" si="37"/>
        <v>Within Tolerance</v>
      </c>
    </row>
    <row r="382" spans="1:15" x14ac:dyDescent="0.3">
      <c r="A382" s="170">
        <v>46158</v>
      </c>
      <c r="B382" s="92">
        <v>46159</v>
      </c>
      <c r="C382" s="217">
        <f t="shared" si="32"/>
        <v>46158</v>
      </c>
      <c r="D382" s="19" t="s">
        <v>37</v>
      </c>
      <c r="E382" s="8" t="s">
        <v>14</v>
      </c>
      <c r="F382" s="7" t="s">
        <v>11</v>
      </c>
      <c r="G382" s="25" t="s">
        <v>93</v>
      </c>
      <c r="H382" s="26">
        <v>12.59</v>
      </c>
      <c r="I382" s="16">
        <v>12.6</v>
      </c>
      <c r="J382" s="42" t="str">
        <f t="shared" si="33"/>
        <v/>
      </c>
      <c r="K382" s="42" t="str">
        <f t="shared" si="34"/>
        <v/>
      </c>
      <c r="L382" s="42">
        <f t="shared" si="35"/>
        <v>9.9999999999997868E-3</v>
      </c>
      <c r="M382" s="17" t="str">
        <f t="shared" si="36"/>
        <v/>
      </c>
      <c r="O382" s="17" t="str">
        <f t="shared" si="37"/>
        <v>Within Tolerance</v>
      </c>
    </row>
    <row r="383" spans="1:15" x14ac:dyDescent="0.3">
      <c r="A383" s="171">
        <v>46159</v>
      </c>
      <c r="B383" s="92">
        <v>46159.083333333299</v>
      </c>
      <c r="C383" s="217">
        <f t="shared" si="32"/>
        <v>46159.083333333299</v>
      </c>
      <c r="D383" s="19" t="s">
        <v>37</v>
      </c>
      <c r="E383" s="8" t="s">
        <v>14</v>
      </c>
      <c r="F383" s="7" t="s">
        <v>11</v>
      </c>
      <c r="G383" s="25" t="s">
        <v>93</v>
      </c>
      <c r="H383" s="26">
        <v>12.65</v>
      </c>
      <c r="I383" s="16">
        <v>12.55</v>
      </c>
      <c r="J383" s="42" t="str">
        <f t="shared" si="33"/>
        <v/>
      </c>
      <c r="K383" s="42" t="str">
        <f t="shared" si="34"/>
        <v/>
      </c>
      <c r="L383" s="42">
        <f t="shared" si="35"/>
        <v>-9.9999999999999645E-2</v>
      </c>
      <c r="M383" s="17" t="str">
        <f t="shared" si="36"/>
        <v/>
      </c>
      <c r="O383" s="17" t="str">
        <f t="shared" si="37"/>
        <v>Within Tolerance</v>
      </c>
    </row>
    <row r="384" spans="1:15" x14ac:dyDescent="0.3">
      <c r="A384" s="170">
        <v>46159</v>
      </c>
      <c r="B384" s="92">
        <v>46159.256944444402</v>
      </c>
      <c r="C384" s="217">
        <f t="shared" si="32"/>
        <v>46159.256944444402</v>
      </c>
      <c r="D384" s="19" t="s">
        <v>41</v>
      </c>
      <c r="E384" s="8" t="s">
        <v>10</v>
      </c>
      <c r="F384" s="8" t="s">
        <v>11</v>
      </c>
      <c r="G384" s="25" t="s">
        <v>93</v>
      </c>
      <c r="H384" s="26">
        <v>9.56</v>
      </c>
      <c r="I384" s="16">
        <v>9.57</v>
      </c>
      <c r="J384" s="42" t="str">
        <f t="shared" si="33"/>
        <v/>
      </c>
      <c r="K384" s="42" t="str">
        <f t="shared" si="34"/>
        <v/>
      </c>
      <c r="L384" s="42">
        <f t="shared" si="35"/>
        <v>9.9999999999997868E-3</v>
      </c>
      <c r="M384" s="17" t="str">
        <f t="shared" si="36"/>
        <v/>
      </c>
      <c r="O384" s="17" t="str">
        <f t="shared" si="37"/>
        <v>Within Tolerance</v>
      </c>
    </row>
    <row r="385" spans="1:15" x14ac:dyDescent="0.3">
      <c r="A385" s="169">
        <v>46158</v>
      </c>
      <c r="B385" s="64">
        <v>46158.333333333299</v>
      </c>
      <c r="C385" s="142">
        <f t="shared" si="32"/>
        <v>46158.333333333299</v>
      </c>
      <c r="D385" s="19" t="s">
        <v>52</v>
      </c>
      <c r="E385" s="8" t="s">
        <v>17</v>
      </c>
      <c r="F385" s="7" t="s">
        <v>15</v>
      </c>
      <c r="G385" s="25" t="s">
        <v>93</v>
      </c>
      <c r="H385" s="26">
        <v>8.86</v>
      </c>
      <c r="I385" s="16">
        <v>8.74</v>
      </c>
      <c r="J385" s="42" t="str">
        <f t="shared" si="33"/>
        <v/>
      </c>
      <c r="K385" s="42" t="str">
        <f t="shared" si="34"/>
        <v/>
      </c>
      <c r="L385" s="42">
        <f t="shared" si="35"/>
        <v>-0.11999999999999922</v>
      </c>
      <c r="M385" s="17" t="str">
        <f t="shared" si="36"/>
        <v/>
      </c>
      <c r="O385" s="17" t="str">
        <f t="shared" si="37"/>
        <v>Within Tolerance</v>
      </c>
    </row>
    <row r="386" spans="1:15" x14ac:dyDescent="0.3">
      <c r="A386" s="168">
        <v>46158</v>
      </c>
      <c r="B386" s="64">
        <v>46158.40625</v>
      </c>
      <c r="C386" s="142">
        <f t="shared" ref="C386:C449" si="38">A386+MOD(B386,1)</f>
        <v>46158.40625</v>
      </c>
      <c r="D386" s="19" t="s">
        <v>40</v>
      </c>
      <c r="E386" s="8" t="s">
        <v>17</v>
      </c>
      <c r="F386" s="7" t="s">
        <v>15</v>
      </c>
      <c r="G386" s="25" t="s">
        <v>93</v>
      </c>
      <c r="H386" s="26">
        <v>8.64</v>
      </c>
      <c r="I386" s="16">
        <v>8.6</v>
      </c>
      <c r="J386" s="42" t="str">
        <f t="shared" si="33"/>
        <v/>
      </c>
      <c r="K386" s="42" t="str">
        <f t="shared" si="34"/>
        <v/>
      </c>
      <c r="L386" s="42">
        <f t="shared" si="35"/>
        <v>-4.0000000000000924E-2</v>
      </c>
      <c r="M386" s="17" t="str">
        <f t="shared" si="36"/>
        <v/>
      </c>
      <c r="O386" s="17" t="str">
        <f t="shared" si="37"/>
        <v>Within Tolerance</v>
      </c>
    </row>
    <row r="387" spans="1:15" x14ac:dyDescent="0.3">
      <c r="A387" s="169">
        <v>46158</v>
      </c>
      <c r="B387" s="64">
        <v>46158.5</v>
      </c>
      <c r="C387" s="142">
        <f t="shared" si="38"/>
        <v>46158.5</v>
      </c>
      <c r="D387" s="19" t="s">
        <v>40</v>
      </c>
      <c r="E387" s="8" t="s">
        <v>17</v>
      </c>
      <c r="F387" s="7" t="s">
        <v>15</v>
      </c>
      <c r="G387" s="25" t="s">
        <v>93</v>
      </c>
      <c r="H387" s="26">
        <v>8.7100000000000009</v>
      </c>
      <c r="I387" s="16">
        <v>8.64</v>
      </c>
      <c r="J387" s="42" t="str">
        <f t="shared" ref="J387:J450" si="39">IF(OR(TRIM(G387&amp;"")="",TRIM(H387&amp;"")="",G387="-",H387="-"),"",H387-G387)</f>
        <v/>
      </c>
      <c r="K387" s="42" t="str">
        <f t="shared" ref="K387:K450" si="40">IF(OR(TRIM(G387&amp;"")="",TRIM(I387&amp;"")="",G387="-",I387="-"),"",I387-G387)</f>
        <v/>
      </c>
      <c r="L387" s="42">
        <f t="shared" ref="L387:L450" si="41">IF(OR(TRIM(H387&amp;"")="",TRIM(I387&amp;"")="",H387="-",I387="-"),"",I387-H387)</f>
        <v>-7.0000000000000284E-2</v>
      </c>
      <c r="M387" s="17" t="str">
        <f t="shared" ref="M387:M450" si="42">IF(J387="","",IF(ABS(J387)&lt;=0.2,"Within Tolerance","Out of Tolerance"))</f>
        <v/>
      </c>
      <c r="O387" s="17" t="str">
        <f t="shared" ref="O387:O450" si="43">IF(L387="","",IF(ABS(L387)&lt;=0.2,"Within Tolerance","Out of Tolerance"))</f>
        <v>Within Tolerance</v>
      </c>
    </row>
    <row r="388" spans="1:15" x14ac:dyDescent="0.3">
      <c r="A388" s="168">
        <v>46158</v>
      </c>
      <c r="B388" s="64">
        <v>46158.583333333299</v>
      </c>
      <c r="C388" s="142">
        <f t="shared" si="38"/>
        <v>46158.583333333299</v>
      </c>
      <c r="D388" s="19" t="s">
        <v>40</v>
      </c>
      <c r="E388" s="8" t="s">
        <v>17</v>
      </c>
      <c r="F388" s="7" t="s">
        <v>15</v>
      </c>
      <c r="G388" s="25" t="s">
        <v>93</v>
      </c>
      <c r="H388" s="26">
        <v>8.74</v>
      </c>
      <c r="I388" s="16">
        <v>8.64</v>
      </c>
      <c r="J388" s="42" t="str">
        <f t="shared" si="39"/>
        <v/>
      </c>
      <c r="K388" s="42" t="str">
        <f t="shared" si="40"/>
        <v/>
      </c>
      <c r="L388" s="42">
        <f t="shared" si="41"/>
        <v>-9.9999999999999645E-2</v>
      </c>
      <c r="M388" s="17" t="str">
        <f t="shared" si="42"/>
        <v/>
      </c>
      <c r="O388" s="17" t="str">
        <f t="shared" si="43"/>
        <v>Within Tolerance</v>
      </c>
    </row>
    <row r="389" spans="1:15" x14ac:dyDescent="0.3">
      <c r="A389" s="169">
        <v>46158</v>
      </c>
      <c r="B389" s="64">
        <v>46158.680555555598</v>
      </c>
      <c r="C389" s="142">
        <f t="shared" si="38"/>
        <v>46158.680555555598</v>
      </c>
      <c r="D389" s="19" t="s">
        <v>40</v>
      </c>
      <c r="E389" s="8" t="s">
        <v>17</v>
      </c>
      <c r="F389" s="7" t="s">
        <v>15</v>
      </c>
      <c r="G389" s="25" t="s">
        <v>93</v>
      </c>
      <c r="H389" s="26">
        <v>8.7100000000000009</v>
      </c>
      <c r="I389" s="16">
        <v>8.74</v>
      </c>
      <c r="J389" s="42" t="str">
        <f t="shared" si="39"/>
        <v/>
      </c>
      <c r="K389" s="42" t="str">
        <f t="shared" si="40"/>
        <v/>
      </c>
      <c r="L389" s="42">
        <f t="shared" si="41"/>
        <v>2.9999999999999361E-2</v>
      </c>
      <c r="M389" s="17" t="str">
        <f t="shared" si="42"/>
        <v/>
      </c>
      <c r="O389" s="17" t="str">
        <f t="shared" si="43"/>
        <v>Within Tolerance</v>
      </c>
    </row>
    <row r="390" spans="1:15" x14ac:dyDescent="0.3">
      <c r="A390" s="168">
        <v>46158</v>
      </c>
      <c r="B390" s="64">
        <v>46158.784722222197</v>
      </c>
      <c r="C390" s="142">
        <f t="shared" si="38"/>
        <v>46158.784722222197</v>
      </c>
      <c r="D390" s="19" t="s">
        <v>16</v>
      </c>
      <c r="E390" s="8" t="s">
        <v>17</v>
      </c>
      <c r="F390" s="7" t="s">
        <v>15</v>
      </c>
      <c r="G390" s="25" t="s">
        <v>93</v>
      </c>
      <c r="H390" s="26">
        <v>8.99</v>
      </c>
      <c r="I390" s="16">
        <v>8.9600000000000009</v>
      </c>
      <c r="J390" s="42" t="str">
        <f t="shared" si="39"/>
        <v/>
      </c>
      <c r="K390" s="42" t="str">
        <f t="shared" si="40"/>
        <v/>
      </c>
      <c r="L390" s="42">
        <f t="shared" si="41"/>
        <v>-2.9999999999999361E-2</v>
      </c>
      <c r="M390" s="17" t="str">
        <f t="shared" si="42"/>
        <v/>
      </c>
      <c r="O390" s="17" t="str">
        <f t="shared" si="43"/>
        <v>Within Tolerance</v>
      </c>
    </row>
    <row r="391" spans="1:15" x14ac:dyDescent="0.3">
      <c r="A391" s="169">
        <v>46158</v>
      </c>
      <c r="B391" s="64">
        <v>46158.833333333299</v>
      </c>
      <c r="C391" s="142">
        <f t="shared" si="38"/>
        <v>46158.833333333299</v>
      </c>
      <c r="D391" s="19" t="s">
        <v>16</v>
      </c>
      <c r="E391" s="8" t="s">
        <v>17</v>
      </c>
      <c r="F391" s="7" t="s">
        <v>15</v>
      </c>
      <c r="G391" s="25" t="s">
        <v>93</v>
      </c>
      <c r="H391" s="26">
        <v>9.02</v>
      </c>
      <c r="I391" s="16">
        <v>9.11</v>
      </c>
      <c r="J391" s="42" t="str">
        <f t="shared" si="39"/>
        <v/>
      </c>
      <c r="K391" s="42" t="str">
        <f t="shared" si="40"/>
        <v/>
      </c>
      <c r="L391" s="42">
        <f t="shared" si="41"/>
        <v>8.9999999999999858E-2</v>
      </c>
      <c r="M391" s="17" t="str">
        <f t="shared" si="42"/>
        <v/>
      </c>
      <c r="O391" s="17" t="str">
        <f t="shared" si="43"/>
        <v>Within Tolerance</v>
      </c>
    </row>
    <row r="392" spans="1:15" x14ac:dyDescent="0.3">
      <c r="A392" s="168">
        <v>46158</v>
      </c>
      <c r="B392" s="64">
        <v>46158.916666666701</v>
      </c>
      <c r="C392" s="142">
        <f t="shared" si="38"/>
        <v>46158.916666666701</v>
      </c>
      <c r="D392" s="19" t="s">
        <v>16</v>
      </c>
      <c r="E392" s="8" t="s">
        <v>17</v>
      </c>
      <c r="F392" s="7" t="s">
        <v>15</v>
      </c>
      <c r="G392" s="25" t="s">
        <v>93</v>
      </c>
      <c r="H392" s="26">
        <v>9.08</v>
      </c>
      <c r="I392" s="16">
        <v>8.9700000000000006</v>
      </c>
      <c r="J392" s="42" t="str">
        <f t="shared" si="39"/>
        <v/>
      </c>
      <c r="K392" s="42" t="str">
        <f t="shared" si="40"/>
        <v/>
      </c>
      <c r="L392" s="42">
        <f t="shared" si="41"/>
        <v>-0.10999999999999943</v>
      </c>
      <c r="M392" s="17" t="str">
        <f t="shared" si="42"/>
        <v/>
      </c>
      <c r="O392" s="17" t="str">
        <f t="shared" si="43"/>
        <v>Within Tolerance</v>
      </c>
    </row>
    <row r="393" spans="1:15" x14ac:dyDescent="0.3">
      <c r="A393" s="169">
        <v>46158</v>
      </c>
      <c r="B393" s="64">
        <v>46159</v>
      </c>
      <c r="C393" s="142">
        <f t="shared" si="38"/>
        <v>46158</v>
      </c>
      <c r="D393" s="19" t="s">
        <v>16</v>
      </c>
      <c r="E393" s="8" t="s">
        <v>17</v>
      </c>
      <c r="F393" s="7" t="s">
        <v>15</v>
      </c>
      <c r="G393" s="16"/>
      <c r="H393" s="26">
        <v>8.9</v>
      </c>
      <c r="I393" s="16">
        <v>8.92</v>
      </c>
      <c r="J393" s="42" t="str">
        <f t="shared" si="39"/>
        <v/>
      </c>
      <c r="K393" s="42" t="str">
        <f t="shared" si="40"/>
        <v/>
      </c>
      <c r="L393" s="42">
        <f t="shared" si="41"/>
        <v>1.9999999999999574E-2</v>
      </c>
      <c r="M393" s="17" t="str">
        <f t="shared" si="42"/>
        <v/>
      </c>
      <c r="O393" s="17" t="str">
        <f t="shared" si="43"/>
        <v>Within Tolerance</v>
      </c>
    </row>
    <row r="394" spans="1:15" x14ac:dyDescent="0.3">
      <c r="A394" s="168">
        <v>46159</v>
      </c>
      <c r="B394" s="64">
        <v>46159.083333333299</v>
      </c>
      <c r="C394" s="142">
        <f t="shared" si="38"/>
        <v>46159.083333333299</v>
      </c>
      <c r="D394" s="19" t="s">
        <v>41</v>
      </c>
      <c r="E394" s="8" t="s">
        <v>10</v>
      </c>
      <c r="F394" s="7" t="s">
        <v>15</v>
      </c>
      <c r="G394" s="25" t="s">
        <v>93</v>
      </c>
      <c r="H394" s="26">
        <v>9.64</v>
      </c>
      <c r="I394" s="16">
        <v>9.6</v>
      </c>
      <c r="J394" s="42" t="str">
        <f t="shared" si="39"/>
        <v/>
      </c>
      <c r="K394" s="42" t="str">
        <f t="shared" si="40"/>
        <v/>
      </c>
      <c r="L394" s="42">
        <f t="shared" si="41"/>
        <v>-4.0000000000000924E-2</v>
      </c>
      <c r="M394" s="17" t="str">
        <f t="shared" si="42"/>
        <v/>
      </c>
      <c r="O394" s="17" t="str">
        <f t="shared" si="43"/>
        <v>Within Tolerance</v>
      </c>
    </row>
    <row r="395" spans="1:15" x14ac:dyDescent="0.3">
      <c r="A395" s="169">
        <v>46159</v>
      </c>
      <c r="B395" s="64">
        <v>46159.125</v>
      </c>
      <c r="C395" s="142">
        <f t="shared" si="38"/>
        <v>46159.125</v>
      </c>
      <c r="D395" s="19" t="s">
        <v>41</v>
      </c>
      <c r="E395" s="8" t="s">
        <v>10</v>
      </c>
      <c r="F395" s="7" t="s">
        <v>15</v>
      </c>
      <c r="G395" s="25" t="s">
        <v>93</v>
      </c>
      <c r="H395" s="26">
        <v>9.4</v>
      </c>
      <c r="I395" s="16">
        <v>9.4700000000000006</v>
      </c>
      <c r="J395" s="42" t="str">
        <f t="shared" si="39"/>
        <v/>
      </c>
      <c r="K395" s="42" t="str">
        <f t="shared" si="40"/>
        <v/>
      </c>
      <c r="L395" s="42">
        <f t="shared" si="41"/>
        <v>7.0000000000000284E-2</v>
      </c>
      <c r="M395" s="17" t="str">
        <f t="shared" si="42"/>
        <v/>
      </c>
      <c r="O395" s="17" t="str">
        <f t="shared" si="43"/>
        <v>Within Tolerance</v>
      </c>
    </row>
    <row r="396" spans="1:15" x14ac:dyDescent="0.3">
      <c r="A396" s="168">
        <v>46159</v>
      </c>
      <c r="B396" s="64">
        <v>46159.166666666701</v>
      </c>
      <c r="C396" s="142">
        <f t="shared" si="38"/>
        <v>46159.166666666701</v>
      </c>
      <c r="D396" s="19" t="s">
        <v>41</v>
      </c>
      <c r="E396" s="8" t="s">
        <v>10</v>
      </c>
      <c r="F396" s="7" t="s">
        <v>15</v>
      </c>
      <c r="G396" s="25" t="s">
        <v>93</v>
      </c>
      <c r="H396" s="26">
        <v>9.6300000000000008</v>
      </c>
      <c r="I396" s="16">
        <v>9.5399999999999991</v>
      </c>
      <c r="J396" s="42" t="str">
        <f t="shared" si="39"/>
        <v/>
      </c>
      <c r="K396" s="42" t="str">
        <f t="shared" si="40"/>
        <v/>
      </c>
      <c r="L396" s="42">
        <f t="shared" si="41"/>
        <v>-9.0000000000001634E-2</v>
      </c>
      <c r="M396" s="17" t="str">
        <f t="shared" si="42"/>
        <v/>
      </c>
      <c r="O396" s="17" t="str">
        <f t="shared" si="43"/>
        <v>Within Tolerance</v>
      </c>
    </row>
    <row r="397" spans="1:15" x14ac:dyDescent="0.3">
      <c r="A397" s="169">
        <v>46159</v>
      </c>
      <c r="B397" s="64">
        <v>46159.25</v>
      </c>
      <c r="C397" s="142">
        <f t="shared" si="38"/>
        <v>46159.25</v>
      </c>
      <c r="D397" s="19" t="s">
        <v>41</v>
      </c>
      <c r="E397" s="8" t="s">
        <v>10</v>
      </c>
      <c r="F397" s="7" t="s">
        <v>15</v>
      </c>
      <c r="G397" s="25" t="s">
        <v>93</v>
      </c>
      <c r="H397" s="26">
        <v>9.56</v>
      </c>
      <c r="I397" s="16">
        <v>9.5399999999999991</v>
      </c>
      <c r="J397" s="42" t="str">
        <f t="shared" si="39"/>
        <v/>
      </c>
      <c r="K397" s="42" t="str">
        <f t="shared" si="40"/>
        <v/>
      </c>
      <c r="L397" s="42">
        <f t="shared" si="41"/>
        <v>-2.000000000000135E-2</v>
      </c>
      <c r="M397" s="17" t="str">
        <f t="shared" si="42"/>
        <v/>
      </c>
      <c r="O397" s="17" t="str">
        <f t="shared" si="43"/>
        <v>Within Tolerance</v>
      </c>
    </row>
    <row r="398" spans="1:15" x14ac:dyDescent="0.3">
      <c r="A398" s="184">
        <v>46158</v>
      </c>
      <c r="B398" s="93">
        <v>46158.399305555598</v>
      </c>
      <c r="C398" s="223">
        <f t="shared" si="38"/>
        <v>46158.399305555598</v>
      </c>
      <c r="D398" s="30" t="s">
        <v>55</v>
      </c>
      <c r="E398" s="8" t="s">
        <v>14</v>
      </c>
      <c r="F398" s="15" t="s">
        <v>19</v>
      </c>
      <c r="G398" s="25" t="s">
        <v>93</v>
      </c>
      <c r="H398" s="26">
        <v>13.08</v>
      </c>
      <c r="I398" s="16">
        <v>13.15</v>
      </c>
      <c r="J398" s="42" t="str">
        <f t="shared" si="39"/>
        <v/>
      </c>
      <c r="K398" s="42" t="str">
        <f t="shared" si="40"/>
        <v/>
      </c>
      <c r="L398" s="42">
        <f t="shared" si="41"/>
        <v>7.0000000000000284E-2</v>
      </c>
      <c r="M398" s="17" t="str">
        <f t="shared" si="42"/>
        <v/>
      </c>
      <c r="O398" s="17" t="str">
        <f t="shared" si="43"/>
        <v>Within Tolerance</v>
      </c>
    </row>
    <row r="399" spans="1:15" x14ac:dyDescent="0.3">
      <c r="A399" s="185">
        <v>46158</v>
      </c>
      <c r="B399" s="94">
        <v>46158.458333333299</v>
      </c>
      <c r="C399" s="224">
        <f t="shared" si="38"/>
        <v>46158.458333333299</v>
      </c>
      <c r="D399" s="31" t="s">
        <v>20</v>
      </c>
      <c r="E399" s="8" t="s">
        <v>14</v>
      </c>
      <c r="F399" s="15" t="s">
        <v>19</v>
      </c>
      <c r="G399" s="16"/>
      <c r="H399" s="26">
        <v>12.55</v>
      </c>
      <c r="I399" s="16">
        <v>12.53</v>
      </c>
      <c r="J399" s="42" t="str">
        <f t="shared" si="39"/>
        <v/>
      </c>
      <c r="K399" s="42" t="str">
        <f t="shared" si="40"/>
        <v/>
      </c>
      <c r="L399" s="42">
        <f t="shared" si="41"/>
        <v>-2.000000000000135E-2</v>
      </c>
      <c r="M399" s="17" t="str">
        <f t="shared" si="42"/>
        <v/>
      </c>
      <c r="O399" s="17" t="str">
        <f t="shared" si="43"/>
        <v>Within Tolerance</v>
      </c>
    </row>
    <row r="400" spans="1:15" x14ac:dyDescent="0.3">
      <c r="A400" s="186">
        <v>46158</v>
      </c>
      <c r="B400" s="95">
        <v>46158.482638888898</v>
      </c>
      <c r="C400" s="225">
        <f t="shared" si="38"/>
        <v>46158.482638888898</v>
      </c>
      <c r="D400" s="32" t="s">
        <v>21</v>
      </c>
      <c r="E400" s="8" t="s">
        <v>10</v>
      </c>
      <c r="F400" s="15" t="s">
        <v>19</v>
      </c>
      <c r="G400" s="25" t="s">
        <v>93</v>
      </c>
      <c r="H400" s="26">
        <v>11.29</v>
      </c>
      <c r="I400" s="16">
        <v>11.13</v>
      </c>
      <c r="J400" s="42" t="str">
        <f t="shared" si="39"/>
        <v/>
      </c>
      <c r="K400" s="42" t="str">
        <f t="shared" si="40"/>
        <v/>
      </c>
      <c r="L400" s="42">
        <f t="shared" si="41"/>
        <v>-0.15999999999999837</v>
      </c>
      <c r="M400" s="17" t="str">
        <f t="shared" si="42"/>
        <v/>
      </c>
      <c r="O400" s="17" t="str">
        <f t="shared" si="43"/>
        <v>Within Tolerance</v>
      </c>
    </row>
    <row r="401" spans="1:15" x14ac:dyDescent="0.3">
      <c r="A401" s="177">
        <v>46158</v>
      </c>
      <c r="B401" s="91">
        <v>46158.736111111102</v>
      </c>
      <c r="C401" s="144">
        <f t="shared" si="38"/>
        <v>46158.736111111102</v>
      </c>
      <c r="D401" s="29" t="s">
        <v>27</v>
      </c>
      <c r="E401" s="8" t="s">
        <v>10</v>
      </c>
      <c r="F401" s="15" t="s">
        <v>19</v>
      </c>
      <c r="G401" s="25" t="s">
        <v>93</v>
      </c>
      <c r="H401" s="26">
        <v>9.66</v>
      </c>
      <c r="I401" s="16">
        <v>9.68</v>
      </c>
      <c r="J401" s="42" t="str">
        <f t="shared" si="39"/>
        <v/>
      </c>
      <c r="K401" s="42" t="str">
        <f t="shared" si="40"/>
        <v/>
      </c>
      <c r="L401" s="42">
        <f t="shared" si="41"/>
        <v>1.9999999999999574E-2</v>
      </c>
      <c r="M401" s="17" t="str">
        <f t="shared" si="42"/>
        <v/>
      </c>
      <c r="O401" s="17" t="str">
        <f t="shared" si="43"/>
        <v>Within Tolerance</v>
      </c>
    </row>
    <row r="402" spans="1:15" x14ac:dyDescent="0.3">
      <c r="A402" s="176">
        <v>46158</v>
      </c>
      <c r="B402" s="67">
        <v>46158.430555555598</v>
      </c>
      <c r="C402" s="146">
        <f t="shared" si="38"/>
        <v>46158.430555555598</v>
      </c>
      <c r="D402" s="29" t="s">
        <v>51</v>
      </c>
      <c r="E402" s="8" t="s">
        <v>10</v>
      </c>
      <c r="F402" s="7" t="s">
        <v>24</v>
      </c>
      <c r="G402" s="25" t="s">
        <v>93</v>
      </c>
      <c r="H402" s="26">
        <v>9.9499999999999993</v>
      </c>
      <c r="I402" s="16">
        <v>9.9</v>
      </c>
      <c r="J402" s="42" t="str">
        <f t="shared" si="39"/>
        <v/>
      </c>
      <c r="K402" s="42" t="str">
        <f t="shared" si="40"/>
        <v/>
      </c>
      <c r="L402" s="42">
        <f t="shared" si="41"/>
        <v>-4.9999999999998934E-2</v>
      </c>
      <c r="M402" s="17" t="str">
        <f t="shared" si="42"/>
        <v/>
      </c>
      <c r="O402" s="17" t="str">
        <f t="shared" si="43"/>
        <v>Within Tolerance</v>
      </c>
    </row>
    <row r="403" spans="1:15" x14ac:dyDescent="0.3">
      <c r="A403" s="179">
        <v>46158</v>
      </c>
      <c r="B403" s="68">
        <v>46158.5</v>
      </c>
      <c r="C403" s="147">
        <f t="shared" si="38"/>
        <v>46158.5</v>
      </c>
      <c r="D403" s="23" t="s">
        <v>50</v>
      </c>
      <c r="E403" s="8" t="s">
        <v>10</v>
      </c>
      <c r="F403" s="7" t="s">
        <v>24</v>
      </c>
      <c r="G403" s="25" t="s">
        <v>93</v>
      </c>
      <c r="H403" s="26">
        <v>9.8000000000000007</v>
      </c>
      <c r="I403" s="16">
        <v>9.7899999999999991</v>
      </c>
      <c r="J403" s="42" t="str">
        <f t="shared" si="39"/>
        <v/>
      </c>
      <c r="K403" s="42" t="str">
        <f t="shared" si="40"/>
        <v/>
      </c>
      <c r="L403" s="42">
        <f t="shared" si="41"/>
        <v>-1.0000000000001563E-2</v>
      </c>
      <c r="M403" s="17" t="str">
        <f t="shared" si="42"/>
        <v/>
      </c>
      <c r="O403" s="17" t="str">
        <f t="shared" si="43"/>
        <v>Within Tolerance</v>
      </c>
    </row>
    <row r="404" spans="1:15" x14ac:dyDescent="0.3">
      <c r="A404" s="176">
        <v>46158</v>
      </c>
      <c r="B404" s="66">
        <v>46158.569444444402</v>
      </c>
      <c r="C404" s="146">
        <f t="shared" si="38"/>
        <v>46158.569444444402</v>
      </c>
      <c r="D404" s="22" t="s">
        <v>49</v>
      </c>
      <c r="E404" s="8" t="s">
        <v>10</v>
      </c>
      <c r="F404" s="7" t="s">
        <v>24</v>
      </c>
      <c r="G404" s="25" t="s">
        <v>93</v>
      </c>
      <c r="H404" s="26">
        <v>9.4700000000000006</v>
      </c>
      <c r="I404" s="16">
        <v>9.32</v>
      </c>
      <c r="J404" s="42" t="str">
        <f t="shared" si="39"/>
        <v/>
      </c>
      <c r="K404" s="42" t="str">
        <f t="shared" si="40"/>
        <v/>
      </c>
      <c r="L404" s="42">
        <f t="shared" si="41"/>
        <v>-0.15000000000000036</v>
      </c>
      <c r="M404" s="17" t="str">
        <f t="shared" si="42"/>
        <v/>
      </c>
      <c r="O404" s="17" t="str">
        <f t="shared" si="43"/>
        <v>Within Tolerance</v>
      </c>
    </row>
    <row r="405" spans="1:15" x14ac:dyDescent="0.3">
      <c r="A405" s="169">
        <v>46159</v>
      </c>
      <c r="B405" s="64">
        <v>46159.333333333299</v>
      </c>
      <c r="C405" s="142">
        <f t="shared" si="38"/>
        <v>46159.333333333299</v>
      </c>
      <c r="D405" s="19" t="s">
        <v>41</v>
      </c>
      <c r="E405" s="8" t="s">
        <v>10</v>
      </c>
      <c r="F405" s="7" t="s">
        <v>11</v>
      </c>
      <c r="G405" s="25" t="s">
        <v>93</v>
      </c>
      <c r="H405" s="26">
        <v>9.49</v>
      </c>
      <c r="I405" s="16">
        <v>9.6</v>
      </c>
      <c r="J405" s="42" t="str">
        <f t="shared" si="39"/>
        <v/>
      </c>
      <c r="K405" s="42" t="str">
        <f t="shared" si="40"/>
        <v/>
      </c>
      <c r="L405" s="42">
        <f t="shared" si="41"/>
        <v>0.10999999999999943</v>
      </c>
      <c r="M405" s="17" t="str">
        <f t="shared" si="42"/>
        <v/>
      </c>
      <c r="O405" s="17" t="str">
        <f t="shared" si="43"/>
        <v>Within Tolerance</v>
      </c>
    </row>
    <row r="406" spans="1:15" x14ac:dyDescent="0.3">
      <c r="A406" s="168">
        <v>46159</v>
      </c>
      <c r="B406" s="64">
        <v>46159.416666666701</v>
      </c>
      <c r="C406" s="142">
        <f t="shared" si="38"/>
        <v>46159.416666666701</v>
      </c>
      <c r="D406" s="19" t="s">
        <v>41</v>
      </c>
      <c r="E406" s="8" t="s">
        <v>10</v>
      </c>
      <c r="F406" s="7" t="s">
        <v>11</v>
      </c>
      <c r="G406" s="25" t="s">
        <v>93</v>
      </c>
      <c r="H406" s="26">
        <v>9.4499999999999993</v>
      </c>
      <c r="I406" s="16">
        <v>9.67</v>
      </c>
      <c r="J406" s="42" t="str">
        <f t="shared" si="39"/>
        <v/>
      </c>
      <c r="K406" s="42" t="str">
        <f t="shared" si="40"/>
        <v/>
      </c>
      <c r="L406" s="42">
        <f t="shared" si="41"/>
        <v>0.22000000000000064</v>
      </c>
      <c r="M406" s="17" t="str">
        <f t="shared" si="42"/>
        <v/>
      </c>
      <c r="O406" s="17" t="str">
        <f t="shared" si="43"/>
        <v>Out of Tolerance</v>
      </c>
    </row>
    <row r="407" spans="1:15" x14ac:dyDescent="0.3">
      <c r="A407" s="169">
        <v>46159</v>
      </c>
      <c r="B407" s="64">
        <v>46159.5</v>
      </c>
      <c r="C407" s="142">
        <f t="shared" si="38"/>
        <v>46159.5</v>
      </c>
      <c r="D407" s="19" t="s">
        <v>41</v>
      </c>
      <c r="E407" s="8" t="s">
        <v>10</v>
      </c>
      <c r="F407" s="7" t="s">
        <v>11</v>
      </c>
      <c r="G407" s="25" t="s">
        <v>93</v>
      </c>
      <c r="H407" s="26">
        <v>9.49</v>
      </c>
      <c r="I407" s="16">
        <v>9.6300000000000008</v>
      </c>
      <c r="J407" s="42" t="str">
        <f t="shared" si="39"/>
        <v/>
      </c>
      <c r="K407" s="42" t="str">
        <f t="shared" si="40"/>
        <v/>
      </c>
      <c r="L407" s="42">
        <f t="shared" si="41"/>
        <v>0.14000000000000057</v>
      </c>
      <c r="M407" s="17" t="str">
        <f t="shared" si="42"/>
        <v/>
      </c>
      <c r="O407" s="17" t="str">
        <f t="shared" si="43"/>
        <v>Within Tolerance</v>
      </c>
    </row>
    <row r="408" spans="1:15" x14ac:dyDescent="0.3">
      <c r="A408" s="168">
        <v>46159</v>
      </c>
      <c r="B408" s="64">
        <v>46159.583333333299</v>
      </c>
      <c r="C408" s="142">
        <f t="shared" si="38"/>
        <v>46159.583333333299</v>
      </c>
      <c r="D408" s="19" t="s">
        <v>41</v>
      </c>
      <c r="E408" s="8" t="s">
        <v>10</v>
      </c>
      <c r="F408" s="7" t="s">
        <v>11</v>
      </c>
      <c r="G408" s="25" t="s">
        <v>93</v>
      </c>
      <c r="H408" s="26">
        <v>9.51</v>
      </c>
      <c r="I408" s="16">
        <v>9.58</v>
      </c>
      <c r="J408" s="42" t="str">
        <f t="shared" si="39"/>
        <v/>
      </c>
      <c r="K408" s="42" t="str">
        <f t="shared" si="40"/>
        <v/>
      </c>
      <c r="L408" s="42">
        <f t="shared" si="41"/>
        <v>7.0000000000000284E-2</v>
      </c>
      <c r="M408" s="17" t="str">
        <f t="shared" si="42"/>
        <v/>
      </c>
      <c r="O408" s="17" t="str">
        <f t="shared" si="43"/>
        <v>Within Tolerance</v>
      </c>
    </row>
    <row r="409" spans="1:15" x14ac:dyDescent="0.3">
      <c r="A409" s="169">
        <v>46159</v>
      </c>
      <c r="B409" s="64">
        <v>46159.666666666701</v>
      </c>
      <c r="C409" s="142">
        <f t="shared" si="38"/>
        <v>46159.666666666701</v>
      </c>
      <c r="D409" s="19" t="s">
        <v>41</v>
      </c>
      <c r="E409" s="8" t="s">
        <v>10</v>
      </c>
      <c r="F409" s="7" t="s">
        <v>11</v>
      </c>
      <c r="G409" s="25" t="s">
        <v>93</v>
      </c>
      <c r="H409" s="26">
        <v>9.44</v>
      </c>
      <c r="I409" s="16">
        <v>9.65</v>
      </c>
      <c r="J409" s="42" t="str">
        <f t="shared" si="39"/>
        <v/>
      </c>
      <c r="K409" s="42" t="str">
        <f t="shared" si="40"/>
        <v/>
      </c>
      <c r="L409" s="42">
        <f t="shared" si="41"/>
        <v>0.21000000000000085</v>
      </c>
      <c r="M409" s="17" t="str">
        <f t="shared" si="42"/>
        <v/>
      </c>
      <c r="O409" s="17" t="str">
        <f t="shared" si="43"/>
        <v>Out of Tolerance</v>
      </c>
    </row>
    <row r="410" spans="1:15" x14ac:dyDescent="0.3">
      <c r="A410" s="168">
        <v>46159</v>
      </c>
      <c r="B410" s="64">
        <v>46159.75</v>
      </c>
      <c r="C410" s="142">
        <f t="shared" si="38"/>
        <v>46159.75</v>
      </c>
      <c r="D410" s="19" t="s">
        <v>41</v>
      </c>
      <c r="E410" s="8" t="s">
        <v>10</v>
      </c>
      <c r="F410" s="7" t="s">
        <v>11</v>
      </c>
      <c r="G410" s="25" t="s">
        <v>93</v>
      </c>
      <c r="H410" s="26">
        <v>9.51</v>
      </c>
      <c r="I410" s="16">
        <v>9.66</v>
      </c>
      <c r="J410" s="42" t="str">
        <f t="shared" si="39"/>
        <v/>
      </c>
      <c r="K410" s="42" t="str">
        <f t="shared" si="40"/>
        <v/>
      </c>
      <c r="L410" s="42">
        <f t="shared" si="41"/>
        <v>0.15000000000000036</v>
      </c>
      <c r="M410" s="17" t="str">
        <f t="shared" si="42"/>
        <v/>
      </c>
      <c r="O410" s="17" t="str">
        <f t="shared" si="43"/>
        <v>Within Tolerance</v>
      </c>
    </row>
    <row r="411" spans="1:15" x14ac:dyDescent="0.3">
      <c r="A411" s="169">
        <v>46159</v>
      </c>
      <c r="B411" s="64">
        <v>46159.333333333299</v>
      </c>
      <c r="C411" s="142">
        <f t="shared" si="38"/>
        <v>46159.333333333299</v>
      </c>
      <c r="D411" s="19" t="s">
        <v>41</v>
      </c>
      <c r="E411" s="8" t="s">
        <v>10</v>
      </c>
      <c r="F411" s="7" t="s">
        <v>15</v>
      </c>
      <c r="G411" s="25" t="s">
        <v>93</v>
      </c>
      <c r="H411" s="26">
        <v>9.4499999999999993</v>
      </c>
      <c r="I411" s="16">
        <v>9.59</v>
      </c>
      <c r="J411" s="42" t="str">
        <f t="shared" si="39"/>
        <v/>
      </c>
      <c r="K411" s="42" t="str">
        <f t="shared" si="40"/>
        <v/>
      </c>
      <c r="L411" s="42">
        <f t="shared" si="41"/>
        <v>0.14000000000000057</v>
      </c>
      <c r="M411" s="17" t="str">
        <f t="shared" si="42"/>
        <v/>
      </c>
      <c r="O411" s="17" t="str">
        <f t="shared" si="43"/>
        <v>Within Tolerance</v>
      </c>
    </row>
    <row r="412" spans="1:15" x14ac:dyDescent="0.3">
      <c r="A412" s="168">
        <v>46159</v>
      </c>
      <c r="B412" s="64">
        <v>46159.416666666701</v>
      </c>
      <c r="C412" s="142">
        <f t="shared" si="38"/>
        <v>46159.416666666701</v>
      </c>
      <c r="D412" s="19" t="s">
        <v>41</v>
      </c>
      <c r="E412" s="8" t="s">
        <v>10</v>
      </c>
      <c r="F412" s="7" t="s">
        <v>15</v>
      </c>
      <c r="G412" s="25" t="s">
        <v>93</v>
      </c>
      <c r="H412" s="26">
        <v>9.59</v>
      </c>
      <c r="I412" s="16">
        <v>9.49</v>
      </c>
      <c r="J412" s="42" t="str">
        <f t="shared" si="39"/>
        <v/>
      </c>
      <c r="K412" s="42" t="str">
        <f t="shared" si="40"/>
        <v/>
      </c>
      <c r="L412" s="42">
        <f t="shared" si="41"/>
        <v>-9.9999999999999645E-2</v>
      </c>
      <c r="M412" s="17" t="str">
        <f t="shared" si="42"/>
        <v/>
      </c>
      <c r="O412" s="17" t="str">
        <f t="shared" si="43"/>
        <v>Within Tolerance</v>
      </c>
    </row>
    <row r="413" spans="1:15" x14ac:dyDescent="0.3">
      <c r="A413" s="169">
        <v>46159</v>
      </c>
      <c r="B413" s="64">
        <v>46159.5</v>
      </c>
      <c r="C413" s="142">
        <f t="shared" si="38"/>
        <v>46159.5</v>
      </c>
      <c r="D413" s="19" t="s">
        <v>41</v>
      </c>
      <c r="E413" s="8" t="s">
        <v>10</v>
      </c>
      <c r="F413" s="7" t="s">
        <v>15</v>
      </c>
      <c r="G413" s="25" t="s">
        <v>93</v>
      </c>
      <c r="H413" s="26">
        <v>9.61</v>
      </c>
      <c r="I413" s="16">
        <v>9.61</v>
      </c>
      <c r="J413" s="42" t="str">
        <f t="shared" si="39"/>
        <v/>
      </c>
      <c r="K413" s="42" t="str">
        <f t="shared" si="40"/>
        <v/>
      </c>
      <c r="L413" s="42">
        <f t="shared" si="41"/>
        <v>0</v>
      </c>
      <c r="M413" s="17" t="str">
        <f t="shared" si="42"/>
        <v/>
      </c>
      <c r="O413" s="17" t="str">
        <f t="shared" si="43"/>
        <v>Within Tolerance</v>
      </c>
    </row>
    <row r="414" spans="1:15" x14ac:dyDescent="0.3">
      <c r="A414" s="187">
        <v>46159</v>
      </c>
      <c r="B414" s="67">
        <v>46159.423611111102</v>
      </c>
      <c r="C414" s="143">
        <f t="shared" si="38"/>
        <v>46159.423611111102</v>
      </c>
      <c r="D414" s="23" t="s">
        <v>50</v>
      </c>
      <c r="E414" s="8" t="s">
        <v>10</v>
      </c>
      <c r="F414" s="7" t="s">
        <v>24</v>
      </c>
      <c r="G414" s="25" t="s">
        <v>93</v>
      </c>
      <c r="H414" s="26">
        <v>9.67</v>
      </c>
      <c r="I414" s="16">
        <v>9.8699999999999992</v>
      </c>
      <c r="J414" s="42" t="str">
        <f t="shared" si="39"/>
        <v/>
      </c>
      <c r="K414" s="42" t="str">
        <f t="shared" si="40"/>
        <v/>
      </c>
      <c r="L414" s="42">
        <f t="shared" si="41"/>
        <v>0.19999999999999929</v>
      </c>
      <c r="M414" s="17" t="str">
        <f t="shared" si="42"/>
        <v/>
      </c>
      <c r="O414" s="17" t="str">
        <f t="shared" si="43"/>
        <v>Within Tolerance</v>
      </c>
    </row>
    <row r="415" spans="1:15" x14ac:dyDescent="0.3">
      <c r="A415" s="188">
        <v>46159</v>
      </c>
      <c r="B415" s="66">
        <v>46159.604166666701</v>
      </c>
      <c r="C415" s="220">
        <f t="shared" si="38"/>
        <v>46159.604166666701</v>
      </c>
      <c r="D415" s="29" t="s">
        <v>51</v>
      </c>
      <c r="E415" s="8" t="s">
        <v>10</v>
      </c>
      <c r="F415" s="7" t="s">
        <v>24</v>
      </c>
      <c r="G415" s="25" t="s">
        <v>93</v>
      </c>
      <c r="H415" s="26">
        <v>9.98</v>
      </c>
      <c r="I415" s="16">
        <v>9.92</v>
      </c>
      <c r="J415" s="42" t="str">
        <f t="shared" si="39"/>
        <v/>
      </c>
      <c r="K415" s="42" t="str">
        <f t="shared" si="40"/>
        <v/>
      </c>
      <c r="L415" s="42">
        <f t="shared" si="41"/>
        <v>-6.0000000000000497E-2</v>
      </c>
      <c r="M415" s="17" t="str">
        <f t="shared" si="42"/>
        <v/>
      </c>
      <c r="O415" s="17" t="str">
        <f t="shared" si="43"/>
        <v>Within Tolerance</v>
      </c>
    </row>
    <row r="416" spans="1:15" x14ac:dyDescent="0.3">
      <c r="A416" s="168">
        <v>46160</v>
      </c>
      <c r="B416" s="64">
        <v>46160.430555555598</v>
      </c>
      <c r="C416" s="142">
        <f t="shared" si="38"/>
        <v>46160.430555555598</v>
      </c>
      <c r="D416" s="19" t="s">
        <v>41</v>
      </c>
      <c r="E416" s="8" t="s">
        <v>10</v>
      </c>
      <c r="F416" s="7" t="s">
        <v>11</v>
      </c>
      <c r="G416" s="25" t="s">
        <v>93</v>
      </c>
      <c r="H416" s="26">
        <v>9.6999999999999993</v>
      </c>
      <c r="I416" s="16">
        <v>9.9</v>
      </c>
      <c r="J416" s="42" t="str">
        <f t="shared" si="39"/>
        <v/>
      </c>
      <c r="K416" s="42" t="str">
        <f t="shared" si="40"/>
        <v/>
      </c>
      <c r="L416" s="42">
        <f t="shared" si="41"/>
        <v>0.20000000000000107</v>
      </c>
      <c r="M416" s="17" t="str">
        <f t="shared" si="42"/>
        <v/>
      </c>
      <c r="O416" s="17" t="str">
        <f t="shared" si="43"/>
        <v>Out of Tolerance</v>
      </c>
    </row>
    <row r="417" spans="1:15" x14ac:dyDescent="0.3">
      <c r="A417" s="169">
        <v>46160</v>
      </c>
      <c r="B417" s="64">
        <v>46160.440972222197</v>
      </c>
      <c r="C417" s="142">
        <f t="shared" si="38"/>
        <v>46160.440972222197</v>
      </c>
      <c r="D417" s="19" t="s">
        <v>41</v>
      </c>
      <c r="E417" s="8" t="s">
        <v>10</v>
      </c>
      <c r="F417" s="7" t="s">
        <v>11</v>
      </c>
      <c r="G417" s="25" t="s">
        <v>93</v>
      </c>
      <c r="H417" s="26">
        <v>9.64</v>
      </c>
      <c r="I417" s="16">
        <v>9.9</v>
      </c>
      <c r="J417" s="42" t="str">
        <f t="shared" si="39"/>
        <v/>
      </c>
      <c r="K417" s="42" t="str">
        <f t="shared" si="40"/>
        <v/>
      </c>
      <c r="L417" s="42">
        <f t="shared" si="41"/>
        <v>0.25999999999999979</v>
      </c>
      <c r="M417" s="17" t="str">
        <f t="shared" si="42"/>
        <v/>
      </c>
      <c r="O417" s="17" t="str">
        <f t="shared" si="43"/>
        <v>Out of Tolerance</v>
      </c>
    </row>
    <row r="418" spans="1:15" x14ac:dyDescent="0.3">
      <c r="A418" s="168">
        <v>46160</v>
      </c>
      <c r="B418" s="64">
        <v>46160.520833333299</v>
      </c>
      <c r="C418" s="142">
        <f t="shared" si="38"/>
        <v>46160.520833333299</v>
      </c>
      <c r="D418" s="19" t="s">
        <v>41</v>
      </c>
      <c r="E418" s="8" t="s">
        <v>10</v>
      </c>
      <c r="F418" s="7" t="s">
        <v>11</v>
      </c>
      <c r="G418" s="25">
        <v>9.6999999999999993</v>
      </c>
      <c r="H418" s="26">
        <v>9.59</v>
      </c>
      <c r="I418" s="16">
        <v>9.75</v>
      </c>
      <c r="J418" s="42">
        <f t="shared" si="39"/>
        <v>-0.10999999999999943</v>
      </c>
      <c r="K418" s="42">
        <f t="shared" si="40"/>
        <v>5.0000000000000711E-2</v>
      </c>
      <c r="L418" s="42">
        <f t="shared" si="41"/>
        <v>0.16000000000000014</v>
      </c>
      <c r="M418" s="17" t="str">
        <f t="shared" si="42"/>
        <v>Within Tolerance</v>
      </c>
      <c r="O418" s="17" t="str">
        <f t="shared" si="43"/>
        <v>Within Tolerance</v>
      </c>
    </row>
    <row r="419" spans="1:15" x14ac:dyDescent="0.3">
      <c r="A419" s="169">
        <v>46160</v>
      </c>
      <c r="B419" s="64">
        <v>46160.583333333299</v>
      </c>
      <c r="C419" s="142">
        <f t="shared" si="38"/>
        <v>46160.583333333299</v>
      </c>
      <c r="D419" s="19" t="s">
        <v>41</v>
      </c>
      <c r="E419" s="8" t="s">
        <v>10</v>
      </c>
      <c r="F419" s="7" t="s">
        <v>11</v>
      </c>
      <c r="G419" s="25" t="s">
        <v>93</v>
      </c>
      <c r="H419" s="26">
        <v>9.6</v>
      </c>
      <c r="I419" s="16">
        <v>9.7200000000000006</v>
      </c>
      <c r="J419" s="42" t="str">
        <f t="shared" si="39"/>
        <v/>
      </c>
      <c r="K419" s="42" t="str">
        <f t="shared" si="40"/>
        <v/>
      </c>
      <c r="L419" s="42">
        <f t="shared" si="41"/>
        <v>0.12000000000000099</v>
      </c>
      <c r="M419" s="17" t="str">
        <f t="shared" si="42"/>
        <v/>
      </c>
      <c r="O419" s="17" t="str">
        <f t="shared" si="43"/>
        <v>Within Tolerance</v>
      </c>
    </row>
    <row r="420" spans="1:15" x14ac:dyDescent="0.3">
      <c r="A420" s="168">
        <v>46160</v>
      </c>
      <c r="B420" s="64">
        <v>46160.65625</v>
      </c>
      <c r="C420" s="142">
        <f t="shared" si="38"/>
        <v>46160.65625</v>
      </c>
      <c r="D420" s="19" t="s">
        <v>41</v>
      </c>
      <c r="E420" s="8" t="s">
        <v>10</v>
      </c>
      <c r="F420" s="7" t="s">
        <v>11</v>
      </c>
      <c r="G420" s="25" t="s">
        <v>93</v>
      </c>
      <c r="H420" s="26">
        <v>9.6199999999999992</v>
      </c>
      <c r="I420" s="16">
        <v>9.6999999999999993</v>
      </c>
      <c r="J420" s="42" t="str">
        <f t="shared" si="39"/>
        <v/>
      </c>
      <c r="K420" s="42" t="str">
        <f t="shared" si="40"/>
        <v/>
      </c>
      <c r="L420" s="42">
        <f t="shared" si="41"/>
        <v>8.0000000000000071E-2</v>
      </c>
      <c r="M420" s="17" t="str">
        <f t="shared" si="42"/>
        <v/>
      </c>
      <c r="O420" s="17" t="str">
        <f t="shared" si="43"/>
        <v>Within Tolerance</v>
      </c>
    </row>
    <row r="421" spans="1:15" x14ac:dyDescent="0.3">
      <c r="A421" s="169">
        <v>46160</v>
      </c>
      <c r="B421" s="64">
        <v>46160.725694444402</v>
      </c>
      <c r="C421" s="142">
        <f t="shared" si="38"/>
        <v>46160.725694444402</v>
      </c>
      <c r="D421" s="19" t="s">
        <v>13</v>
      </c>
      <c r="E421" s="8" t="s">
        <v>14</v>
      </c>
      <c r="F421" s="7" t="s">
        <v>11</v>
      </c>
      <c r="G421" s="25" t="s">
        <v>93</v>
      </c>
      <c r="H421" s="26">
        <v>13.24</v>
      </c>
      <c r="I421" s="16">
        <v>13.18</v>
      </c>
      <c r="J421" s="42" t="str">
        <f t="shared" si="39"/>
        <v/>
      </c>
      <c r="K421" s="42" t="str">
        <f t="shared" si="40"/>
        <v/>
      </c>
      <c r="L421" s="42">
        <f t="shared" si="41"/>
        <v>-6.0000000000000497E-2</v>
      </c>
      <c r="M421" s="17" t="str">
        <f t="shared" si="42"/>
        <v/>
      </c>
      <c r="O421" s="17" t="str">
        <f t="shared" si="43"/>
        <v>Within Tolerance</v>
      </c>
    </row>
    <row r="422" spans="1:15" x14ac:dyDescent="0.3">
      <c r="A422" s="168">
        <v>46160</v>
      </c>
      <c r="B422" s="64">
        <v>46160.822916666701</v>
      </c>
      <c r="C422" s="142">
        <f t="shared" si="38"/>
        <v>46160.822916666701</v>
      </c>
      <c r="D422" s="19" t="s">
        <v>13</v>
      </c>
      <c r="E422" s="8" t="s">
        <v>14</v>
      </c>
      <c r="F422" s="7" t="s">
        <v>11</v>
      </c>
      <c r="G422" s="25">
        <v>13.45</v>
      </c>
      <c r="H422" s="26">
        <v>13.16</v>
      </c>
      <c r="I422" s="16">
        <v>13.33</v>
      </c>
      <c r="J422" s="42">
        <f t="shared" si="39"/>
        <v>-0.28999999999999915</v>
      </c>
      <c r="K422" s="42">
        <f t="shared" si="40"/>
        <v>-0.11999999999999922</v>
      </c>
      <c r="L422" s="42">
        <f t="shared" si="41"/>
        <v>0.16999999999999993</v>
      </c>
      <c r="M422" s="17" t="str">
        <f t="shared" si="42"/>
        <v>Out of Tolerance</v>
      </c>
      <c r="O422" s="17" t="str">
        <f t="shared" si="43"/>
        <v>Within Tolerance</v>
      </c>
    </row>
    <row r="423" spans="1:15" x14ac:dyDescent="0.3">
      <c r="A423" s="169">
        <v>46160</v>
      </c>
      <c r="B423" s="64">
        <v>46160.895833333299</v>
      </c>
      <c r="C423" s="142">
        <f t="shared" si="38"/>
        <v>46160.895833333299</v>
      </c>
      <c r="D423" s="19" t="s">
        <v>13</v>
      </c>
      <c r="E423" s="8" t="s">
        <v>14</v>
      </c>
      <c r="F423" s="7" t="s">
        <v>11</v>
      </c>
      <c r="G423" s="25" t="s">
        <v>93</v>
      </c>
      <c r="H423" s="26">
        <v>13.25</v>
      </c>
      <c r="I423" s="16">
        <v>13.31</v>
      </c>
      <c r="J423" s="42" t="str">
        <f t="shared" si="39"/>
        <v/>
      </c>
      <c r="K423" s="42" t="str">
        <f t="shared" si="40"/>
        <v/>
      </c>
      <c r="L423" s="42">
        <f t="shared" si="41"/>
        <v>6.0000000000000497E-2</v>
      </c>
      <c r="M423" s="17" t="str">
        <f t="shared" si="42"/>
        <v/>
      </c>
      <c r="O423" s="17" t="str">
        <f t="shared" si="43"/>
        <v>Within Tolerance</v>
      </c>
    </row>
    <row r="424" spans="1:15" x14ac:dyDescent="0.3">
      <c r="A424" s="168">
        <v>46160</v>
      </c>
      <c r="B424" s="64">
        <v>46161</v>
      </c>
      <c r="C424" s="142">
        <f t="shared" si="38"/>
        <v>46160</v>
      </c>
      <c r="D424" s="19" t="s">
        <v>13</v>
      </c>
      <c r="E424" s="8" t="s">
        <v>14</v>
      </c>
      <c r="F424" s="7" t="s">
        <v>11</v>
      </c>
      <c r="G424" s="25" t="s">
        <v>93</v>
      </c>
      <c r="H424" s="26">
        <v>13.21</v>
      </c>
      <c r="I424" s="16">
        <v>13.37</v>
      </c>
      <c r="J424" s="42" t="str">
        <f t="shared" si="39"/>
        <v/>
      </c>
      <c r="K424" s="42" t="str">
        <f t="shared" si="40"/>
        <v/>
      </c>
      <c r="L424" s="42">
        <f t="shared" si="41"/>
        <v>0.15999999999999837</v>
      </c>
      <c r="M424" s="17" t="str">
        <f t="shared" si="42"/>
        <v/>
      </c>
      <c r="O424" s="17" t="str">
        <f t="shared" si="43"/>
        <v>Within Tolerance</v>
      </c>
    </row>
    <row r="425" spans="1:15" x14ac:dyDescent="0.3">
      <c r="A425" s="169">
        <v>46161</v>
      </c>
      <c r="B425" s="64">
        <v>46161.083333333299</v>
      </c>
      <c r="C425" s="142">
        <f t="shared" si="38"/>
        <v>46161.083333333299</v>
      </c>
      <c r="D425" s="19" t="s">
        <v>13</v>
      </c>
      <c r="E425" s="8" t="s">
        <v>14</v>
      </c>
      <c r="F425" s="7" t="s">
        <v>11</v>
      </c>
      <c r="G425" s="25" t="s">
        <v>93</v>
      </c>
      <c r="H425" s="26">
        <v>13.27</v>
      </c>
      <c r="I425" s="16">
        <v>13.34</v>
      </c>
      <c r="J425" s="42" t="str">
        <f t="shared" si="39"/>
        <v/>
      </c>
      <c r="K425" s="42" t="str">
        <f t="shared" si="40"/>
        <v/>
      </c>
      <c r="L425" s="42">
        <f t="shared" si="41"/>
        <v>7.0000000000000284E-2</v>
      </c>
      <c r="M425" s="17" t="str">
        <f t="shared" si="42"/>
        <v/>
      </c>
      <c r="O425" s="17" t="str">
        <f t="shared" si="43"/>
        <v>Within Tolerance</v>
      </c>
    </row>
    <row r="426" spans="1:15" x14ac:dyDescent="0.3">
      <c r="A426" s="168">
        <v>46161</v>
      </c>
      <c r="B426" s="64">
        <v>46161.166666666701</v>
      </c>
      <c r="C426" s="142">
        <f t="shared" si="38"/>
        <v>46161.166666666701</v>
      </c>
      <c r="D426" s="19" t="s">
        <v>13</v>
      </c>
      <c r="E426" s="8" t="s">
        <v>14</v>
      </c>
      <c r="F426" s="7" t="s">
        <v>11</v>
      </c>
      <c r="G426" s="25" t="s">
        <v>93</v>
      </c>
      <c r="H426" s="26">
        <v>13.14</v>
      </c>
      <c r="I426" s="16">
        <v>13.22</v>
      </c>
      <c r="J426" s="42" t="str">
        <f t="shared" si="39"/>
        <v/>
      </c>
      <c r="K426" s="42" t="str">
        <f t="shared" si="40"/>
        <v/>
      </c>
      <c r="L426" s="42">
        <f t="shared" si="41"/>
        <v>8.0000000000000071E-2</v>
      </c>
      <c r="M426" s="17" t="str">
        <f t="shared" si="42"/>
        <v/>
      </c>
      <c r="O426" s="17" t="str">
        <f t="shared" si="43"/>
        <v>Within Tolerance</v>
      </c>
    </row>
    <row r="427" spans="1:15" x14ac:dyDescent="0.3">
      <c r="A427" s="169">
        <v>46161</v>
      </c>
      <c r="B427" s="64">
        <v>46161.25</v>
      </c>
      <c r="C427" s="142">
        <f t="shared" si="38"/>
        <v>46161.25</v>
      </c>
      <c r="D427" s="19" t="s">
        <v>13</v>
      </c>
      <c r="E427" s="8" t="s">
        <v>14</v>
      </c>
      <c r="F427" s="7" t="s">
        <v>11</v>
      </c>
      <c r="G427" s="25" t="s">
        <v>93</v>
      </c>
      <c r="H427" s="26">
        <v>13.16</v>
      </c>
      <c r="I427" s="16">
        <v>13.14</v>
      </c>
      <c r="J427" s="42" t="str">
        <f t="shared" si="39"/>
        <v/>
      </c>
      <c r="K427" s="42" t="str">
        <f t="shared" si="40"/>
        <v/>
      </c>
      <c r="L427" s="42">
        <f t="shared" si="41"/>
        <v>-1.9999999999999574E-2</v>
      </c>
      <c r="M427" s="17" t="str">
        <f t="shared" si="42"/>
        <v/>
      </c>
      <c r="O427" s="17" t="str">
        <f t="shared" si="43"/>
        <v>Within Tolerance</v>
      </c>
    </row>
    <row r="428" spans="1:15" x14ac:dyDescent="0.3">
      <c r="A428" s="168">
        <v>46160</v>
      </c>
      <c r="B428" s="64">
        <v>46160.802083333299</v>
      </c>
      <c r="C428" s="142">
        <f t="shared" si="38"/>
        <v>46160.802083333299</v>
      </c>
      <c r="D428" s="19" t="s">
        <v>29</v>
      </c>
      <c r="E428" s="8" t="s">
        <v>10</v>
      </c>
      <c r="F428" s="7" t="s">
        <v>15</v>
      </c>
      <c r="G428" s="25" t="s">
        <v>93</v>
      </c>
      <c r="H428" s="26">
        <v>10.42</v>
      </c>
      <c r="I428" s="16"/>
      <c r="J428" s="42" t="str">
        <f t="shared" si="39"/>
        <v/>
      </c>
      <c r="K428" s="42" t="str">
        <f t="shared" si="40"/>
        <v/>
      </c>
      <c r="L428" s="42" t="str">
        <f t="shared" si="41"/>
        <v/>
      </c>
      <c r="M428" s="17" t="str">
        <f t="shared" si="42"/>
        <v/>
      </c>
      <c r="O428" s="17" t="str">
        <f t="shared" si="43"/>
        <v/>
      </c>
    </row>
    <row r="429" spans="1:15" x14ac:dyDescent="0.3">
      <c r="A429" s="169">
        <v>46160</v>
      </c>
      <c r="B429" s="64">
        <v>46160.809027777803</v>
      </c>
      <c r="C429" s="142">
        <f t="shared" si="38"/>
        <v>46160.809027777803</v>
      </c>
      <c r="D429" s="19" t="s">
        <v>29</v>
      </c>
      <c r="E429" s="8" t="s">
        <v>10</v>
      </c>
      <c r="F429" s="7" t="s">
        <v>15</v>
      </c>
      <c r="G429" s="25" t="s">
        <v>93</v>
      </c>
      <c r="H429" s="26">
        <v>10.36</v>
      </c>
      <c r="I429" s="16"/>
      <c r="J429" s="42" t="str">
        <f t="shared" si="39"/>
        <v/>
      </c>
      <c r="K429" s="42" t="str">
        <f t="shared" si="40"/>
        <v/>
      </c>
      <c r="L429" s="42" t="str">
        <f t="shared" si="41"/>
        <v/>
      </c>
      <c r="M429" s="17" t="str">
        <f t="shared" si="42"/>
        <v/>
      </c>
      <c r="O429" s="17" t="str">
        <f t="shared" si="43"/>
        <v/>
      </c>
    </row>
    <row r="430" spans="1:15" x14ac:dyDescent="0.3">
      <c r="A430" s="168">
        <v>46160</v>
      </c>
      <c r="B430" s="64">
        <v>46160.854166666701</v>
      </c>
      <c r="C430" s="142">
        <f t="shared" si="38"/>
        <v>46160.854166666701</v>
      </c>
      <c r="D430" s="19" t="s">
        <v>29</v>
      </c>
      <c r="E430" s="8" t="s">
        <v>10</v>
      </c>
      <c r="F430" s="7" t="s">
        <v>15</v>
      </c>
      <c r="G430" s="25">
        <v>10.199999999999999</v>
      </c>
      <c r="H430" s="26">
        <v>10.23</v>
      </c>
      <c r="I430" s="16">
        <v>10.36</v>
      </c>
      <c r="J430" s="42">
        <f t="shared" si="39"/>
        <v>3.0000000000001137E-2</v>
      </c>
      <c r="K430" s="42">
        <f t="shared" si="40"/>
        <v>0.16000000000000014</v>
      </c>
      <c r="L430" s="42">
        <f t="shared" si="41"/>
        <v>0.12999999999999901</v>
      </c>
      <c r="M430" s="17" t="str">
        <f t="shared" si="42"/>
        <v>Within Tolerance</v>
      </c>
      <c r="O430" s="17" t="str">
        <f t="shared" si="43"/>
        <v>Within Tolerance</v>
      </c>
    </row>
    <row r="431" spans="1:15" x14ac:dyDescent="0.3">
      <c r="A431" s="169">
        <v>46160</v>
      </c>
      <c r="B431" s="64">
        <v>46160.916666666701</v>
      </c>
      <c r="C431" s="142">
        <f t="shared" si="38"/>
        <v>46160.916666666701</v>
      </c>
      <c r="D431" s="19" t="s">
        <v>29</v>
      </c>
      <c r="E431" s="8" t="s">
        <v>10</v>
      </c>
      <c r="F431" s="7" t="s">
        <v>15</v>
      </c>
      <c r="G431" s="25" t="s">
        <v>93</v>
      </c>
      <c r="H431" s="26">
        <v>10.24</v>
      </c>
      <c r="I431" s="16">
        <v>10.46</v>
      </c>
      <c r="J431" s="42" t="str">
        <f t="shared" si="39"/>
        <v/>
      </c>
      <c r="K431" s="42" t="str">
        <f t="shared" si="40"/>
        <v/>
      </c>
      <c r="L431" s="42">
        <f t="shared" si="41"/>
        <v>0.22000000000000064</v>
      </c>
      <c r="M431" s="17" t="str">
        <f t="shared" si="42"/>
        <v/>
      </c>
      <c r="O431" s="17" t="str">
        <f t="shared" si="43"/>
        <v>Out of Tolerance</v>
      </c>
    </row>
    <row r="432" spans="1:15" x14ac:dyDescent="0.3">
      <c r="A432" s="168">
        <v>46160</v>
      </c>
      <c r="B432" s="64">
        <v>46161</v>
      </c>
      <c r="C432" s="142">
        <f t="shared" si="38"/>
        <v>46160</v>
      </c>
      <c r="D432" s="19" t="s">
        <v>29</v>
      </c>
      <c r="E432" s="8" t="s">
        <v>10</v>
      </c>
      <c r="F432" s="7" t="s">
        <v>15</v>
      </c>
      <c r="G432" s="25" t="s">
        <v>93</v>
      </c>
      <c r="H432" s="26">
        <v>10.5</v>
      </c>
      <c r="I432" s="16">
        <v>10.55</v>
      </c>
      <c r="J432" s="42" t="str">
        <f t="shared" si="39"/>
        <v/>
      </c>
      <c r="K432" s="42" t="str">
        <f t="shared" si="40"/>
        <v/>
      </c>
      <c r="L432" s="42">
        <f t="shared" si="41"/>
        <v>5.0000000000000711E-2</v>
      </c>
      <c r="M432" s="17" t="str">
        <f t="shared" si="42"/>
        <v/>
      </c>
      <c r="O432" s="17" t="str">
        <f t="shared" si="43"/>
        <v>Within Tolerance</v>
      </c>
    </row>
    <row r="433" spans="1:15" x14ac:dyDescent="0.3">
      <c r="A433" s="169">
        <v>46160</v>
      </c>
      <c r="B433" s="64">
        <v>46161.083333333299</v>
      </c>
      <c r="C433" s="142">
        <f t="shared" si="38"/>
        <v>46160.083333333299</v>
      </c>
      <c r="D433" s="19" t="s">
        <v>29</v>
      </c>
      <c r="E433" s="8" t="s">
        <v>10</v>
      </c>
      <c r="F433" s="7" t="s">
        <v>15</v>
      </c>
      <c r="G433" s="25" t="s">
        <v>93</v>
      </c>
      <c r="H433" s="26">
        <v>10.56</v>
      </c>
      <c r="I433" s="16">
        <v>10.49</v>
      </c>
      <c r="J433" s="42" t="str">
        <f t="shared" si="39"/>
        <v/>
      </c>
      <c r="K433" s="42" t="str">
        <f t="shared" si="40"/>
        <v/>
      </c>
      <c r="L433" s="42">
        <f t="shared" si="41"/>
        <v>-7.0000000000000284E-2</v>
      </c>
      <c r="M433" s="17" t="str">
        <f t="shared" si="42"/>
        <v/>
      </c>
      <c r="O433" s="17" t="str">
        <f t="shared" si="43"/>
        <v>Within Tolerance</v>
      </c>
    </row>
    <row r="434" spans="1:15" x14ac:dyDescent="0.3">
      <c r="A434" s="168">
        <v>46160</v>
      </c>
      <c r="B434" s="64">
        <v>46161.166666666701</v>
      </c>
      <c r="C434" s="142">
        <f t="shared" si="38"/>
        <v>46160.166666666701</v>
      </c>
      <c r="D434" s="19" t="s">
        <v>29</v>
      </c>
      <c r="E434" s="8" t="s">
        <v>10</v>
      </c>
      <c r="F434" s="7" t="s">
        <v>15</v>
      </c>
      <c r="G434" s="25" t="s">
        <v>93</v>
      </c>
      <c r="H434" s="26">
        <v>10.36</v>
      </c>
      <c r="I434" s="16">
        <v>10.47</v>
      </c>
      <c r="J434" s="42" t="str">
        <f t="shared" si="39"/>
        <v/>
      </c>
      <c r="K434" s="42" t="str">
        <f t="shared" si="40"/>
        <v/>
      </c>
      <c r="L434" s="42">
        <f t="shared" si="41"/>
        <v>0.11000000000000121</v>
      </c>
      <c r="M434" s="17" t="str">
        <f t="shared" si="42"/>
        <v/>
      </c>
      <c r="O434" s="17" t="str">
        <f t="shared" si="43"/>
        <v>Within Tolerance</v>
      </c>
    </row>
    <row r="435" spans="1:15" x14ac:dyDescent="0.3">
      <c r="A435" s="169">
        <v>46160</v>
      </c>
      <c r="B435" s="64">
        <v>46161.270833333299</v>
      </c>
      <c r="C435" s="142">
        <f t="shared" si="38"/>
        <v>46160.270833333299</v>
      </c>
      <c r="D435" s="19" t="s">
        <v>52</v>
      </c>
      <c r="E435" s="8" t="s">
        <v>17</v>
      </c>
      <c r="F435" s="7" t="s">
        <v>15</v>
      </c>
      <c r="G435" s="25" t="s">
        <v>93</v>
      </c>
      <c r="H435" s="26">
        <v>8.6</v>
      </c>
      <c r="I435" s="16">
        <v>8.58</v>
      </c>
      <c r="J435" s="42" t="str">
        <f t="shared" si="39"/>
        <v/>
      </c>
      <c r="K435" s="42" t="str">
        <f t="shared" si="40"/>
        <v/>
      </c>
      <c r="L435" s="42">
        <f t="shared" si="41"/>
        <v>-1.9999999999999574E-2</v>
      </c>
      <c r="M435" s="17" t="str">
        <f t="shared" si="42"/>
        <v/>
      </c>
      <c r="O435" s="17" t="str">
        <f t="shared" si="43"/>
        <v>Within Tolerance</v>
      </c>
    </row>
    <row r="436" spans="1:15" x14ac:dyDescent="0.3">
      <c r="A436" s="184">
        <v>46160</v>
      </c>
      <c r="B436" s="93">
        <v>46160.458333333299</v>
      </c>
      <c r="C436" s="223">
        <f t="shared" si="38"/>
        <v>46160.458333333299</v>
      </c>
      <c r="D436" s="30" t="s">
        <v>55</v>
      </c>
      <c r="E436" s="8" t="s">
        <v>14</v>
      </c>
      <c r="F436" s="15" t="s">
        <v>19</v>
      </c>
      <c r="G436" s="16"/>
      <c r="H436" s="26">
        <v>13.04</v>
      </c>
      <c r="I436" s="16">
        <v>13.22</v>
      </c>
      <c r="J436" s="42" t="str">
        <f t="shared" si="39"/>
        <v/>
      </c>
      <c r="K436" s="42" t="str">
        <f t="shared" si="40"/>
        <v/>
      </c>
      <c r="L436" s="42">
        <f t="shared" si="41"/>
        <v>0.18000000000000149</v>
      </c>
      <c r="M436" s="17" t="str">
        <f t="shared" si="42"/>
        <v/>
      </c>
      <c r="O436" s="17" t="str">
        <f t="shared" si="43"/>
        <v>Within Tolerance</v>
      </c>
    </row>
    <row r="437" spans="1:15" x14ac:dyDescent="0.3">
      <c r="A437" s="189">
        <v>46160</v>
      </c>
      <c r="B437" s="95">
        <v>46160.489583333299</v>
      </c>
      <c r="C437" s="225">
        <f t="shared" si="38"/>
        <v>46160.489583333299</v>
      </c>
      <c r="D437" s="32" t="s">
        <v>21</v>
      </c>
      <c r="E437" s="8" t="s">
        <v>10</v>
      </c>
      <c r="F437" s="15" t="s">
        <v>19</v>
      </c>
      <c r="G437" s="25" t="s">
        <v>93</v>
      </c>
      <c r="H437" s="26">
        <v>11.46</v>
      </c>
      <c r="I437" s="16">
        <v>11.44</v>
      </c>
      <c r="J437" s="42" t="str">
        <f t="shared" si="39"/>
        <v/>
      </c>
      <c r="K437" s="42" t="str">
        <f t="shared" si="40"/>
        <v/>
      </c>
      <c r="L437" s="42">
        <f t="shared" si="41"/>
        <v>-2.000000000000135E-2</v>
      </c>
      <c r="M437" s="17" t="str">
        <f t="shared" si="42"/>
        <v/>
      </c>
      <c r="O437" s="17" t="str">
        <f t="shared" si="43"/>
        <v>Within Tolerance</v>
      </c>
    </row>
    <row r="438" spans="1:15" x14ac:dyDescent="0.3">
      <c r="A438" s="190">
        <v>46160</v>
      </c>
      <c r="B438" s="67">
        <v>46160.572916666701</v>
      </c>
      <c r="C438" s="145">
        <f t="shared" si="38"/>
        <v>46160.572916666701</v>
      </c>
      <c r="D438" s="8" t="s">
        <v>37</v>
      </c>
      <c r="E438" s="8" t="s">
        <v>14</v>
      </c>
      <c r="F438" s="15" t="s">
        <v>19</v>
      </c>
      <c r="G438" s="16"/>
      <c r="H438" s="26">
        <v>12.49</v>
      </c>
      <c r="I438" s="16">
        <v>12.42</v>
      </c>
      <c r="J438" s="42" t="str">
        <f t="shared" si="39"/>
        <v/>
      </c>
      <c r="K438" s="42" t="str">
        <f t="shared" si="40"/>
        <v/>
      </c>
      <c r="L438" s="42">
        <f t="shared" si="41"/>
        <v>-7.0000000000000284E-2</v>
      </c>
      <c r="M438" s="17" t="str">
        <f t="shared" si="42"/>
        <v/>
      </c>
      <c r="O438" s="17" t="str">
        <f t="shared" si="43"/>
        <v>Within Tolerance</v>
      </c>
    </row>
    <row r="439" spans="1:15" x14ac:dyDescent="0.3">
      <c r="A439" s="177">
        <v>46160</v>
      </c>
      <c r="B439" s="66">
        <v>46160.618055555598</v>
      </c>
      <c r="C439" s="144">
        <f t="shared" si="38"/>
        <v>46160.618055555598</v>
      </c>
      <c r="D439" s="8" t="s">
        <v>34</v>
      </c>
      <c r="E439" s="8" t="s">
        <v>14</v>
      </c>
      <c r="F439" s="7" t="s">
        <v>19</v>
      </c>
      <c r="G439" s="25" t="s">
        <v>93</v>
      </c>
      <c r="H439" s="26">
        <v>12.27</v>
      </c>
      <c r="I439" s="16">
        <v>12.41</v>
      </c>
      <c r="J439" s="42" t="str">
        <f t="shared" si="39"/>
        <v/>
      </c>
      <c r="K439" s="42" t="str">
        <f t="shared" si="40"/>
        <v/>
      </c>
      <c r="L439" s="42">
        <f t="shared" si="41"/>
        <v>0.14000000000000057</v>
      </c>
      <c r="M439" s="17" t="str">
        <f t="shared" si="42"/>
        <v/>
      </c>
      <c r="O439" s="17" t="str">
        <f t="shared" si="43"/>
        <v>Within Tolerance</v>
      </c>
    </row>
    <row r="440" spans="1:15" x14ac:dyDescent="0.3">
      <c r="A440" s="190">
        <v>46160</v>
      </c>
      <c r="B440" s="65">
        <v>46160.833333333299</v>
      </c>
      <c r="C440" s="145">
        <f t="shared" si="38"/>
        <v>46160.833333333299</v>
      </c>
      <c r="D440" s="8" t="s">
        <v>57</v>
      </c>
      <c r="E440" s="8" t="s">
        <v>10</v>
      </c>
      <c r="F440" s="15" t="s">
        <v>19</v>
      </c>
      <c r="G440" s="25">
        <v>10.1</v>
      </c>
      <c r="H440" s="26">
        <v>9.9499999999999993</v>
      </c>
      <c r="I440" s="16">
        <v>10.24</v>
      </c>
      <c r="J440" s="42">
        <f t="shared" si="39"/>
        <v>-0.15000000000000036</v>
      </c>
      <c r="K440" s="42">
        <f t="shared" si="40"/>
        <v>0.14000000000000057</v>
      </c>
      <c r="L440" s="42">
        <f t="shared" si="41"/>
        <v>0.29000000000000092</v>
      </c>
      <c r="M440" s="17" t="str">
        <f t="shared" si="42"/>
        <v>Within Tolerance</v>
      </c>
      <c r="O440" s="17" t="str">
        <f t="shared" si="43"/>
        <v>Out of Tolerance</v>
      </c>
    </row>
    <row r="441" spans="1:15" x14ac:dyDescent="0.3">
      <c r="A441" s="177">
        <v>46160</v>
      </c>
      <c r="B441" s="66">
        <v>46160.989583333299</v>
      </c>
      <c r="C441" s="144">
        <f t="shared" si="38"/>
        <v>46160.989583333299</v>
      </c>
      <c r="D441" s="8" t="s">
        <v>31</v>
      </c>
      <c r="E441" s="8" t="s">
        <v>14</v>
      </c>
      <c r="F441" s="7" t="s">
        <v>19</v>
      </c>
      <c r="G441" s="25" t="s">
        <v>93</v>
      </c>
      <c r="H441" s="26">
        <v>13.28</v>
      </c>
      <c r="I441" s="16">
        <v>13.7</v>
      </c>
      <c r="J441" s="42" t="str">
        <f t="shared" si="39"/>
        <v/>
      </c>
      <c r="K441" s="42" t="str">
        <f t="shared" si="40"/>
        <v/>
      </c>
      <c r="L441" s="42">
        <f t="shared" si="41"/>
        <v>0.41999999999999993</v>
      </c>
      <c r="M441" s="17" t="str">
        <f t="shared" si="42"/>
        <v/>
      </c>
      <c r="O441" s="17" t="str">
        <f t="shared" si="43"/>
        <v>Out of Tolerance</v>
      </c>
    </row>
    <row r="442" spans="1:15" x14ac:dyDescent="0.3">
      <c r="A442" s="191">
        <v>46160</v>
      </c>
      <c r="B442" s="96">
        <v>46160.444444444402</v>
      </c>
      <c r="C442" s="222">
        <f t="shared" si="38"/>
        <v>46160.444444444402</v>
      </c>
      <c r="D442" s="19" t="s">
        <v>51</v>
      </c>
      <c r="E442" s="8" t="s">
        <v>10</v>
      </c>
      <c r="F442" s="7" t="s">
        <v>24</v>
      </c>
      <c r="G442" s="25" t="s">
        <v>93</v>
      </c>
      <c r="H442" s="16">
        <v>9.85</v>
      </c>
      <c r="I442" s="16">
        <v>13.47</v>
      </c>
      <c r="J442" s="42" t="str">
        <f t="shared" si="39"/>
        <v/>
      </c>
      <c r="K442" s="42" t="str">
        <f t="shared" si="40"/>
        <v/>
      </c>
      <c r="L442" s="42">
        <f t="shared" si="41"/>
        <v>3.620000000000001</v>
      </c>
      <c r="M442" s="17" t="str">
        <f t="shared" si="42"/>
        <v/>
      </c>
      <c r="O442" s="17" t="str">
        <f t="shared" si="43"/>
        <v>Out of Tolerance</v>
      </c>
    </row>
    <row r="443" spans="1:15" x14ac:dyDescent="0.3">
      <c r="A443" s="183">
        <v>46160</v>
      </c>
      <c r="B443" s="91">
        <v>46160.527777777803</v>
      </c>
      <c r="C443" s="222">
        <f t="shared" si="38"/>
        <v>46160.527777777803</v>
      </c>
      <c r="D443" s="23" t="s">
        <v>50</v>
      </c>
      <c r="E443" s="8" t="s">
        <v>10</v>
      </c>
      <c r="F443" s="7" t="s">
        <v>24</v>
      </c>
      <c r="G443" s="25" t="s">
        <v>93</v>
      </c>
      <c r="H443" s="16">
        <v>9.86</v>
      </c>
      <c r="I443" s="16">
        <v>10.050000000000001</v>
      </c>
      <c r="J443" s="42" t="str">
        <f t="shared" si="39"/>
        <v/>
      </c>
      <c r="K443" s="42" t="str">
        <f t="shared" si="40"/>
        <v/>
      </c>
      <c r="L443" s="42">
        <f t="shared" si="41"/>
        <v>0.19000000000000128</v>
      </c>
      <c r="M443" s="17" t="str">
        <f t="shared" si="42"/>
        <v/>
      </c>
      <c r="O443" s="17" t="str">
        <f t="shared" si="43"/>
        <v>Within Tolerance</v>
      </c>
    </row>
    <row r="444" spans="1:15" x14ac:dyDescent="0.3">
      <c r="A444" s="168">
        <v>46161</v>
      </c>
      <c r="B444" s="64">
        <v>46161.333333333299</v>
      </c>
      <c r="C444" s="142">
        <f t="shared" si="38"/>
        <v>46161.333333333299</v>
      </c>
      <c r="D444" s="19" t="s">
        <v>13</v>
      </c>
      <c r="E444" s="8" t="s">
        <v>14</v>
      </c>
      <c r="F444" s="7" t="s">
        <v>11</v>
      </c>
      <c r="G444" s="25" t="s">
        <v>93</v>
      </c>
      <c r="H444" s="26">
        <v>13.12</v>
      </c>
      <c r="I444" s="16">
        <v>13.23</v>
      </c>
      <c r="J444" s="42" t="str">
        <f t="shared" si="39"/>
        <v/>
      </c>
      <c r="K444" s="42" t="str">
        <f t="shared" si="40"/>
        <v/>
      </c>
      <c r="L444" s="42">
        <f t="shared" si="41"/>
        <v>0.11000000000000121</v>
      </c>
      <c r="M444" s="17" t="str">
        <f t="shared" si="42"/>
        <v/>
      </c>
      <c r="O444" s="17" t="str">
        <f t="shared" si="43"/>
        <v>Within Tolerance</v>
      </c>
    </row>
    <row r="445" spans="1:15" x14ac:dyDescent="0.3">
      <c r="A445" s="169">
        <v>46161</v>
      </c>
      <c r="B445" s="64">
        <v>46161.770833333299</v>
      </c>
      <c r="C445" s="142">
        <f t="shared" si="38"/>
        <v>46161.770833333299</v>
      </c>
      <c r="D445" s="19" t="s">
        <v>35</v>
      </c>
      <c r="E445" s="8" t="s">
        <v>14</v>
      </c>
      <c r="F445" s="7" t="s">
        <v>11</v>
      </c>
      <c r="G445" s="25" t="s">
        <v>93</v>
      </c>
      <c r="H445" s="26">
        <v>12.91</v>
      </c>
      <c r="I445" s="16"/>
      <c r="J445" s="42" t="str">
        <f t="shared" si="39"/>
        <v/>
      </c>
      <c r="K445" s="42" t="str">
        <f t="shared" si="40"/>
        <v/>
      </c>
      <c r="L445" s="42" t="str">
        <f t="shared" si="41"/>
        <v/>
      </c>
      <c r="M445" s="17" t="str">
        <f t="shared" si="42"/>
        <v/>
      </c>
      <c r="O445" s="17" t="str">
        <f t="shared" si="43"/>
        <v/>
      </c>
    </row>
    <row r="446" spans="1:15" x14ac:dyDescent="0.3">
      <c r="A446" s="168">
        <v>46161</v>
      </c>
      <c r="B446" s="64">
        <v>46161.788194444402</v>
      </c>
      <c r="C446" s="142">
        <f t="shared" si="38"/>
        <v>46161.788194444402</v>
      </c>
      <c r="D446" s="19" t="s">
        <v>35</v>
      </c>
      <c r="E446" s="8" t="s">
        <v>14</v>
      </c>
      <c r="F446" s="7" t="s">
        <v>11</v>
      </c>
      <c r="G446" s="25" t="s">
        <v>93</v>
      </c>
      <c r="H446" s="26">
        <v>12.74</v>
      </c>
      <c r="I446" s="16">
        <v>12.78</v>
      </c>
      <c r="J446" s="42" t="str">
        <f t="shared" si="39"/>
        <v/>
      </c>
      <c r="K446" s="42" t="str">
        <f t="shared" si="40"/>
        <v/>
      </c>
      <c r="L446" s="42">
        <f t="shared" si="41"/>
        <v>3.9999999999999147E-2</v>
      </c>
      <c r="M446" s="17" t="str">
        <f t="shared" si="42"/>
        <v/>
      </c>
      <c r="O446" s="17" t="str">
        <f t="shared" si="43"/>
        <v>Within Tolerance</v>
      </c>
    </row>
    <row r="447" spans="1:15" x14ac:dyDescent="0.3">
      <c r="A447" s="169">
        <v>46161</v>
      </c>
      <c r="B447" s="64">
        <v>46161.854166666701</v>
      </c>
      <c r="C447" s="142">
        <f t="shared" si="38"/>
        <v>46161.854166666701</v>
      </c>
      <c r="D447" s="19" t="s">
        <v>35</v>
      </c>
      <c r="E447" s="8" t="s">
        <v>14</v>
      </c>
      <c r="F447" s="7" t="s">
        <v>11</v>
      </c>
      <c r="G447" s="25">
        <v>13.2</v>
      </c>
      <c r="H447" s="26">
        <v>12.92</v>
      </c>
      <c r="I447" s="16">
        <v>13.1</v>
      </c>
      <c r="J447" s="42">
        <f t="shared" si="39"/>
        <v>-0.27999999999999936</v>
      </c>
      <c r="K447" s="42">
        <f t="shared" si="40"/>
        <v>-9.9999999999999645E-2</v>
      </c>
      <c r="L447" s="42">
        <f t="shared" si="41"/>
        <v>0.17999999999999972</v>
      </c>
      <c r="M447" s="17" t="str">
        <f t="shared" si="42"/>
        <v>Out of Tolerance</v>
      </c>
      <c r="O447" s="17" t="str">
        <f t="shared" si="43"/>
        <v>Within Tolerance</v>
      </c>
    </row>
    <row r="448" spans="1:15" x14ac:dyDescent="0.3">
      <c r="A448" s="168">
        <v>46161</v>
      </c>
      <c r="B448" s="64">
        <v>46161.916666666701</v>
      </c>
      <c r="C448" s="142">
        <f t="shared" si="38"/>
        <v>46161.916666666701</v>
      </c>
      <c r="D448" s="19" t="s">
        <v>35</v>
      </c>
      <c r="E448" s="8" t="s">
        <v>14</v>
      </c>
      <c r="F448" s="7" t="s">
        <v>11</v>
      </c>
      <c r="G448" s="25" t="s">
        <v>93</v>
      </c>
      <c r="H448" s="26">
        <v>12.96</v>
      </c>
      <c r="I448" s="16">
        <v>13.38</v>
      </c>
      <c r="J448" s="42" t="str">
        <f t="shared" si="39"/>
        <v/>
      </c>
      <c r="K448" s="42" t="str">
        <f t="shared" si="40"/>
        <v/>
      </c>
      <c r="L448" s="42">
        <f t="shared" si="41"/>
        <v>0.41999999999999993</v>
      </c>
      <c r="M448" s="17" t="str">
        <f t="shared" si="42"/>
        <v/>
      </c>
      <c r="O448" s="17" t="str">
        <f t="shared" si="43"/>
        <v>Out of Tolerance</v>
      </c>
    </row>
    <row r="449" spans="1:15" x14ac:dyDescent="0.3">
      <c r="A449" s="169">
        <v>46161</v>
      </c>
      <c r="B449" s="64">
        <v>46162</v>
      </c>
      <c r="C449" s="142">
        <f t="shared" si="38"/>
        <v>46161</v>
      </c>
      <c r="D449" s="19" t="s">
        <v>35</v>
      </c>
      <c r="E449" s="8" t="s">
        <v>14</v>
      </c>
      <c r="F449" s="7" t="s">
        <v>11</v>
      </c>
      <c r="G449" s="25" t="s">
        <v>93</v>
      </c>
      <c r="H449" s="26">
        <v>12.9</v>
      </c>
      <c r="I449" s="16">
        <v>13.09</v>
      </c>
      <c r="J449" s="42" t="str">
        <f t="shared" si="39"/>
        <v/>
      </c>
      <c r="K449" s="42" t="str">
        <f t="shared" si="40"/>
        <v/>
      </c>
      <c r="L449" s="42">
        <f t="shared" si="41"/>
        <v>0.1899999999999995</v>
      </c>
      <c r="M449" s="17" t="str">
        <f t="shared" si="42"/>
        <v/>
      </c>
      <c r="O449" s="17" t="str">
        <f t="shared" si="43"/>
        <v>Within Tolerance</v>
      </c>
    </row>
    <row r="450" spans="1:15" x14ac:dyDescent="0.3">
      <c r="A450" s="168">
        <v>46162</v>
      </c>
      <c r="B450" s="64">
        <v>46162.083333333299</v>
      </c>
      <c r="C450" s="142">
        <f t="shared" ref="C450:C513" si="44">A450+MOD(B450,1)</f>
        <v>46162.083333333299</v>
      </c>
      <c r="D450" s="19" t="s">
        <v>35</v>
      </c>
      <c r="E450" s="8" t="s">
        <v>14</v>
      </c>
      <c r="F450" s="7" t="s">
        <v>11</v>
      </c>
      <c r="G450" s="25" t="s">
        <v>93</v>
      </c>
      <c r="H450" s="26">
        <v>12.93</v>
      </c>
      <c r="I450" s="16">
        <v>13.01</v>
      </c>
      <c r="J450" s="42" t="str">
        <f t="shared" si="39"/>
        <v/>
      </c>
      <c r="K450" s="42" t="str">
        <f t="shared" si="40"/>
        <v/>
      </c>
      <c r="L450" s="42">
        <f t="shared" si="41"/>
        <v>8.0000000000000071E-2</v>
      </c>
      <c r="M450" s="17" t="str">
        <f t="shared" si="42"/>
        <v/>
      </c>
      <c r="O450" s="17" t="str">
        <f t="shared" si="43"/>
        <v>Within Tolerance</v>
      </c>
    </row>
    <row r="451" spans="1:15" x14ac:dyDescent="0.3">
      <c r="A451" s="169">
        <v>46162</v>
      </c>
      <c r="B451" s="64">
        <v>46162.166666666701</v>
      </c>
      <c r="C451" s="142">
        <f t="shared" si="44"/>
        <v>46162.166666666701</v>
      </c>
      <c r="D451" s="19" t="s">
        <v>35</v>
      </c>
      <c r="E451" s="8" t="s">
        <v>14</v>
      </c>
      <c r="F451" s="7" t="s">
        <v>11</v>
      </c>
      <c r="G451" s="25" t="s">
        <v>93</v>
      </c>
      <c r="H451" s="26">
        <v>12.99</v>
      </c>
      <c r="I451" s="16">
        <v>12.92</v>
      </c>
      <c r="J451" s="42" t="str">
        <f t="shared" ref="J451:J514" si="45">IF(OR(TRIM(G451&amp;"")="",TRIM(H451&amp;"")="",G451="-",H451="-"),"",H451-G451)</f>
        <v/>
      </c>
      <c r="K451" s="42" t="str">
        <f t="shared" ref="K451:K514" si="46">IF(OR(TRIM(G451&amp;"")="",TRIM(I451&amp;"")="",G451="-",I451="-"),"",I451-G451)</f>
        <v/>
      </c>
      <c r="L451" s="42">
        <f t="shared" ref="L451:L514" si="47">IF(OR(TRIM(H451&amp;"")="",TRIM(I451&amp;"")="",H451="-",I451="-"),"",I451-H451)</f>
        <v>-7.0000000000000284E-2</v>
      </c>
      <c r="M451" s="17" t="str">
        <f t="shared" ref="M451:M514" si="48">IF(J451="","",IF(ABS(J451)&lt;=0.2,"Within Tolerance","Out of Tolerance"))</f>
        <v/>
      </c>
      <c r="O451" s="17" t="str">
        <f t="shared" ref="O451:O514" si="49">IF(L451="","",IF(ABS(L451)&lt;=0.2,"Within Tolerance","Out of Tolerance"))</f>
        <v>Within Tolerance</v>
      </c>
    </row>
    <row r="452" spans="1:15" x14ac:dyDescent="0.3">
      <c r="A452" s="168">
        <v>46162</v>
      </c>
      <c r="B452" s="64">
        <v>46162.246527777803</v>
      </c>
      <c r="C452" s="142">
        <f t="shared" si="44"/>
        <v>46162.246527777803</v>
      </c>
      <c r="D452" s="19" t="s">
        <v>41</v>
      </c>
      <c r="E452" s="8" t="s">
        <v>10</v>
      </c>
      <c r="F452" s="7" t="s">
        <v>15</v>
      </c>
      <c r="G452" s="25" t="s">
        <v>93</v>
      </c>
      <c r="H452" s="26">
        <v>9.59</v>
      </c>
      <c r="I452" s="16">
        <v>9.81</v>
      </c>
      <c r="J452" s="42" t="str">
        <f t="shared" si="45"/>
        <v/>
      </c>
      <c r="K452" s="42" t="str">
        <f t="shared" si="46"/>
        <v/>
      </c>
      <c r="L452" s="42">
        <f t="shared" si="47"/>
        <v>0.22000000000000064</v>
      </c>
      <c r="M452" s="17" t="str">
        <f t="shared" si="48"/>
        <v/>
      </c>
      <c r="O452" s="17" t="str">
        <f t="shared" si="49"/>
        <v>Out of Tolerance</v>
      </c>
    </row>
    <row r="453" spans="1:15" x14ac:dyDescent="0.3">
      <c r="A453" s="169">
        <v>46161</v>
      </c>
      <c r="B453" s="64">
        <v>46161.333333333299</v>
      </c>
      <c r="C453" s="142">
        <f t="shared" si="44"/>
        <v>46161.333333333299</v>
      </c>
      <c r="D453" s="19" t="s">
        <v>52</v>
      </c>
      <c r="E453" s="8" t="s">
        <v>17</v>
      </c>
      <c r="F453" s="7" t="s">
        <v>15</v>
      </c>
      <c r="G453" s="25">
        <v>9.1999999999999993</v>
      </c>
      <c r="H453" s="26">
        <v>8.6</v>
      </c>
      <c r="I453" s="16">
        <v>8.58</v>
      </c>
      <c r="J453" s="42">
        <f t="shared" si="45"/>
        <v>-0.59999999999999964</v>
      </c>
      <c r="K453" s="42">
        <f t="shared" si="46"/>
        <v>-0.61999999999999922</v>
      </c>
      <c r="L453" s="42">
        <f t="shared" si="47"/>
        <v>-1.9999999999999574E-2</v>
      </c>
      <c r="M453" s="17" t="str">
        <f t="shared" si="48"/>
        <v>Out of Tolerance</v>
      </c>
      <c r="O453" s="17" t="str">
        <f t="shared" si="49"/>
        <v>Within Tolerance</v>
      </c>
    </row>
    <row r="454" spans="1:15" x14ac:dyDescent="0.3">
      <c r="A454" s="168">
        <v>46161</v>
      </c>
      <c r="B454" s="64">
        <v>46161.402777777803</v>
      </c>
      <c r="C454" s="142">
        <f t="shared" si="44"/>
        <v>46161.402777777803</v>
      </c>
      <c r="D454" s="19" t="s">
        <v>40</v>
      </c>
      <c r="E454" s="8" t="s">
        <v>17</v>
      </c>
      <c r="F454" s="7" t="s">
        <v>15</v>
      </c>
      <c r="G454" s="25" t="s">
        <v>93</v>
      </c>
      <c r="H454" s="26">
        <v>8.6</v>
      </c>
      <c r="I454" s="16">
        <v>8.76</v>
      </c>
      <c r="J454" s="42" t="str">
        <f t="shared" si="45"/>
        <v/>
      </c>
      <c r="K454" s="42" t="str">
        <f t="shared" si="46"/>
        <v/>
      </c>
      <c r="L454" s="42">
        <f t="shared" si="47"/>
        <v>0.16000000000000014</v>
      </c>
      <c r="M454" s="17" t="str">
        <f t="shared" si="48"/>
        <v/>
      </c>
      <c r="O454" s="17" t="str">
        <f t="shared" si="49"/>
        <v>Within Tolerance</v>
      </c>
    </row>
    <row r="455" spans="1:15" x14ac:dyDescent="0.3">
      <c r="A455" s="169">
        <v>46161</v>
      </c>
      <c r="B455" s="64">
        <v>46161.5</v>
      </c>
      <c r="C455" s="142">
        <f t="shared" si="44"/>
        <v>46161.5</v>
      </c>
      <c r="D455" s="19" t="s">
        <v>40</v>
      </c>
      <c r="E455" s="8" t="s">
        <v>17</v>
      </c>
      <c r="F455" s="7" t="s">
        <v>15</v>
      </c>
      <c r="G455" s="25" t="s">
        <v>93</v>
      </c>
      <c r="H455" s="26">
        <v>8.61</v>
      </c>
      <c r="I455" s="16">
        <v>8.8000000000000007</v>
      </c>
      <c r="J455" s="42" t="str">
        <f t="shared" si="45"/>
        <v/>
      </c>
      <c r="K455" s="42" t="str">
        <f t="shared" si="46"/>
        <v/>
      </c>
      <c r="L455" s="42">
        <f t="shared" si="47"/>
        <v>0.19000000000000128</v>
      </c>
      <c r="M455" s="17" t="str">
        <f t="shared" si="48"/>
        <v/>
      </c>
      <c r="O455" s="17" t="str">
        <f t="shared" si="49"/>
        <v>Within Tolerance</v>
      </c>
    </row>
    <row r="456" spans="1:15" x14ac:dyDescent="0.3">
      <c r="A456" s="168">
        <v>46161</v>
      </c>
      <c r="B456" s="64">
        <v>46161.583333333299</v>
      </c>
      <c r="C456" s="142">
        <f t="shared" si="44"/>
        <v>46161.583333333299</v>
      </c>
      <c r="D456" s="19" t="s">
        <v>40</v>
      </c>
      <c r="E456" s="8" t="s">
        <v>17</v>
      </c>
      <c r="F456" s="7" t="s">
        <v>15</v>
      </c>
      <c r="G456" s="25" t="s">
        <v>93</v>
      </c>
      <c r="H456" s="26">
        <v>8.7899999999999991</v>
      </c>
      <c r="I456" s="16">
        <v>8.8800000000000008</v>
      </c>
      <c r="J456" s="42" t="str">
        <f t="shared" si="45"/>
        <v/>
      </c>
      <c r="K456" s="42" t="str">
        <f t="shared" si="46"/>
        <v/>
      </c>
      <c r="L456" s="42">
        <f t="shared" si="47"/>
        <v>9.0000000000001634E-2</v>
      </c>
      <c r="M456" s="17" t="str">
        <f t="shared" si="48"/>
        <v/>
      </c>
      <c r="O456" s="17" t="str">
        <f t="shared" si="49"/>
        <v>Within Tolerance</v>
      </c>
    </row>
    <row r="457" spans="1:15" x14ac:dyDescent="0.3">
      <c r="A457" s="169">
        <v>46161</v>
      </c>
      <c r="B457" s="64">
        <v>46161.666666666701</v>
      </c>
      <c r="C457" s="142">
        <f t="shared" si="44"/>
        <v>46161.666666666701</v>
      </c>
      <c r="D457" s="19" t="s">
        <v>40</v>
      </c>
      <c r="E457" s="8" t="s">
        <v>17</v>
      </c>
      <c r="F457" s="7" t="s">
        <v>15</v>
      </c>
      <c r="G457" s="25" t="s">
        <v>93</v>
      </c>
      <c r="H457" s="26">
        <v>8.92</v>
      </c>
      <c r="I457" s="16">
        <v>8.75</v>
      </c>
      <c r="J457" s="42" t="str">
        <f t="shared" si="45"/>
        <v/>
      </c>
      <c r="K457" s="42" t="str">
        <f t="shared" si="46"/>
        <v/>
      </c>
      <c r="L457" s="42">
        <f t="shared" si="47"/>
        <v>-0.16999999999999993</v>
      </c>
      <c r="M457" s="17" t="str">
        <f t="shared" si="48"/>
        <v/>
      </c>
      <c r="O457" s="17" t="str">
        <f t="shared" si="49"/>
        <v>Within Tolerance</v>
      </c>
    </row>
    <row r="458" spans="1:15" x14ac:dyDescent="0.3">
      <c r="A458" s="168">
        <v>46161</v>
      </c>
      <c r="B458" s="64">
        <v>46161.75</v>
      </c>
      <c r="C458" s="142">
        <f t="shared" si="44"/>
        <v>46161.75</v>
      </c>
      <c r="D458" s="19" t="s">
        <v>40</v>
      </c>
      <c r="E458" s="8" t="s">
        <v>17</v>
      </c>
      <c r="F458" s="7" t="s">
        <v>15</v>
      </c>
      <c r="G458" s="25" t="s">
        <v>93</v>
      </c>
      <c r="H458" s="26">
        <v>8.75</v>
      </c>
      <c r="I458" s="16">
        <v>8.9</v>
      </c>
      <c r="J458" s="42" t="str">
        <f t="shared" si="45"/>
        <v/>
      </c>
      <c r="K458" s="42" t="str">
        <f t="shared" si="46"/>
        <v/>
      </c>
      <c r="L458" s="42">
        <f t="shared" si="47"/>
        <v>0.15000000000000036</v>
      </c>
      <c r="M458" s="17" t="str">
        <f t="shared" si="48"/>
        <v/>
      </c>
      <c r="O458" s="17" t="str">
        <f t="shared" si="49"/>
        <v>Within Tolerance</v>
      </c>
    </row>
    <row r="459" spans="1:15" x14ac:dyDescent="0.3">
      <c r="A459" s="169">
        <v>46161</v>
      </c>
      <c r="B459" s="64">
        <v>46161.833333333299</v>
      </c>
      <c r="C459" s="142">
        <f t="shared" si="44"/>
        <v>46161.833333333299</v>
      </c>
      <c r="D459" s="19" t="s">
        <v>40</v>
      </c>
      <c r="E459" s="8" t="s">
        <v>17</v>
      </c>
      <c r="F459" s="7" t="s">
        <v>15</v>
      </c>
      <c r="G459" s="25" t="s">
        <v>93</v>
      </c>
      <c r="H459" s="26">
        <v>8.9</v>
      </c>
      <c r="I459" s="16">
        <v>8.89</v>
      </c>
      <c r="J459" s="42" t="str">
        <f t="shared" si="45"/>
        <v/>
      </c>
      <c r="K459" s="42" t="str">
        <f t="shared" si="46"/>
        <v/>
      </c>
      <c r="L459" s="42">
        <f t="shared" si="47"/>
        <v>-9.9999999999997868E-3</v>
      </c>
      <c r="M459" s="17" t="str">
        <f t="shared" si="48"/>
        <v/>
      </c>
      <c r="O459" s="17" t="str">
        <f t="shared" si="49"/>
        <v>Within Tolerance</v>
      </c>
    </row>
    <row r="460" spans="1:15" x14ac:dyDescent="0.3">
      <c r="A460" s="168">
        <v>46161</v>
      </c>
      <c r="B460" s="64">
        <v>46161.916666666701</v>
      </c>
      <c r="C460" s="142">
        <f t="shared" si="44"/>
        <v>46161.916666666701</v>
      </c>
      <c r="D460" s="19" t="s">
        <v>40</v>
      </c>
      <c r="E460" s="8" t="s">
        <v>17</v>
      </c>
      <c r="F460" s="7" t="s">
        <v>15</v>
      </c>
      <c r="G460" s="25" t="s">
        <v>93</v>
      </c>
      <c r="H460" s="26">
        <v>8.7899999999999991</v>
      </c>
      <c r="I460" s="16">
        <v>8.7100000000000009</v>
      </c>
      <c r="J460" s="42" t="str">
        <f t="shared" si="45"/>
        <v/>
      </c>
      <c r="K460" s="42" t="str">
        <f t="shared" si="46"/>
        <v/>
      </c>
      <c r="L460" s="42">
        <f t="shared" si="47"/>
        <v>-7.9999999999998295E-2</v>
      </c>
      <c r="M460" s="17" t="str">
        <f t="shared" si="48"/>
        <v/>
      </c>
      <c r="O460" s="17" t="str">
        <f t="shared" si="49"/>
        <v>Within Tolerance</v>
      </c>
    </row>
    <row r="461" spans="1:15" x14ac:dyDescent="0.3">
      <c r="A461" s="169">
        <v>46161</v>
      </c>
      <c r="B461" s="64">
        <v>46161.965277777803</v>
      </c>
      <c r="C461" s="142">
        <f t="shared" si="44"/>
        <v>46161.965277777803</v>
      </c>
      <c r="D461" s="19" t="s">
        <v>29</v>
      </c>
      <c r="E461" s="8" t="s">
        <v>10</v>
      </c>
      <c r="F461" s="7" t="s">
        <v>15</v>
      </c>
      <c r="G461" s="25" t="s">
        <v>93</v>
      </c>
      <c r="H461" s="26">
        <v>10.3</v>
      </c>
      <c r="I461" s="16"/>
      <c r="J461" s="42" t="str">
        <f t="shared" si="45"/>
        <v/>
      </c>
      <c r="K461" s="42" t="str">
        <f t="shared" si="46"/>
        <v/>
      </c>
      <c r="L461" s="42" t="str">
        <f t="shared" si="47"/>
        <v/>
      </c>
      <c r="M461" s="17" t="str">
        <f t="shared" si="48"/>
        <v/>
      </c>
      <c r="O461" s="17" t="str">
        <f t="shared" si="49"/>
        <v/>
      </c>
    </row>
    <row r="462" spans="1:15" x14ac:dyDescent="0.3">
      <c r="A462" s="168">
        <v>46161</v>
      </c>
      <c r="B462" s="64">
        <v>46162</v>
      </c>
      <c r="C462" s="142">
        <f t="shared" si="44"/>
        <v>46161</v>
      </c>
      <c r="D462" s="19" t="s">
        <v>29</v>
      </c>
      <c r="E462" s="8" t="s">
        <v>10</v>
      </c>
      <c r="F462" s="7" t="s">
        <v>15</v>
      </c>
      <c r="G462" s="25">
        <v>10.5</v>
      </c>
      <c r="H462" s="26">
        <v>10.31</v>
      </c>
      <c r="I462" s="16">
        <v>10.43</v>
      </c>
      <c r="J462" s="42">
        <f t="shared" si="45"/>
        <v>-0.1899999999999995</v>
      </c>
      <c r="K462" s="42">
        <f t="shared" si="46"/>
        <v>-7.0000000000000284E-2</v>
      </c>
      <c r="L462" s="42">
        <f t="shared" si="47"/>
        <v>0.11999999999999922</v>
      </c>
      <c r="M462" s="17" t="str">
        <f t="shared" si="48"/>
        <v>Within Tolerance</v>
      </c>
      <c r="O462" s="17" t="str">
        <f t="shared" si="49"/>
        <v>Within Tolerance</v>
      </c>
    </row>
    <row r="463" spans="1:15" x14ac:dyDescent="0.3">
      <c r="A463" s="169">
        <v>46162</v>
      </c>
      <c r="B463" s="64">
        <v>46162.083333333299</v>
      </c>
      <c r="C463" s="142">
        <f t="shared" si="44"/>
        <v>46162.083333333299</v>
      </c>
      <c r="D463" s="19" t="s">
        <v>29</v>
      </c>
      <c r="E463" s="8" t="s">
        <v>10</v>
      </c>
      <c r="F463" s="7" t="s">
        <v>15</v>
      </c>
      <c r="G463" s="25" t="s">
        <v>93</v>
      </c>
      <c r="H463" s="26">
        <v>10.35</v>
      </c>
      <c r="I463" s="16">
        <v>10.48</v>
      </c>
      <c r="J463" s="42" t="str">
        <f t="shared" si="45"/>
        <v/>
      </c>
      <c r="K463" s="42" t="str">
        <f t="shared" si="46"/>
        <v/>
      </c>
      <c r="L463" s="42">
        <f t="shared" si="47"/>
        <v>0.13000000000000078</v>
      </c>
      <c r="M463" s="17" t="str">
        <f t="shared" si="48"/>
        <v/>
      </c>
      <c r="O463" s="17" t="str">
        <f t="shared" si="49"/>
        <v>Within Tolerance</v>
      </c>
    </row>
    <row r="464" spans="1:15" x14ac:dyDescent="0.3">
      <c r="A464" s="168">
        <v>46162</v>
      </c>
      <c r="B464" s="64">
        <v>46162.166666666701</v>
      </c>
      <c r="C464" s="142">
        <f t="shared" si="44"/>
        <v>46162.166666666701</v>
      </c>
      <c r="D464" s="19" t="s">
        <v>29</v>
      </c>
      <c r="E464" s="8" t="s">
        <v>10</v>
      </c>
      <c r="F464" s="7" t="s">
        <v>15</v>
      </c>
      <c r="G464" s="25" t="s">
        <v>93</v>
      </c>
      <c r="H464" s="26">
        <v>10.41</v>
      </c>
      <c r="I464" s="16">
        <v>10.3</v>
      </c>
      <c r="J464" s="42" t="str">
        <f t="shared" si="45"/>
        <v/>
      </c>
      <c r="K464" s="42" t="str">
        <f t="shared" si="46"/>
        <v/>
      </c>
      <c r="L464" s="42">
        <f t="shared" si="47"/>
        <v>-0.10999999999999943</v>
      </c>
      <c r="M464" s="17" t="str">
        <f t="shared" si="48"/>
        <v/>
      </c>
      <c r="O464" s="17" t="str">
        <f t="shared" si="49"/>
        <v>Within Tolerance</v>
      </c>
    </row>
    <row r="465" spans="1:15" x14ac:dyDescent="0.3">
      <c r="A465" s="169">
        <v>46162</v>
      </c>
      <c r="B465" s="64">
        <v>46162.25</v>
      </c>
      <c r="C465" s="142">
        <f t="shared" si="44"/>
        <v>46162.25</v>
      </c>
      <c r="D465" s="19" t="s">
        <v>29</v>
      </c>
      <c r="E465" s="8" t="s">
        <v>10</v>
      </c>
      <c r="F465" s="7" t="s">
        <v>15</v>
      </c>
      <c r="G465" s="25" t="s">
        <v>93</v>
      </c>
      <c r="H465" s="26">
        <v>10.44</v>
      </c>
      <c r="I465" s="16">
        <v>10.45</v>
      </c>
      <c r="J465" s="42" t="str">
        <f t="shared" si="45"/>
        <v/>
      </c>
      <c r="K465" s="42" t="str">
        <f t="shared" si="46"/>
        <v/>
      </c>
      <c r="L465" s="42">
        <f t="shared" si="47"/>
        <v>9.9999999999997868E-3</v>
      </c>
      <c r="M465" s="17" t="str">
        <f t="shared" si="48"/>
        <v/>
      </c>
      <c r="O465" s="17" t="str">
        <f t="shared" si="49"/>
        <v>Within Tolerance</v>
      </c>
    </row>
    <row r="466" spans="1:15" x14ac:dyDescent="0.3">
      <c r="A466" s="178">
        <v>46161</v>
      </c>
      <c r="B466" s="67">
        <v>46161.479166666701</v>
      </c>
      <c r="C466" s="147">
        <f t="shared" si="44"/>
        <v>46161.479166666701</v>
      </c>
      <c r="D466" s="27" t="s">
        <v>20</v>
      </c>
      <c r="E466" s="8" t="s">
        <v>14</v>
      </c>
      <c r="F466" s="15" t="s">
        <v>19</v>
      </c>
      <c r="G466" s="16"/>
      <c r="H466" s="26">
        <v>12.34</v>
      </c>
      <c r="I466" s="16">
        <v>12.37</v>
      </c>
      <c r="J466" s="42" t="str">
        <f t="shared" si="45"/>
        <v/>
      </c>
      <c r="K466" s="42" t="str">
        <f t="shared" si="46"/>
        <v/>
      </c>
      <c r="L466" s="42">
        <f t="shared" si="47"/>
        <v>2.9999999999999361E-2</v>
      </c>
      <c r="M466" s="17" t="str">
        <f t="shared" si="48"/>
        <v/>
      </c>
      <c r="O466" s="17" t="str">
        <f t="shared" si="49"/>
        <v>Within Tolerance</v>
      </c>
    </row>
    <row r="467" spans="1:15" x14ac:dyDescent="0.3">
      <c r="A467" s="177">
        <v>46161</v>
      </c>
      <c r="B467" s="66">
        <v>46161.548611111102</v>
      </c>
      <c r="C467" s="144">
        <f t="shared" si="44"/>
        <v>46161.548611111102</v>
      </c>
      <c r="D467" s="19" t="s">
        <v>18</v>
      </c>
      <c r="E467" s="8" t="s">
        <v>14</v>
      </c>
      <c r="F467" s="7" t="s">
        <v>19</v>
      </c>
      <c r="G467" s="25" t="s">
        <v>93</v>
      </c>
      <c r="H467" s="26">
        <v>13.44</v>
      </c>
      <c r="I467" s="16">
        <v>13.65</v>
      </c>
      <c r="J467" s="42" t="str">
        <f t="shared" si="45"/>
        <v/>
      </c>
      <c r="K467" s="42" t="str">
        <f t="shared" si="46"/>
        <v/>
      </c>
      <c r="L467" s="42">
        <f t="shared" si="47"/>
        <v>0.21000000000000085</v>
      </c>
      <c r="M467" s="17" t="str">
        <f t="shared" si="48"/>
        <v/>
      </c>
      <c r="O467" s="17" t="str">
        <f t="shared" si="49"/>
        <v>Out of Tolerance</v>
      </c>
    </row>
    <row r="468" spans="1:15" x14ac:dyDescent="0.3">
      <c r="A468" s="192">
        <v>46161</v>
      </c>
      <c r="B468" s="97">
        <v>46161.708333333299</v>
      </c>
      <c r="C468" s="226">
        <f t="shared" si="44"/>
        <v>46161.708333333299</v>
      </c>
      <c r="D468" s="30" t="s">
        <v>55</v>
      </c>
      <c r="E468" s="8" t="s">
        <v>14</v>
      </c>
      <c r="F468" s="15" t="s">
        <v>19</v>
      </c>
      <c r="G468" s="16"/>
      <c r="H468" s="26">
        <v>13.06</v>
      </c>
      <c r="I468" s="16">
        <v>13.17</v>
      </c>
      <c r="J468" s="42" t="str">
        <f t="shared" si="45"/>
        <v/>
      </c>
      <c r="K468" s="42" t="str">
        <f t="shared" si="46"/>
        <v/>
      </c>
      <c r="L468" s="42">
        <f t="shared" si="47"/>
        <v>0.10999999999999943</v>
      </c>
      <c r="M468" s="17" t="str">
        <f t="shared" si="48"/>
        <v/>
      </c>
      <c r="O468" s="17" t="str">
        <f t="shared" si="49"/>
        <v>Within Tolerance</v>
      </c>
    </row>
    <row r="469" spans="1:15" x14ac:dyDescent="0.3">
      <c r="A469" s="193">
        <v>46161</v>
      </c>
      <c r="B469" s="91">
        <v>46161.788194444402</v>
      </c>
      <c r="C469" s="227">
        <f t="shared" si="44"/>
        <v>46161.788194444402</v>
      </c>
      <c r="D469" s="7" t="s">
        <v>27</v>
      </c>
      <c r="E469" s="8" t="s">
        <v>10</v>
      </c>
      <c r="F469" s="15" t="s">
        <v>19</v>
      </c>
      <c r="G469" s="25" t="s">
        <v>93</v>
      </c>
      <c r="H469" s="26">
        <v>9.7100000000000009</v>
      </c>
      <c r="I469" s="16">
        <v>9.73</v>
      </c>
      <c r="J469" s="42" t="str">
        <f t="shared" si="45"/>
        <v/>
      </c>
      <c r="K469" s="42" t="str">
        <f t="shared" si="46"/>
        <v/>
      </c>
      <c r="L469" s="42">
        <f t="shared" si="47"/>
        <v>1.9999999999999574E-2</v>
      </c>
      <c r="M469" s="17" t="str">
        <f t="shared" si="48"/>
        <v/>
      </c>
      <c r="O469" s="17" t="str">
        <f t="shared" si="49"/>
        <v>Within Tolerance</v>
      </c>
    </row>
    <row r="470" spans="1:15" x14ac:dyDescent="0.3">
      <c r="A470" s="190">
        <v>46161</v>
      </c>
      <c r="B470" s="91">
        <v>46161.458333333299</v>
      </c>
      <c r="C470" s="145">
        <f t="shared" si="44"/>
        <v>46161.458333333299</v>
      </c>
      <c r="D470" s="22" t="s">
        <v>49</v>
      </c>
      <c r="E470" s="8" t="s">
        <v>10</v>
      </c>
      <c r="F470" s="7" t="s">
        <v>24</v>
      </c>
      <c r="G470" s="25" t="s">
        <v>93</v>
      </c>
      <c r="H470" s="26">
        <v>9.1199999999999992</v>
      </c>
      <c r="I470" s="16">
        <v>9.3000000000000007</v>
      </c>
      <c r="J470" s="42" t="str">
        <f t="shared" si="45"/>
        <v/>
      </c>
      <c r="K470" s="42" t="str">
        <f t="shared" si="46"/>
        <v/>
      </c>
      <c r="L470" s="42">
        <f t="shared" si="47"/>
        <v>0.18000000000000149</v>
      </c>
      <c r="M470" s="17" t="str">
        <f t="shared" si="48"/>
        <v/>
      </c>
      <c r="O470" s="17" t="str">
        <f t="shared" si="49"/>
        <v>Within Tolerance</v>
      </c>
    </row>
    <row r="471" spans="1:15" x14ac:dyDescent="0.3">
      <c r="A471" s="175">
        <v>46161</v>
      </c>
      <c r="B471" s="65">
        <v>46161.548611111102</v>
      </c>
      <c r="C471" s="145">
        <f t="shared" si="44"/>
        <v>46161.548611111102</v>
      </c>
      <c r="D471" s="19" t="s">
        <v>51</v>
      </c>
      <c r="E471" s="8" t="s">
        <v>10</v>
      </c>
      <c r="F471" s="7" t="s">
        <v>24</v>
      </c>
      <c r="G471" s="25" t="s">
        <v>93</v>
      </c>
      <c r="H471" s="26">
        <v>9.93</v>
      </c>
      <c r="I471" s="16">
        <v>10.01</v>
      </c>
      <c r="J471" s="42" t="str">
        <f t="shared" si="45"/>
        <v/>
      </c>
      <c r="K471" s="42" t="str">
        <f t="shared" si="46"/>
        <v/>
      </c>
      <c r="L471" s="42">
        <f t="shared" si="47"/>
        <v>8.0000000000000071E-2</v>
      </c>
      <c r="M471" s="17" t="str">
        <f t="shared" si="48"/>
        <v/>
      </c>
      <c r="O471" s="17" t="str">
        <f t="shared" si="49"/>
        <v>Within Tolerance</v>
      </c>
    </row>
    <row r="472" spans="1:15" x14ac:dyDescent="0.3">
      <c r="A472" s="174">
        <v>46161</v>
      </c>
      <c r="B472" s="66">
        <v>46161.572916666701</v>
      </c>
      <c r="C472" s="144">
        <f t="shared" si="44"/>
        <v>46161.572916666701</v>
      </c>
      <c r="D472" s="19" t="s">
        <v>38</v>
      </c>
      <c r="E472" s="8" t="s">
        <v>10</v>
      </c>
      <c r="F472" s="7" t="s">
        <v>24</v>
      </c>
      <c r="G472" s="25" t="s">
        <v>93</v>
      </c>
      <c r="H472" s="26">
        <v>9.94</v>
      </c>
      <c r="I472" s="16">
        <v>10.130000000000001</v>
      </c>
      <c r="J472" s="42" t="str">
        <f t="shared" si="45"/>
        <v/>
      </c>
      <c r="K472" s="42" t="str">
        <f t="shared" si="46"/>
        <v/>
      </c>
      <c r="L472" s="42">
        <f t="shared" si="47"/>
        <v>0.19000000000000128</v>
      </c>
      <c r="M472" s="17" t="str">
        <f t="shared" si="48"/>
        <v/>
      </c>
      <c r="O472" s="17" t="str">
        <f t="shared" si="49"/>
        <v>Within Tolerance</v>
      </c>
    </row>
    <row r="473" spans="1:15" x14ac:dyDescent="0.3">
      <c r="A473" s="169">
        <v>46162</v>
      </c>
      <c r="B473" s="64">
        <v>46162.333333333299</v>
      </c>
      <c r="C473" s="142">
        <f t="shared" si="44"/>
        <v>46162.333333333299</v>
      </c>
      <c r="D473" s="19" t="s">
        <v>41</v>
      </c>
      <c r="E473" s="8" t="s">
        <v>10</v>
      </c>
      <c r="F473" s="7" t="s">
        <v>11</v>
      </c>
      <c r="G473" s="25">
        <v>9.3000000000000007</v>
      </c>
      <c r="H473" s="26">
        <v>9.35</v>
      </c>
      <c r="I473" s="16">
        <v>9.57</v>
      </c>
      <c r="J473" s="42">
        <f t="shared" si="45"/>
        <v>4.9999999999998934E-2</v>
      </c>
      <c r="K473" s="42">
        <f t="shared" si="46"/>
        <v>0.26999999999999957</v>
      </c>
      <c r="L473" s="42">
        <f t="shared" si="47"/>
        <v>0.22000000000000064</v>
      </c>
      <c r="M473" s="17" t="str">
        <f t="shared" si="48"/>
        <v>Within Tolerance</v>
      </c>
      <c r="O473" s="17" t="str">
        <f t="shared" si="49"/>
        <v>Out of Tolerance</v>
      </c>
    </row>
    <row r="474" spans="1:15" x14ac:dyDescent="0.3">
      <c r="A474" s="168">
        <v>46162</v>
      </c>
      <c r="B474" s="64">
        <v>46162.416666666701</v>
      </c>
      <c r="C474" s="142">
        <f t="shared" si="44"/>
        <v>46162.416666666701</v>
      </c>
      <c r="D474" s="19" t="s">
        <v>41</v>
      </c>
      <c r="E474" s="8" t="s">
        <v>10</v>
      </c>
      <c r="F474" s="7" t="s">
        <v>11</v>
      </c>
      <c r="G474" s="25" t="s">
        <v>93</v>
      </c>
      <c r="H474" s="26">
        <v>9.58</v>
      </c>
      <c r="I474" s="16">
        <v>9.74</v>
      </c>
      <c r="J474" s="42" t="str">
        <f t="shared" si="45"/>
        <v/>
      </c>
      <c r="K474" s="42" t="str">
        <f t="shared" si="46"/>
        <v/>
      </c>
      <c r="L474" s="42">
        <f t="shared" si="47"/>
        <v>0.16000000000000014</v>
      </c>
      <c r="M474" s="17" t="str">
        <f t="shared" si="48"/>
        <v/>
      </c>
      <c r="O474" s="17" t="str">
        <f t="shared" si="49"/>
        <v>Within Tolerance</v>
      </c>
    </row>
    <row r="475" spans="1:15" x14ac:dyDescent="0.3">
      <c r="A475" s="169">
        <v>46162</v>
      </c>
      <c r="B475" s="64">
        <v>46162.5</v>
      </c>
      <c r="C475" s="142">
        <f t="shared" si="44"/>
        <v>46162.5</v>
      </c>
      <c r="D475" s="19" t="s">
        <v>41</v>
      </c>
      <c r="E475" s="8" t="s">
        <v>10</v>
      </c>
      <c r="F475" s="7" t="s">
        <v>11</v>
      </c>
      <c r="G475" s="25" t="s">
        <v>93</v>
      </c>
      <c r="H475" s="26">
        <v>9.44</v>
      </c>
      <c r="I475" s="16">
        <v>9.52</v>
      </c>
      <c r="J475" s="42" t="str">
        <f t="shared" si="45"/>
        <v/>
      </c>
      <c r="K475" s="42" t="str">
        <f t="shared" si="46"/>
        <v/>
      </c>
      <c r="L475" s="42">
        <f t="shared" si="47"/>
        <v>8.0000000000000071E-2</v>
      </c>
      <c r="M475" s="17" t="str">
        <f t="shared" si="48"/>
        <v/>
      </c>
      <c r="O475" s="17" t="str">
        <f t="shared" si="49"/>
        <v>Within Tolerance</v>
      </c>
    </row>
    <row r="476" spans="1:15" x14ac:dyDescent="0.3">
      <c r="A476" s="168">
        <v>46162</v>
      </c>
      <c r="B476" s="64">
        <v>46162.604166666701</v>
      </c>
      <c r="C476" s="142">
        <f t="shared" si="44"/>
        <v>46162.604166666701</v>
      </c>
      <c r="D476" s="19" t="s">
        <v>41</v>
      </c>
      <c r="E476" s="8" t="s">
        <v>10</v>
      </c>
      <c r="F476" s="7" t="s">
        <v>11</v>
      </c>
      <c r="G476" s="25" t="s">
        <v>93</v>
      </c>
      <c r="H476" s="26">
        <v>9.39</v>
      </c>
      <c r="I476" s="16">
        <v>9.4700000000000006</v>
      </c>
      <c r="J476" s="42" t="str">
        <f t="shared" si="45"/>
        <v/>
      </c>
      <c r="K476" s="42" t="str">
        <f t="shared" si="46"/>
        <v/>
      </c>
      <c r="L476" s="42">
        <f t="shared" si="47"/>
        <v>8.0000000000000071E-2</v>
      </c>
      <c r="M476" s="17" t="str">
        <f t="shared" si="48"/>
        <v/>
      </c>
      <c r="O476" s="17" t="str">
        <f t="shared" si="49"/>
        <v>Within Tolerance</v>
      </c>
    </row>
    <row r="477" spans="1:15" x14ac:dyDescent="0.3">
      <c r="A477" s="169">
        <v>46162</v>
      </c>
      <c r="B477" s="64">
        <v>46162.715277777803</v>
      </c>
      <c r="C477" s="142">
        <f t="shared" si="44"/>
        <v>46162.715277777803</v>
      </c>
      <c r="D477" s="19" t="s">
        <v>41</v>
      </c>
      <c r="E477" s="8" t="s">
        <v>10</v>
      </c>
      <c r="F477" s="7" t="s">
        <v>11</v>
      </c>
      <c r="G477" s="25" t="s">
        <v>93</v>
      </c>
      <c r="H477" s="26">
        <v>9.5299999999999994</v>
      </c>
      <c r="I477" s="16">
        <v>9.4600000000000009</v>
      </c>
      <c r="J477" s="42" t="str">
        <f t="shared" si="45"/>
        <v/>
      </c>
      <c r="K477" s="42" t="str">
        <f t="shared" si="46"/>
        <v/>
      </c>
      <c r="L477" s="42">
        <f t="shared" si="47"/>
        <v>-6.9999999999998508E-2</v>
      </c>
      <c r="M477" s="17" t="str">
        <f t="shared" si="48"/>
        <v/>
      </c>
      <c r="O477" s="17" t="str">
        <f t="shared" si="49"/>
        <v>Within Tolerance</v>
      </c>
    </row>
    <row r="478" spans="1:15" x14ac:dyDescent="0.3">
      <c r="A478" s="168">
        <v>46162</v>
      </c>
      <c r="B478" s="64">
        <v>46162.777777777803</v>
      </c>
      <c r="C478" s="142">
        <f t="shared" si="44"/>
        <v>46162.777777777803</v>
      </c>
      <c r="D478" s="19" t="s">
        <v>41</v>
      </c>
      <c r="E478" s="8" t="s">
        <v>10</v>
      </c>
      <c r="F478" s="7" t="s">
        <v>11</v>
      </c>
      <c r="G478" s="25" t="s">
        <v>93</v>
      </c>
      <c r="H478" s="26">
        <v>9.8800000000000008</v>
      </c>
      <c r="I478" s="16">
        <v>9.7799999999999994</v>
      </c>
      <c r="J478" s="42" t="str">
        <f t="shared" si="45"/>
        <v/>
      </c>
      <c r="K478" s="42" t="str">
        <f t="shared" si="46"/>
        <v/>
      </c>
      <c r="L478" s="42">
        <f t="shared" si="47"/>
        <v>-0.10000000000000142</v>
      </c>
      <c r="M478" s="17" t="str">
        <f t="shared" si="48"/>
        <v/>
      </c>
      <c r="O478" s="17" t="str">
        <f t="shared" si="49"/>
        <v>Within Tolerance</v>
      </c>
    </row>
    <row r="479" spans="1:15" x14ac:dyDescent="0.3">
      <c r="A479" s="169">
        <v>46162</v>
      </c>
      <c r="B479" s="64">
        <v>46162.90625</v>
      </c>
      <c r="C479" s="142">
        <f t="shared" si="44"/>
        <v>46162.90625</v>
      </c>
      <c r="D479" s="19" t="s">
        <v>13</v>
      </c>
      <c r="E479" s="8" t="s">
        <v>14</v>
      </c>
      <c r="F479" s="7" t="s">
        <v>11</v>
      </c>
      <c r="G479" s="25" t="s">
        <v>93</v>
      </c>
      <c r="H479" s="26">
        <v>13.14</v>
      </c>
      <c r="I479" s="16">
        <v>13.12</v>
      </c>
      <c r="J479" s="42" t="str">
        <f t="shared" si="45"/>
        <v/>
      </c>
      <c r="K479" s="42" t="str">
        <f t="shared" si="46"/>
        <v/>
      </c>
      <c r="L479" s="42">
        <f t="shared" si="47"/>
        <v>-2.000000000000135E-2</v>
      </c>
      <c r="M479" s="17" t="str">
        <f t="shared" si="48"/>
        <v/>
      </c>
      <c r="O479" s="17" t="str">
        <f t="shared" si="49"/>
        <v>Within Tolerance</v>
      </c>
    </row>
    <row r="480" spans="1:15" x14ac:dyDescent="0.3">
      <c r="A480" s="168">
        <v>46162</v>
      </c>
      <c r="B480" s="64">
        <v>46162.947916666701</v>
      </c>
      <c r="C480" s="142">
        <f t="shared" si="44"/>
        <v>46162.947916666701</v>
      </c>
      <c r="D480" s="19" t="s">
        <v>13</v>
      </c>
      <c r="E480" s="8" t="s">
        <v>14</v>
      </c>
      <c r="F480" s="7" t="s">
        <v>11</v>
      </c>
      <c r="G480" s="25" t="s">
        <v>93</v>
      </c>
      <c r="H480" s="26">
        <v>13.25</v>
      </c>
      <c r="I480" s="16"/>
      <c r="J480" s="42" t="str">
        <f t="shared" si="45"/>
        <v/>
      </c>
      <c r="K480" s="42" t="str">
        <f t="shared" si="46"/>
        <v/>
      </c>
      <c r="L480" s="42" t="str">
        <f t="shared" si="47"/>
        <v/>
      </c>
      <c r="M480" s="17" t="str">
        <f t="shared" si="48"/>
        <v/>
      </c>
      <c r="O480" s="17" t="str">
        <f t="shared" si="49"/>
        <v/>
      </c>
    </row>
    <row r="481" spans="1:15" x14ac:dyDescent="0.3">
      <c r="A481" s="169">
        <v>46162</v>
      </c>
      <c r="B481" s="64">
        <v>46163</v>
      </c>
      <c r="C481" s="142">
        <f t="shared" si="44"/>
        <v>46162</v>
      </c>
      <c r="D481" s="19" t="s">
        <v>13</v>
      </c>
      <c r="E481" s="8" t="s">
        <v>14</v>
      </c>
      <c r="F481" s="7" t="s">
        <v>11</v>
      </c>
      <c r="G481" s="25" t="s">
        <v>93</v>
      </c>
      <c r="H481" s="26">
        <v>13.3</v>
      </c>
      <c r="I481" s="16">
        <v>13.47</v>
      </c>
      <c r="J481" s="42" t="str">
        <f t="shared" si="45"/>
        <v/>
      </c>
      <c r="K481" s="42" t="str">
        <f t="shared" si="46"/>
        <v/>
      </c>
      <c r="L481" s="42">
        <f t="shared" si="47"/>
        <v>0.16999999999999993</v>
      </c>
      <c r="M481" s="17" t="str">
        <f t="shared" si="48"/>
        <v/>
      </c>
      <c r="O481" s="17" t="str">
        <f t="shared" si="49"/>
        <v>Within Tolerance</v>
      </c>
    </row>
    <row r="482" spans="1:15" x14ac:dyDescent="0.3">
      <c r="A482" s="168">
        <v>46163</v>
      </c>
      <c r="B482" s="64">
        <v>46163.0625</v>
      </c>
      <c r="C482" s="142">
        <f t="shared" si="44"/>
        <v>46163.0625</v>
      </c>
      <c r="D482" s="19" t="s">
        <v>13</v>
      </c>
      <c r="E482" s="8" t="s">
        <v>14</v>
      </c>
      <c r="F482" s="7" t="s">
        <v>11</v>
      </c>
      <c r="G482" s="25" t="s">
        <v>93</v>
      </c>
      <c r="H482" s="26">
        <v>13.22</v>
      </c>
      <c r="I482" s="16">
        <v>13.38</v>
      </c>
      <c r="J482" s="42" t="str">
        <f t="shared" si="45"/>
        <v/>
      </c>
      <c r="K482" s="42" t="str">
        <f t="shared" si="46"/>
        <v/>
      </c>
      <c r="L482" s="42">
        <f t="shared" si="47"/>
        <v>0.16000000000000014</v>
      </c>
      <c r="M482" s="17" t="str">
        <f t="shared" si="48"/>
        <v/>
      </c>
      <c r="O482" s="17" t="str">
        <f t="shared" si="49"/>
        <v>Within Tolerance</v>
      </c>
    </row>
    <row r="483" spans="1:15" x14ac:dyDescent="0.3">
      <c r="A483" s="169">
        <v>46163</v>
      </c>
      <c r="B483" s="64">
        <v>46163.083333333299</v>
      </c>
      <c r="C483" s="142">
        <f t="shared" si="44"/>
        <v>46163.083333333299</v>
      </c>
      <c r="D483" s="19" t="s">
        <v>13</v>
      </c>
      <c r="E483" s="8" t="s">
        <v>14</v>
      </c>
      <c r="F483" s="7" t="s">
        <v>11</v>
      </c>
      <c r="G483" s="25" t="s">
        <v>93</v>
      </c>
      <c r="H483" s="26">
        <v>13.15</v>
      </c>
      <c r="I483" s="16">
        <v>13.28</v>
      </c>
      <c r="J483" s="42" t="str">
        <f t="shared" si="45"/>
        <v/>
      </c>
      <c r="K483" s="42" t="str">
        <f t="shared" si="46"/>
        <v/>
      </c>
      <c r="L483" s="42">
        <f t="shared" si="47"/>
        <v>0.12999999999999901</v>
      </c>
      <c r="M483" s="17" t="str">
        <f t="shared" si="48"/>
        <v/>
      </c>
      <c r="O483" s="17" t="str">
        <f t="shared" si="49"/>
        <v>Within Tolerance</v>
      </c>
    </row>
    <row r="484" spans="1:15" x14ac:dyDescent="0.3">
      <c r="A484" s="168">
        <v>46163</v>
      </c>
      <c r="B484" s="64">
        <v>46163.125</v>
      </c>
      <c r="C484" s="142">
        <f t="shared" si="44"/>
        <v>46163.125</v>
      </c>
      <c r="D484" s="19" t="s">
        <v>13</v>
      </c>
      <c r="E484" s="8" t="s">
        <v>14</v>
      </c>
      <c r="F484" s="7" t="s">
        <v>11</v>
      </c>
      <c r="G484" s="25" t="s">
        <v>93</v>
      </c>
      <c r="H484" s="26">
        <v>13.11</v>
      </c>
      <c r="I484" s="16">
        <v>13.1</v>
      </c>
      <c r="J484" s="42" t="str">
        <f t="shared" si="45"/>
        <v/>
      </c>
      <c r="K484" s="42" t="str">
        <f t="shared" si="46"/>
        <v/>
      </c>
      <c r="L484" s="42">
        <f t="shared" si="47"/>
        <v>-9.9999999999997868E-3</v>
      </c>
      <c r="M484" s="17" t="str">
        <f t="shared" si="48"/>
        <v/>
      </c>
      <c r="O484" s="17" t="str">
        <f t="shared" si="49"/>
        <v>Within Tolerance</v>
      </c>
    </row>
    <row r="485" spans="1:15" x14ac:dyDescent="0.3">
      <c r="A485" s="169">
        <v>46163</v>
      </c>
      <c r="B485" s="64">
        <v>46163.166666666701</v>
      </c>
      <c r="C485" s="142">
        <f t="shared" si="44"/>
        <v>46163.166666666701</v>
      </c>
      <c r="D485" s="19" t="s">
        <v>13</v>
      </c>
      <c r="E485" s="8" t="s">
        <v>14</v>
      </c>
      <c r="F485" s="7" t="s">
        <v>11</v>
      </c>
      <c r="G485" s="25" t="s">
        <v>93</v>
      </c>
      <c r="H485" s="26">
        <v>13.08</v>
      </c>
      <c r="I485" s="16">
        <v>13.05</v>
      </c>
      <c r="J485" s="42" t="str">
        <f t="shared" si="45"/>
        <v/>
      </c>
      <c r="K485" s="42" t="str">
        <f t="shared" si="46"/>
        <v/>
      </c>
      <c r="L485" s="42">
        <f t="shared" si="47"/>
        <v>-2.9999999999999361E-2</v>
      </c>
      <c r="M485" s="17" t="str">
        <f t="shared" si="48"/>
        <v/>
      </c>
      <c r="O485" s="17" t="str">
        <f t="shared" si="49"/>
        <v>Within Tolerance</v>
      </c>
    </row>
    <row r="486" spans="1:15" x14ac:dyDescent="0.3">
      <c r="A486" s="168">
        <v>46163</v>
      </c>
      <c r="B486" s="64">
        <v>46163.208333333299</v>
      </c>
      <c r="C486" s="142">
        <f t="shared" si="44"/>
        <v>46163.208333333299</v>
      </c>
      <c r="D486" s="19" t="s">
        <v>13</v>
      </c>
      <c r="E486" s="8" t="s">
        <v>14</v>
      </c>
      <c r="F486" s="7" t="s">
        <v>11</v>
      </c>
      <c r="G486" s="25" t="s">
        <v>93</v>
      </c>
      <c r="H486" s="26">
        <v>13.12</v>
      </c>
      <c r="I486" s="16"/>
      <c r="J486" s="42" t="str">
        <f t="shared" si="45"/>
        <v/>
      </c>
      <c r="K486" s="42" t="str">
        <f t="shared" si="46"/>
        <v/>
      </c>
      <c r="L486" s="42" t="str">
        <f t="shared" si="47"/>
        <v/>
      </c>
      <c r="M486" s="17" t="str">
        <f t="shared" si="48"/>
        <v/>
      </c>
      <c r="O486" s="17" t="str">
        <f t="shared" si="49"/>
        <v/>
      </c>
    </row>
    <row r="487" spans="1:15" x14ac:dyDescent="0.3">
      <c r="A487" s="169">
        <v>46163</v>
      </c>
      <c r="B487" s="64">
        <v>46163.25</v>
      </c>
      <c r="C487" s="142">
        <f t="shared" si="44"/>
        <v>46163.25</v>
      </c>
      <c r="D487" s="19" t="s">
        <v>13</v>
      </c>
      <c r="E487" s="8" t="s">
        <v>14</v>
      </c>
      <c r="F487" s="7" t="s">
        <v>11</v>
      </c>
      <c r="G487" s="25" t="s">
        <v>93</v>
      </c>
      <c r="H487" s="26">
        <v>13.13</v>
      </c>
      <c r="I487" s="16">
        <v>13.05</v>
      </c>
      <c r="J487" s="42" t="str">
        <f t="shared" si="45"/>
        <v/>
      </c>
      <c r="K487" s="42" t="str">
        <f t="shared" si="46"/>
        <v/>
      </c>
      <c r="L487" s="42">
        <f t="shared" si="47"/>
        <v>-8.0000000000000071E-2</v>
      </c>
      <c r="M487" s="17" t="str">
        <f t="shared" si="48"/>
        <v/>
      </c>
      <c r="O487" s="17" t="str">
        <f t="shared" si="49"/>
        <v>Within Tolerance</v>
      </c>
    </row>
    <row r="488" spans="1:15" x14ac:dyDescent="0.3">
      <c r="A488" s="168">
        <v>46162</v>
      </c>
      <c r="B488" s="64">
        <v>46162.364583333299</v>
      </c>
      <c r="C488" s="142">
        <f t="shared" si="44"/>
        <v>46162.364583333299</v>
      </c>
      <c r="D488" s="19" t="s">
        <v>29</v>
      </c>
      <c r="E488" s="8" t="s">
        <v>10</v>
      </c>
      <c r="F488" s="7" t="s">
        <v>15</v>
      </c>
      <c r="G488" s="25" t="s">
        <v>93</v>
      </c>
      <c r="H488" s="26">
        <v>10.47</v>
      </c>
      <c r="I488" s="16">
        <v>10.46</v>
      </c>
      <c r="J488" s="42" t="str">
        <f t="shared" si="45"/>
        <v/>
      </c>
      <c r="K488" s="42" t="str">
        <f t="shared" si="46"/>
        <v/>
      </c>
      <c r="L488" s="42">
        <f t="shared" si="47"/>
        <v>-9.9999999999997868E-3</v>
      </c>
      <c r="M488" s="17" t="str">
        <f t="shared" si="48"/>
        <v/>
      </c>
      <c r="O488" s="17" t="str">
        <f t="shared" si="49"/>
        <v>Within Tolerance</v>
      </c>
    </row>
    <row r="489" spans="1:15" x14ac:dyDescent="0.3">
      <c r="A489" s="169">
        <v>46162</v>
      </c>
      <c r="B489" s="64">
        <v>46162.458333333299</v>
      </c>
      <c r="C489" s="142">
        <f t="shared" si="44"/>
        <v>46162.458333333299</v>
      </c>
      <c r="D489" s="19" t="s">
        <v>29</v>
      </c>
      <c r="E489" s="8" t="s">
        <v>10</v>
      </c>
      <c r="F489" s="7" t="s">
        <v>15</v>
      </c>
      <c r="G489" s="25" t="s">
        <v>93</v>
      </c>
      <c r="H489" s="26">
        <v>10.43</v>
      </c>
      <c r="I489" s="16">
        <v>10.38</v>
      </c>
      <c r="J489" s="42" t="str">
        <f t="shared" si="45"/>
        <v/>
      </c>
      <c r="K489" s="42" t="str">
        <f t="shared" si="46"/>
        <v/>
      </c>
      <c r="L489" s="42">
        <f t="shared" si="47"/>
        <v>-4.9999999999998934E-2</v>
      </c>
      <c r="M489" s="17" t="str">
        <f t="shared" si="48"/>
        <v/>
      </c>
      <c r="O489" s="17" t="str">
        <f t="shared" si="49"/>
        <v>Within Tolerance</v>
      </c>
    </row>
    <row r="490" spans="1:15" x14ac:dyDescent="0.3">
      <c r="A490" s="168">
        <v>46162</v>
      </c>
      <c r="B490" s="64">
        <v>46162.541666666701</v>
      </c>
      <c r="C490" s="142">
        <f t="shared" si="44"/>
        <v>46162.541666666701</v>
      </c>
      <c r="D490" s="19" t="s">
        <v>29</v>
      </c>
      <c r="E490" s="8" t="s">
        <v>10</v>
      </c>
      <c r="F490" s="7" t="s">
        <v>15</v>
      </c>
      <c r="G490" s="25" t="s">
        <v>93</v>
      </c>
      <c r="H490" s="26">
        <v>10.4</v>
      </c>
      <c r="I490" s="16">
        <v>10.4</v>
      </c>
      <c r="J490" s="42" t="str">
        <f t="shared" si="45"/>
        <v/>
      </c>
      <c r="K490" s="42" t="str">
        <f t="shared" si="46"/>
        <v/>
      </c>
      <c r="L490" s="42">
        <f t="shared" si="47"/>
        <v>0</v>
      </c>
      <c r="M490" s="17" t="str">
        <f t="shared" si="48"/>
        <v/>
      </c>
      <c r="O490" s="17" t="str">
        <f t="shared" si="49"/>
        <v>Within Tolerance</v>
      </c>
    </row>
    <row r="491" spans="1:15" x14ac:dyDescent="0.3">
      <c r="A491" s="169">
        <v>46162</v>
      </c>
      <c r="B491" s="64">
        <v>46162.625</v>
      </c>
      <c r="C491" s="142">
        <f t="shared" si="44"/>
        <v>46162.625</v>
      </c>
      <c r="D491" s="19" t="s">
        <v>29</v>
      </c>
      <c r="E491" s="8" t="s">
        <v>10</v>
      </c>
      <c r="F491" s="7" t="s">
        <v>15</v>
      </c>
      <c r="G491" s="25" t="s">
        <v>93</v>
      </c>
      <c r="H491" s="26">
        <v>10.49</v>
      </c>
      <c r="I491" s="16">
        <v>10.41</v>
      </c>
      <c r="J491" s="42" t="str">
        <f t="shared" si="45"/>
        <v/>
      </c>
      <c r="K491" s="42" t="str">
        <f t="shared" si="46"/>
        <v/>
      </c>
      <c r="L491" s="42">
        <f t="shared" si="47"/>
        <v>-8.0000000000000071E-2</v>
      </c>
      <c r="M491" s="17" t="str">
        <f t="shared" si="48"/>
        <v/>
      </c>
      <c r="O491" s="17" t="str">
        <f t="shared" si="49"/>
        <v>Within Tolerance</v>
      </c>
    </row>
    <row r="492" spans="1:15" x14ac:dyDescent="0.3">
      <c r="A492" s="168">
        <v>46162</v>
      </c>
      <c r="B492" s="64">
        <v>46162.694444444402</v>
      </c>
      <c r="C492" s="142">
        <f t="shared" si="44"/>
        <v>46162.694444444402</v>
      </c>
      <c r="D492" s="19" t="s">
        <v>41</v>
      </c>
      <c r="E492" s="8" t="s">
        <v>10</v>
      </c>
      <c r="F492" s="7" t="s">
        <v>15</v>
      </c>
      <c r="G492" s="25" t="s">
        <v>93</v>
      </c>
      <c r="H492" s="26">
        <v>9.6</v>
      </c>
      <c r="I492" s="16">
        <v>9.51</v>
      </c>
      <c r="J492" s="42" t="str">
        <f t="shared" si="45"/>
        <v/>
      </c>
      <c r="K492" s="42" t="str">
        <f t="shared" si="46"/>
        <v/>
      </c>
      <c r="L492" s="42">
        <f t="shared" si="47"/>
        <v>-8.9999999999999858E-2</v>
      </c>
      <c r="M492" s="17" t="str">
        <f t="shared" si="48"/>
        <v/>
      </c>
      <c r="O492" s="17" t="str">
        <f t="shared" si="49"/>
        <v>Within Tolerance</v>
      </c>
    </row>
    <row r="493" spans="1:15" x14ac:dyDescent="0.3">
      <c r="A493" s="169">
        <v>46162</v>
      </c>
      <c r="B493" s="64">
        <v>46162.75</v>
      </c>
      <c r="C493" s="142">
        <f t="shared" si="44"/>
        <v>46162.75</v>
      </c>
      <c r="D493" s="19" t="s">
        <v>41</v>
      </c>
      <c r="E493" s="8" t="s">
        <v>10</v>
      </c>
      <c r="F493" s="7" t="s">
        <v>15</v>
      </c>
      <c r="G493" s="25">
        <v>9.5</v>
      </c>
      <c r="H493" s="26">
        <v>9.56</v>
      </c>
      <c r="I493" s="16">
        <v>9.4700000000000006</v>
      </c>
      <c r="J493" s="42">
        <f t="shared" si="45"/>
        <v>6.0000000000000497E-2</v>
      </c>
      <c r="K493" s="42">
        <f t="shared" si="46"/>
        <v>-2.9999999999999361E-2</v>
      </c>
      <c r="L493" s="42">
        <f t="shared" si="47"/>
        <v>-8.9999999999999858E-2</v>
      </c>
      <c r="M493" s="17" t="str">
        <f t="shared" si="48"/>
        <v>Within Tolerance</v>
      </c>
      <c r="O493" s="17" t="str">
        <f t="shared" si="49"/>
        <v>Within Tolerance</v>
      </c>
    </row>
    <row r="494" spans="1:15" x14ac:dyDescent="0.3">
      <c r="A494" s="168">
        <v>46162</v>
      </c>
      <c r="B494" s="64">
        <v>46162.833333333299</v>
      </c>
      <c r="C494" s="142">
        <f t="shared" si="44"/>
        <v>46162.833333333299</v>
      </c>
      <c r="D494" s="19" t="s">
        <v>41</v>
      </c>
      <c r="E494" s="8" t="s">
        <v>10</v>
      </c>
      <c r="F494" s="7" t="s">
        <v>15</v>
      </c>
      <c r="G494" s="25" t="s">
        <v>93</v>
      </c>
      <c r="H494" s="26">
        <v>9.6300000000000008</v>
      </c>
      <c r="I494" s="16">
        <v>9.4499999999999993</v>
      </c>
      <c r="J494" s="42" t="str">
        <f t="shared" si="45"/>
        <v/>
      </c>
      <c r="K494" s="42" t="str">
        <f t="shared" si="46"/>
        <v/>
      </c>
      <c r="L494" s="42">
        <f t="shared" si="47"/>
        <v>-0.18000000000000149</v>
      </c>
      <c r="M494" s="17" t="str">
        <f t="shared" si="48"/>
        <v/>
      </c>
      <c r="O494" s="17" t="str">
        <f t="shared" si="49"/>
        <v>Within Tolerance</v>
      </c>
    </row>
    <row r="495" spans="1:15" x14ac:dyDescent="0.3">
      <c r="A495" s="169">
        <v>46162</v>
      </c>
      <c r="B495" s="64">
        <v>46162.916666666701</v>
      </c>
      <c r="C495" s="142">
        <f t="shared" si="44"/>
        <v>46162.916666666701</v>
      </c>
      <c r="D495" s="19" t="s">
        <v>41</v>
      </c>
      <c r="E495" s="8" t="s">
        <v>10</v>
      </c>
      <c r="F495" s="7" t="s">
        <v>15</v>
      </c>
      <c r="G495" s="25" t="s">
        <v>93</v>
      </c>
      <c r="H495" s="26">
        <v>9.5399999999999991</v>
      </c>
      <c r="I495" s="16">
        <v>9.49</v>
      </c>
      <c r="J495" s="42" t="str">
        <f t="shared" si="45"/>
        <v/>
      </c>
      <c r="K495" s="42" t="str">
        <f t="shared" si="46"/>
        <v/>
      </c>
      <c r="L495" s="42">
        <f t="shared" si="47"/>
        <v>-4.9999999999998934E-2</v>
      </c>
      <c r="M495" s="17" t="str">
        <f t="shared" si="48"/>
        <v/>
      </c>
      <c r="O495" s="17" t="str">
        <f t="shared" si="49"/>
        <v>Within Tolerance</v>
      </c>
    </row>
    <row r="496" spans="1:15" x14ac:dyDescent="0.3">
      <c r="A496" s="168">
        <v>46162</v>
      </c>
      <c r="B496" s="64">
        <v>46163</v>
      </c>
      <c r="C496" s="142">
        <f t="shared" si="44"/>
        <v>46162</v>
      </c>
      <c r="D496" s="19" t="s">
        <v>41</v>
      </c>
      <c r="E496" s="8" t="s">
        <v>10</v>
      </c>
      <c r="F496" s="7" t="s">
        <v>15</v>
      </c>
      <c r="G496" s="25" t="s">
        <v>93</v>
      </c>
      <c r="H496" s="26">
        <v>9.59</v>
      </c>
      <c r="I496" s="16">
        <v>9.35</v>
      </c>
      <c r="J496" s="42" t="str">
        <f t="shared" si="45"/>
        <v/>
      </c>
      <c r="K496" s="42" t="str">
        <f t="shared" si="46"/>
        <v/>
      </c>
      <c r="L496" s="42">
        <f t="shared" si="47"/>
        <v>-0.24000000000000021</v>
      </c>
      <c r="M496" s="17" t="str">
        <f t="shared" si="48"/>
        <v/>
      </c>
      <c r="O496" s="17" t="str">
        <f t="shared" si="49"/>
        <v>Out of Tolerance</v>
      </c>
    </row>
    <row r="497" spans="1:15" x14ac:dyDescent="0.3">
      <c r="A497" s="169">
        <v>46163</v>
      </c>
      <c r="B497" s="64">
        <v>46163.083333333299</v>
      </c>
      <c r="C497" s="142">
        <f t="shared" si="44"/>
        <v>46163.083333333299</v>
      </c>
      <c r="D497" s="19" t="s">
        <v>41</v>
      </c>
      <c r="E497" s="8" t="s">
        <v>10</v>
      </c>
      <c r="F497" s="7" t="s">
        <v>15</v>
      </c>
      <c r="G497" s="25" t="s">
        <v>93</v>
      </c>
      <c r="H497" s="26">
        <v>9.6</v>
      </c>
      <c r="I497" s="16">
        <v>9.57</v>
      </c>
      <c r="J497" s="42" t="str">
        <f t="shared" si="45"/>
        <v/>
      </c>
      <c r="K497" s="42" t="str">
        <f t="shared" si="46"/>
        <v/>
      </c>
      <c r="L497" s="42">
        <f t="shared" si="47"/>
        <v>-2.9999999999999361E-2</v>
      </c>
      <c r="M497" s="17" t="str">
        <f t="shared" si="48"/>
        <v/>
      </c>
      <c r="O497" s="17" t="str">
        <f t="shared" si="49"/>
        <v>Within Tolerance</v>
      </c>
    </row>
    <row r="498" spans="1:15" x14ac:dyDescent="0.3">
      <c r="A498" s="168">
        <v>46163</v>
      </c>
      <c r="B498" s="64">
        <v>46163.166666666701</v>
      </c>
      <c r="C498" s="142">
        <f t="shared" si="44"/>
        <v>46163.166666666701</v>
      </c>
      <c r="D498" s="19" t="s">
        <v>40</v>
      </c>
      <c r="E498" s="8" t="s">
        <v>17</v>
      </c>
      <c r="F498" s="7" t="s">
        <v>15</v>
      </c>
      <c r="G498" s="25" t="s">
        <v>93</v>
      </c>
      <c r="H498" s="26">
        <v>8.86</v>
      </c>
      <c r="I498" s="16">
        <v>8.81</v>
      </c>
      <c r="J498" s="42" t="str">
        <f t="shared" si="45"/>
        <v/>
      </c>
      <c r="K498" s="42" t="str">
        <f t="shared" si="46"/>
        <v/>
      </c>
      <c r="L498" s="42">
        <f t="shared" si="47"/>
        <v>-4.9999999999998934E-2</v>
      </c>
      <c r="M498" s="17" t="str">
        <f t="shared" si="48"/>
        <v/>
      </c>
      <c r="O498" s="17" t="str">
        <f t="shared" si="49"/>
        <v>Within Tolerance</v>
      </c>
    </row>
    <row r="499" spans="1:15" x14ac:dyDescent="0.3">
      <c r="A499" s="169">
        <v>46163</v>
      </c>
      <c r="B499" s="64">
        <v>46163.25</v>
      </c>
      <c r="C499" s="142">
        <f t="shared" si="44"/>
        <v>46163.25</v>
      </c>
      <c r="D499" s="19" t="s">
        <v>40</v>
      </c>
      <c r="E499" s="8" t="s">
        <v>17</v>
      </c>
      <c r="F499" s="7" t="s">
        <v>15</v>
      </c>
      <c r="G499" s="25">
        <v>9.1</v>
      </c>
      <c r="H499" s="26">
        <v>8.7799999999999994</v>
      </c>
      <c r="I499" s="16">
        <v>8.56</v>
      </c>
      <c r="J499" s="42">
        <f t="shared" si="45"/>
        <v>-0.32000000000000028</v>
      </c>
      <c r="K499" s="42">
        <f t="shared" si="46"/>
        <v>-0.53999999999999915</v>
      </c>
      <c r="L499" s="42">
        <f t="shared" si="47"/>
        <v>-0.21999999999999886</v>
      </c>
      <c r="M499" s="17" t="str">
        <f t="shared" si="48"/>
        <v>Out of Tolerance</v>
      </c>
      <c r="O499" s="17" t="str">
        <f t="shared" si="49"/>
        <v>Out of Tolerance</v>
      </c>
    </row>
    <row r="500" spans="1:15" x14ac:dyDescent="0.3">
      <c r="A500" s="187">
        <v>46162</v>
      </c>
      <c r="B500" s="98">
        <v>46162.4375</v>
      </c>
      <c r="C500" s="143">
        <f t="shared" si="44"/>
        <v>46162.4375</v>
      </c>
      <c r="D500" s="8" t="s">
        <v>31</v>
      </c>
      <c r="E500" s="8" t="s">
        <v>14</v>
      </c>
      <c r="F500" s="15" t="s">
        <v>19</v>
      </c>
      <c r="G500" s="16"/>
      <c r="H500" s="26">
        <v>13.51</v>
      </c>
      <c r="I500" s="16">
        <v>13.71</v>
      </c>
      <c r="J500" s="42" t="str">
        <f t="shared" si="45"/>
        <v/>
      </c>
      <c r="K500" s="42" t="str">
        <f t="shared" si="46"/>
        <v/>
      </c>
      <c r="L500" s="42">
        <f t="shared" si="47"/>
        <v>0.20000000000000107</v>
      </c>
      <c r="M500" s="17" t="str">
        <f t="shared" si="48"/>
        <v/>
      </c>
      <c r="O500" s="17" t="str">
        <f t="shared" si="49"/>
        <v>Out of Tolerance</v>
      </c>
    </row>
    <row r="501" spans="1:15" x14ac:dyDescent="0.3">
      <c r="A501" s="194">
        <v>46162</v>
      </c>
      <c r="B501" s="99">
        <v>46162.680555555598</v>
      </c>
      <c r="C501" s="228">
        <f t="shared" si="44"/>
        <v>46162.680555555598</v>
      </c>
      <c r="D501" s="30" t="s">
        <v>43</v>
      </c>
      <c r="E501" s="8" t="s">
        <v>14</v>
      </c>
      <c r="F501" s="15" t="s">
        <v>19</v>
      </c>
      <c r="G501" s="16"/>
      <c r="H501" s="26">
        <v>12.83</v>
      </c>
      <c r="I501" s="16">
        <v>12.98</v>
      </c>
      <c r="J501" s="42" t="str">
        <f t="shared" si="45"/>
        <v/>
      </c>
      <c r="K501" s="42" t="str">
        <f t="shared" si="46"/>
        <v/>
      </c>
      <c r="L501" s="42">
        <f t="shared" si="47"/>
        <v>0.15000000000000036</v>
      </c>
      <c r="M501" s="17" t="str">
        <f t="shared" si="48"/>
        <v/>
      </c>
      <c r="O501" s="17" t="str">
        <f t="shared" si="49"/>
        <v>Within Tolerance</v>
      </c>
    </row>
    <row r="502" spans="1:15" x14ac:dyDescent="0.3">
      <c r="A502" s="195">
        <v>46162</v>
      </c>
      <c r="B502" s="99">
        <v>46162.743055555598</v>
      </c>
      <c r="C502" s="228">
        <f t="shared" si="44"/>
        <v>46162.743055555598</v>
      </c>
      <c r="D502" s="30" t="s">
        <v>55</v>
      </c>
      <c r="E502" s="8" t="s">
        <v>14</v>
      </c>
      <c r="F502" s="15" t="s">
        <v>19</v>
      </c>
      <c r="G502" s="16"/>
      <c r="H502" s="26">
        <v>13.29</v>
      </c>
      <c r="I502" s="16">
        <v>13.31</v>
      </c>
      <c r="J502" s="42" t="str">
        <f t="shared" si="45"/>
        <v/>
      </c>
      <c r="K502" s="42" t="str">
        <f t="shared" si="46"/>
        <v/>
      </c>
      <c r="L502" s="42">
        <f t="shared" si="47"/>
        <v>2.000000000000135E-2</v>
      </c>
      <c r="M502" s="17" t="str">
        <f t="shared" si="48"/>
        <v/>
      </c>
      <c r="O502" s="17" t="str">
        <f t="shared" si="49"/>
        <v>Within Tolerance</v>
      </c>
    </row>
    <row r="503" spans="1:15" x14ac:dyDescent="0.3">
      <c r="A503" s="179">
        <v>46162</v>
      </c>
      <c r="B503" s="99">
        <v>46162.84375</v>
      </c>
      <c r="C503" s="147">
        <f t="shared" si="44"/>
        <v>46162.84375</v>
      </c>
      <c r="D503" s="7" t="s">
        <v>44</v>
      </c>
      <c r="E503" s="8" t="s">
        <v>10</v>
      </c>
      <c r="F503" s="15" t="s">
        <v>19</v>
      </c>
      <c r="G503" s="25" t="s">
        <v>93</v>
      </c>
      <c r="H503" s="26">
        <v>11.38</v>
      </c>
      <c r="I503" s="16">
        <v>11.17</v>
      </c>
      <c r="J503" s="42" t="str">
        <f t="shared" si="45"/>
        <v/>
      </c>
      <c r="K503" s="42" t="str">
        <f t="shared" si="46"/>
        <v/>
      </c>
      <c r="L503" s="42">
        <f t="shared" si="47"/>
        <v>-0.21000000000000085</v>
      </c>
      <c r="M503" s="17" t="str">
        <f t="shared" si="48"/>
        <v/>
      </c>
      <c r="O503" s="17" t="str">
        <f t="shared" si="49"/>
        <v>Out of Tolerance</v>
      </c>
    </row>
    <row r="504" spans="1:15" x14ac:dyDescent="0.3">
      <c r="A504" s="178">
        <v>46162</v>
      </c>
      <c r="B504" s="99">
        <v>46162.447916666701</v>
      </c>
      <c r="C504" s="147">
        <f t="shared" si="44"/>
        <v>46162.447916666701</v>
      </c>
      <c r="D504" s="19" t="s">
        <v>51</v>
      </c>
      <c r="E504" s="8" t="s">
        <v>10</v>
      </c>
      <c r="F504" s="7" t="s">
        <v>24</v>
      </c>
      <c r="G504" s="25" t="s">
        <v>93</v>
      </c>
      <c r="H504" s="16">
        <v>9.8800000000000008</v>
      </c>
      <c r="I504" s="16">
        <v>9.8699999999999992</v>
      </c>
      <c r="J504" s="42" t="str">
        <f t="shared" si="45"/>
        <v/>
      </c>
      <c r="K504" s="42" t="str">
        <f t="shared" si="46"/>
        <v/>
      </c>
      <c r="L504" s="42">
        <f t="shared" si="47"/>
        <v>-1.0000000000001563E-2</v>
      </c>
      <c r="M504" s="17" t="str">
        <f t="shared" si="48"/>
        <v/>
      </c>
      <c r="O504" s="17" t="str">
        <f t="shared" si="49"/>
        <v>Within Tolerance</v>
      </c>
    </row>
    <row r="505" spans="1:15" x14ac:dyDescent="0.3">
      <c r="A505" s="179">
        <v>46162</v>
      </c>
      <c r="B505" s="99">
        <v>46162.496527777781</v>
      </c>
      <c r="C505" s="147">
        <f t="shared" si="44"/>
        <v>46162.496527777781</v>
      </c>
      <c r="D505" s="23" t="s">
        <v>50</v>
      </c>
      <c r="E505" s="8" t="s">
        <v>10</v>
      </c>
      <c r="F505" s="7" t="s">
        <v>24</v>
      </c>
      <c r="G505" s="25" t="s">
        <v>93</v>
      </c>
      <c r="H505" s="16">
        <v>9.81</v>
      </c>
      <c r="I505" s="16">
        <v>9.9499999999999993</v>
      </c>
      <c r="J505" s="42" t="str">
        <f t="shared" si="45"/>
        <v/>
      </c>
      <c r="K505" s="42" t="str">
        <f t="shared" si="46"/>
        <v/>
      </c>
      <c r="L505" s="42">
        <f t="shared" si="47"/>
        <v>0.13999999999999879</v>
      </c>
      <c r="M505" s="17" t="str">
        <f t="shared" si="48"/>
        <v/>
      </c>
      <c r="O505" s="17" t="str">
        <f t="shared" si="49"/>
        <v>Within Tolerance</v>
      </c>
    </row>
    <row r="506" spans="1:15" x14ac:dyDescent="0.3">
      <c r="A506" s="178">
        <v>46162</v>
      </c>
      <c r="B506" s="90">
        <v>46162.576388888891</v>
      </c>
      <c r="C506" s="147">
        <f t="shared" si="44"/>
        <v>46162.576388888891</v>
      </c>
      <c r="D506" s="22" t="s">
        <v>49</v>
      </c>
      <c r="E506" s="8" t="s">
        <v>10</v>
      </c>
      <c r="F506" s="7" t="s">
        <v>24</v>
      </c>
      <c r="G506" s="25" t="s">
        <v>93</v>
      </c>
      <c r="H506" s="16">
        <v>9.0299999999999994</v>
      </c>
      <c r="I506" s="16">
        <v>9.16</v>
      </c>
      <c r="J506" s="42" t="str">
        <f t="shared" si="45"/>
        <v/>
      </c>
      <c r="K506" s="42" t="str">
        <f t="shared" si="46"/>
        <v/>
      </c>
      <c r="L506" s="42">
        <f t="shared" si="47"/>
        <v>0.13000000000000078</v>
      </c>
      <c r="M506" s="17" t="str">
        <f t="shared" si="48"/>
        <v/>
      </c>
      <c r="O506" s="17" t="str">
        <f t="shared" si="49"/>
        <v>Within Tolerance</v>
      </c>
    </row>
    <row r="507" spans="1:15" x14ac:dyDescent="0.3">
      <c r="A507" s="169">
        <v>46163</v>
      </c>
      <c r="B507" s="64">
        <v>46163.333333333299</v>
      </c>
      <c r="C507" s="142">
        <f t="shared" si="44"/>
        <v>46163.333333333299</v>
      </c>
      <c r="D507" s="19" t="s">
        <v>13</v>
      </c>
      <c r="E507" s="8" t="s">
        <v>14</v>
      </c>
      <c r="F507" s="7" t="s">
        <v>11</v>
      </c>
      <c r="G507" s="25">
        <v>13.4</v>
      </c>
      <c r="H507" s="26">
        <v>13.28</v>
      </c>
      <c r="I507" s="16">
        <v>13.42</v>
      </c>
      <c r="J507" s="42">
        <f t="shared" si="45"/>
        <v>-0.12000000000000099</v>
      </c>
      <c r="K507" s="42">
        <f t="shared" si="46"/>
        <v>1.9999999999999574E-2</v>
      </c>
      <c r="L507" s="42">
        <f t="shared" si="47"/>
        <v>0.14000000000000057</v>
      </c>
      <c r="M507" s="17" t="str">
        <f t="shared" si="48"/>
        <v>Within Tolerance</v>
      </c>
      <c r="O507" s="17" t="str">
        <f t="shared" si="49"/>
        <v>Within Tolerance</v>
      </c>
    </row>
    <row r="508" spans="1:15" x14ac:dyDescent="0.3">
      <c r="A508" s="168">
        <v>46163</v>
      </c>
      <c r="B508" s="64">
        <v>46163.388888888898</v>
      </c>
      <c r="C508" s="142">
        <f t="shared" si="44"/>
        <v>46163.388888888898</v>
      </c>
      <c r="D508" s="19" t="s">
        <v>18</v>
      </c>
      <c r="E508" s="8" t="s">
        <v>14</v>
      </c>
      <c r="F508" s="7" t="s">
        <v>11</v>
      </c>
      <c r="G508" s="25" t="s">
        <v>93</v>
      </c>
      <c r="H508" s="26">
        <v>13.64</v>
      </c>
      <c r="I508" s="16">
        <v>13.54</v>
      </c>
      <c r="J508" s="42" t="str">
        <f t="shared" si="45"/>
        <v/>
      </c>
      <c r="K508" s="42" t="str">
        <f t="shared" si="46"/>
        <v/>
      </c>
      <c r="L508" s="42">
        <f t="shared" si="47"/>
        <v>-0.10000000000000142</v>
      </c>
      <c r="M508" s="17" t="str">
        <f t="shared" si="48"/>
        <v/>
      </c>
      <c r="O508" s="17" t="str">
        <f t="shared" si="49"/>
        <v>Within Tolerance</v>
      </c>
    </row>
    <row r="509" spans="1:15" x14ac:dyDescent="0.3">
      <c r="A509" s="169">
        <v>46163</v>
      </c>
      <c r="B509" s="64">
        <v>46163.447916666701</v>
      </c>
      <c r="C509" s="142">
        <f t="shared" si="44"/>
        <v>46163.447916666701</v>
      </c>
      <c r="D509" s="19" t="s">
        <v>18</v>
      </c>
      <c r="E509" s="8" t="s">
        <v>14</v>
      </c>
      <c r="F509" s="7" t="s">
        <v>11</v>
      </c>
      <c r="G509" s="25">
        <v>13.5</v>
      </c>
      <c r="H509" s="26">
        <v>13.66</v>
      </c>
      <c r="I509" s="16">
        <v>13.53</v>
      </c>
      <c r="J509" s="42">
        <f t="shared" si="45"/>
        <v>0.16000000000000014</v>
      </c>
      <c r="K509" s="42">
        <f t="shared" si="46"/>
        <v>2.9999999999999361E-2</v>
      </c>
      <c r="L509" s="42">
        <f t="shared" si="47"/>
        <v>-0.13000000000000078</v>
      </c>
      <c r="M509" s="17" t="str">
        <f t="shared" si="48"/>
        <v>Within Tolerance</v>
      </c>
      <c r="O509" s="17" t="str">
        <f t="shared" si="49"/>
        <v>Within Tolerance</v>
      </c>
    </row>
    <row r="510" spans="1:15" x14ac:dyDescent="0.3">
      <c r="A510" s="168">
        <v>46163</v>
      </c>
      <c r="B510" s="64">
        <v>46163.5</v>
      </c>
      <c r="C510" s="142">
        <f t="shared" si="44"/>
        <v>46163.5</v>
      </c>
      <c r="D510" s="19" t="s">
        <v>18</v>
      </c>
      <c r="E510" s="8" t="s">
        <v>14</v>
      </c>
      <c r="F510" s="7" t="s">
        <v>11</v>
      </c>
      <c r="G510" s="25">
        <v>13.7</v>
      </c>
      <c r="H510" s="26">
        <v>13.62</v>
      </c>
      <c r="I510" s="16">
        <v>13.59</v>
      </c>
      <c r="J510" s="42">
        <f t="shared" si="45"/>
        <v>-8.0000000000000071E-2</v>
      </c>
      <c r="K510" s="42">
        <f t="shared" si="46"/>
        <v>-0.10999999999999943</v>
      </c>
      <c r="L510" s="42">
        <f t="shared" si="47"/>
        <v>-2.9999999999999361E-2</v>
      </c>
      <c r="M510" s="17" t="str">
        <f t="shared" si="48"/>
        <v>Within Tolerance</v>
      </c>
      <c r="O510" s="17" t="str">
        <f t="shared" si="49"/>
        <v>Within Tolerance</v>
      </c>
    </row>
    <row r="511" spans="1:15" x14ac:dyDescent="0.3">
      <c r="A511" s="169">
        <v>46163</v>
      </c>
      <c r="B511" s="64">
        <v>46163.583333333299</v>
      </c>
      <c r="C511" s="142">
        <f t="shared" si="44"/>
        <v>46163.583333333299</v>
      </c>
      <c r="D511" s="19" t="s">
        <v>18</v>
      </c>
      <c r="E511" s="8" t="s">
        <v>14</v>
      </c>
      <c r="F511" s="7" t="s">
        <v>11</v>
      </c>
      <c r="G511" s="25" t="s">
        <v>93</v>
      </c>
      <c r="H511" s="26">
        <v>13.43</v>
      </c>
      <c r="I511" s="16">
        <v>13.38</v>
      </c>
      <c r="J511" s="42" t="str">
        <f t="shared" si="45"/>
        <v/>
      </c>
      <c r="K511" s="42" t="str">
        <f t="shared" si="46"/>
        <v/>
      </c>
      <c r="L511" s="42">
        <f t="shared" si="47"/>
        <v>-4.9999999999998934E-2</v>
      </c>
      <c r="M511" s="17" t="str">
        <f t="shared" si="48"/>
        <v/>
      </c>
      <c r="O511" s="17" t="str">
        <f t="shared" si="49"/>
        <v>Within Tolerance</v>
      </c>
    </row>
    <row r="512" spans="1:15" x14ac:dyDescent="0.3">
      <c r="A512" s="168">
        <v>46163</v>
      </c>
      <c r="B512" s="64">
        <v>46163.666666666701</v>
      </c>
      <c r="C512" s="142">
        <f t="shared" si="44"/>
        <v>46163.666666666701</v>
      </c>
      <c r="D512" s="19" t="s">
        <v>18</v>
      </c>
      <c r="E512" s="8" t="s">
        <v>14</v>
      </c>
      <c r="F512" s="7" t="s">
        <v>11</v>
      </c>
      <c r="G512" s="25" t="s">
        <v>93</v>
      </c>
      <c r="H512" s="26">
        <v>13.43</v>
      </c>
      <c r="I512" s="16">
        <v>13.37</v>
      </c>
      <c r="J512" s="42" t="str">
        <f t="shared" si="45"/>
        <v/>
      </c>
      <c r="K512" s="42" t="str">
        <f t="shared" si="46"/>
        <v/>
      </c>
      <c r="L512" s="42">
        <f t="shared" si="47"/>
        <v>-6.0000000000000497E-2</v>
      </c>
      <c r="M512" s="17" t="str">
        <f t="shared" si="48"/>
        <v/>
      </c>
      <c r="O512" s="17" t="str">
        <f t="shared" si="49"/>
        <v>Within Tolerance</v>
      </c>
    </row>
    <row r="513" spans="1:15" x14ac:dyDescent="0.3">
      <c r="A513" s="169">
        <v>46163</v>
      </c>
      <c r="B513" s="64">
        <v>46163.75</v>
      </c>
      <c r="C513" s="142">
        <f t="shared" si="44"/>
        <v>46163.75</v>
      </c>
      <c r="D513" s="19" t="s">
        <v>18</v>
      </c>
      <c r="E513" s="8" t="s">
        <v>14</v>
      </c>
      <c r="F513" s="7" t="s">
        <v>11</v>
      </c>
      <c r="G513" s="25" t="s">
        <v>93</v>
      </c>
      <c r="H513" s="26">
        <v>13.57</v>
      </c>
      <c r="I513" s="16">
        <v>13.51</v>
      </c>
      <c r="J513" s="42" t="str">
        <f t="shared" si="45"/>
        <v/>
      </c>
      <c r="K513" s="42" t="str">
        <f t="shared" si="46"/>
        <v/>
      </c>
      <c r="L513" s="42">
        <f t="shared" si="47"/>
        <v>-6.0000000000000497E-2</v>
      </c>
      <c r="M513" s="17" t="str">
        <f t="shared" si="48"/>
        <v/>
      </c>
      <c r="O513" s="17" t="str">
        <f t="shared" si="49"/>
        <v>Within Tolerance</v>
      </c>
    </row>
    <row r="514" spans="1:15" x14ac:dyDescent="0.3">
      <c r="A514" s="168">
        <v>46163</v>
      </c>
      <c r="B514" s="64">
        <v>46163.833333333299</v>
      </c>
      <c r="C514" s="142">
        <f t="shared" ref="C514:C577" si="50">A514+MOD(B514,1)</f>
        <v>46163.833333333299</v>
      </c>
      <c r="D514" s="19" t="s">
        <v>18</v>
      </c>
      <c r="E514" s="8" t="s">
        <v>14</v>
      </c>
      <c r="F514" s="7" t="s">
        <v>11</v>
      </c>
      <c r="G514" s="25" t="s">
        <v>93</v>
      </c>
      <c r="H514" s="26">
        <v>13.61</v>
      </c>
      <c r="I514" s="16">
        <v>13.48</v>
      </c>
      <c r="J514" s="42" t="str">
        <f t="shared" si="45"/>
        <v/>
      </c>
      <c r="K514" s="42" t="str">
        <f t="shared" si="46"/>
        <v/>
      </c>
      <c r="L514" s="42">
        <f t="shared" si="47"/>
        <v>-0.12999999999999901</v>
      </c>
      <c r="M514" s="17" t="str">
        <f t="shared" si="48"/>
        <v/>
      </c>
      <c r="O514" s="17" t="str">
        <f t="shared" si="49"/>
        <v>Within Tolerance</v>
      </c>
    </row>
    <row r="515" spans="1:15" x14ac:dyDescent="0.3">
      <c r="A515" s="169">
        <v>46163</v>
      </c>
      <c r="B515" s="64">
        <v>46163.930555555598</v>
      </c>
      <c r="C515" s="142">
        <f t="shared" si="50"/>
        <v>46163.930555555598</v>
      </c>
      <c r="D515" s="19" t="s">
        <v>18</v>
      </c>
      <c r="E515" s="8" t="s">
        <v>14</v>
      </c>
      <c r="F515" s="7" t="s">
        <v>11</v>
      </c>
      <c r="G515" s="25">
        <v>13</v>
      </c>
      <c r="H515" s="26">
        <v>13.67</v>
      </c>
      <c r="I515" s="16"/>
      <c r="J515" s="42">
        <f t="shared" ref="J515:J578" si="51">IF(OR(TRIM(G515&amp;"")="",TRIM(H515&amp;"")="",G515="-",H515="-"),"",H515-G515)</f>
        <v>0.66999999999999993</v>
      </c>
      <c r="K515" s="42" t="str">
        <f t="shared" ref="K515:K578" si="52">IF(OR(TRIM(G515&amp;"")="",TRIM(I515&amp;"")="",G515="-",I515="-"),"",I515-G515)</f>
        <v/>
      </c>
      <c r="L515" s="42" t="str">
        <f t="shared" ref="L515:L578" si="53">IF(OR(TRIM(H515&amp;"")="",TRIM(I515&amp;"")="",H515="-",I515="-"),"",I515-H515)</f>
        <v/>
      </c>
      <c r="M515" s="17" t="str">
        <f t="shared" ref="M515:M578" si="54">IF(J515="","",IF(ABS(J515)&lt;=0.2,"Within Tolerance","Out of Tolerance"))</f>
        <v>Out of Tolerance</v>
      </c>
      <c r="O515" s="17" t="str">
        <f t="shared" ref="O515:O578" si="55">IF(L515="","",IF(ABS(L515)&lt;=0.2,"Within Tolerance","Out of Tolerance"))</f>
        <v/>
      </c>
    </row>
    <row r="516" spans="1:15" x14ac:dyDescent="0.3">
      <c r="A516" s="168">
        <v>46163</v>
      </c>
      <c r="B516" s="64">
        <v>46164</v>
      </c>
      <c r="C516" s="142">
        <f t="shared" si="50"/>
        <v>46163</v>
      </c>
      <c r="D516" s="19" t="s">
        <v>18</v>
      </c>
      <c r="E516" s="8" t="s">
        <v>14</v>
      </c>
      <c r="F516" s="7" t="s">
        <v>11</v>
      </c>
      <c r="G516" s="25" t="s">
        <v>93</v>
      </c>
      <c r="H516" s="26">
        <v>13.53</v>
      </c>
      <c r="I516" s="16">
        <v>13.49</v>
      </c>
      <c r="J516" s="42" t="str">
        <f t="shared" si="51"/>
        <v/>
      </c>
      <c r="K516" s="42" t="str">
        <f t="shared" si="52"/>
        <v/>
      </c>
      <c r="L516" s="42">
        <f t="shared" si="53"/>
        <v>-3.9999999999999147E-2</v>
      </c>
      <c r="M516" s="17" t="str">
        <f t="shared" si="54"/>
        <v/>
      </c>
      <c r="O516" s="17" t="str">
        <f t="shared" si="55"/>
        <v>Within Tolerance</v>
      </c>
    </row>
    <row r="517" spans="1:15" x14ac:dyDescent="0.3">
      <c r="A517" s="169">
        <v>46164</v>
      </c>
      <c r="B517" s="64">
        <v>46164.09375</v>
      </c>
      <c r="C517" s="142">
        <f t="shared" si="50"/>
        <v>46164.09375</v>
      </c>
      <c r="D517" s="19" t="s">
        <v>41</v>
      </c>
      <c r="E517" s="8" t="s">
        <v>10</v>
      </c>
      <c r="F517" s="7" t="s">
        <v>11</v>
      </c>
      <c r="G517" s="25" t="s">
        <v>93</v>
      </c>
      <c r="H517" s="26">
        <v>9.5299999999999994</v>
      </c>
      <c r="I517" s="16">
        <v>9.73</v>
      </c>
      <c r="J517" s="42" t="str">
        <f t="shared" si="51"/>
        <v/>
      </c>
      <c r="K517" s="42" t="str">
        <f t="shared" si="52"/>
        <v/>
      </c>
      <c r="L517" s="42">
        <f t="shared" si="53"/>
        <v>0.20000000000000107</v>
      </c>
      <c r="M517" s="17" t="str">
        <f t="shared" si="54"/>
        <v/>
      </c>
      <c r="O517" s="17" t="str">
        <f t="shared" si="55"/>
        <v>Out of Tolerance</v>
      </c>
    </row>
    <row r="518" spans="1:15" x14ac:dyDescent="0.3">
      <c r="A518" s="168">
        <v>46164</v>
      </c>
      <c r="B518" s="64">
        <v>46164.166666666701</v>
      </c>
      <c r="C518" s="142">
        <f t="shared" si="50"/>
        <v>46164.166666666701</v>
      </c>
      <c r="D518" s="19" t="s">
        <v>41</v>
      </c>
      <c r="E518" s="8" t="s">
        <v>10</v>
      </c>
      <c r="F518" s="7" t="s">
        <v>11</v>
      </c>
      <c r="G518" s="25" t="s">
        <v>93</v>
      </c>
      <c r="H518" s="26">
        <v>9.56</v>
      </c>
      <c r="I518" s="16">
        <v>9.4600000000000009</v>
      </c>
      <c r="J518" s="42" t="str">
        <f t="shared" si="51"/>
        <v/>
      </c>
      <c r="K518" s="42" t="str">
        <f t="shared" si="52"/>
        <v/>
      </c>
      <c r="L518" s="42">
        <f t="shared" si="53"/>
        <v>-9.9999999999999645E-2</v>
      </c>
      <c r="M518" s="17" t="str">
        <f t="shared" si="54"/>
        <v/>
      </c>
      <c r="O518" s="17" t="str">
        <f t="shared" si="55"/>
        <v>Within Tolerance</v>
      </c>
    </row>
    <row r="519" spans="1:15" x14ac:dyDescent="0.3">
      <c r="A519" s="169">
        <v>46164</v>
      </c>
      <c r="B519" s="64">
        <v>46164.25</v>
      </c>
      <c r="C519" s="142">
        <f t="shared" si="50"/>
        <v>46164.25</v>
      </c>
      <c r="D519" s="19" t="s">
        <v>41</v>
      </c>
      <c r="E519" s="8" t="s">
        <v>10</v>
      </c>
      <c r="F519" s="7" t="s">
        <v>11</v>
      </c>
      <c r="G519" s="25" t="s">
        <v>93</v>
      </c>
      <c r="H519" s="26">
        <v>9.49</v>
      </c>
      <c r="I519" s="16">
        <v>9.42</v>
      </c>
      <c r="J519" s="42" t="str">
        <f t="shared" si="51"/>
        <v/>
      </c>
      <c r="K519" s="42" t="str">
        <f t="shared" si="52"/>
        <v/>
      </c>
      <c r="L519" s="42">
        <f t="shared" si="53"/>
        <v>-7.0000000000000284E-2</v>
      </c>
      <c r="M519" s="17" t="str">
        <f t="shared" si="54"/>
        <v/>
      </c>
      <c r="O519" s="17" t="str">
        <f t="shared" si="55"/>
        <v>Within Tolerance</v>
      </c>
    </row>
    <row r="520" spans="1:15" x14ac:dyDescent="0.3">
      <c r="A520" s="168">
        <v>46163</v>
      </c>
      <c r="B520" s="64">
        <v>46163.333333333299</v>
      </c>
      <c r="C520" s="142">
        <f t="shared" si="50"/>
        <v>46163.333333333299</v>
      </c>
      <c r="D520" s="19" t="s">
        <v>40</v>
      </c>
      <c r="E520" s="8" t="s">
        <v>17</v>
      </c>
      <c r="F520" s="7" t="s">
        <v>15</v>
      </c>
      <c r="G520" s="25">
        <v>8.8000000000000007</v>
      </c>
      <c r="H520" s="26">
        <v>8.75</v>
      </c>
      <c r="I520" s="16">
        <v>8.89</v>
      </c>
      <c r="J520" s="42">
        <f t="shared" si="51"/>
        <v>-5.0000000000000711E-2</v>
      </c>
      <c r="K520" s="42">
        <f t="shared" si="52"/>
        <v>8.9999999999999858E-2</v>
      </c>
      <c r="L520" s="42">
        <f t="shared" si="53"/>
        <v>0.14000000000000057</v>
      </c>
      <c r="M520" s="17" t="str">
        <f t="shared" si="54"/>
        <v>Within Tolerance</v>
      </c>
      <c r="O520" s="17" t="str">
        <f t="shared" si="55"/>
        <v>Within Tolerance</v>
      </c>
    </row>
    <row r="521" spans="1:15" x14ac:dyDescent="0.3">
      <c r="A521" s="169">
        <v>46163</v>
      </c>
      <c r="B521" s="64">
        <v>46163.416666666701</v>
      </c>
      <c r="C521" s="142">
        <f t="shared" si="50"/>
        <v>46163.416666666701</v>
      </c>
      <c r="D521" s="19" t="s">
        <v>40</v>
      </c>
      <c r="E521" s="8" t="s">
        <v>17</v>
      </c>
      <c r="F521" s="7" t="s">
        <v>15</v>
      </c>
      <c r="G521" s="25" t="s">
        <v>93</v>
      </c>
      <c r="H521" s="26">
        <v>8.74</v>
      </c>
      <c r="I521" s="16">
        <v>8.77</v>
      </c>
      <c r="J521" s="42" t="str">
        <f t="shared" si="51"/>
        <v/>
      </c>
      <c r="K521" s="42" t="str">
        <f t="shared" si="52"/>
        <v/>
      </c>
      <c r="L521" s="42">
        <f t="shared" si="53"/>
        <v>2.9999999999999361E-2</v>
      </c>
      <c r="M521" s="17" t="str">
        <f t="shared" si="54"/>
        <v/>
      </c>
      <c r="O521" s="17" t="str">
        <f t="shared" si="55"/>
        <v>Within Tolerance</v>
      </c>
    </row>
    <row r="522" spans="1:15" x14ac:dyDescent="0.3">
      <c r="A522" s="168">
        <v>46163</v>
      </c>
      <c r="B522" s="64">
        <v>46163.5</v>
      </c>
      <c r="C522" s="142">
        <f t="shared" si="50"/>
        <v>46163.5</v>
      </c>
      <c r="D522" s="19" t="s">
        <v>40</v>
      </c>
      <c r="E522" s="8" t="s">
        <v>17</v>
      </c>
      <c r="F522" s="7" t="s">
        <v>15</v>
      </c>
      <c r="G522" s="25" t="s">
        <v>93</v>
      </c>
      <c r="H522" s="26">
        <v>8.68</v>
      </c>
      <c r="I522" s="16">
        <v>8.81</v>
      </c>
      <c r="J522" s="42" t="str">
        <f t="shared" si="51"/>
        <v/>
      </c>
      <c r="K522" s="42" t="str">
        <f t="shared" si="52"/>
        <v/>
      </c>
      <c r="L522" s="42">
        <f t="shared" si="53"/>
        <v>0.13000000000000078</v>
      </c>
      <c r="M522" s="17" t="str">
        <f t="shared" si="54"/>
        <v/>
      </c>
      <c r="O522" s="17" t="str">
        <f t="shared" si="55"/>
        <v>Within Tolerance</v>
      </c>
    </row>
    <row r="523" spans="1:15" x14ac:dyDescent="0.3">
      <c r="A523" s="169">
        <v>46163</v>
      </c>
      <c r="B523" s="64">
        <v>46163.583333333299</v>
      </c>
      <c r="C523" s="142">
        <f t="shared" si="50"/>
        <v>46163.583333333299</v>
      </c>
      <c r="D523" s="19" t="s">
        <v>40</v>
      </c>
      <c r="E523" s="8" t="s">
        <v>17</v>
      </c>
      <c r="F523" s="7" t="s">
        <v>15</v>
      </c>
      <c r="G523" s="25" t="s">
        <v>93</v>
      </c>
      <c r="H523" s="26">
        <v>8.69</v>
      </c>
      <c r="I523" s="16">
        <v>8.67</v>
      </c>
      <c r="J523" s="42" t="str">
        <f t="shared" si="51"/>
        <v/>
      </c>
      <c r="K523" s="42" t="str">
        <f t="shared" si="52"/>
        <v/>
      </c>
      <c r="L523" s="42">
        <f t="shared" si="53"/>
        <v>-1.9999999999999574E-2</v>
      </c>
      <c r="M523" s="17" t="str">
        <f t="shared" si="54"/>
        <v/>
      </c>
      <c r="O523" s="17" t="str">
        <f t="shared" si="55"/>
        <v>Within Tolerance</v>
      </c>
    </row>
    <row r="524" spans="1:15" x14ac:dyDescent="0.3">
      <c r="A524" s="168">
        <v>46163</v>
      </c>
      <c r="B524" s="64">
        <v>46163.649305555598</v>
      </c>
      <c r="C524" s="142">
        <f t="shared" si="50"/>
        <v>46163.649305555598</v>
      </c>
      <c r="D524" s="19" t="s">
        <v>41</v>
      </c>
      <c r="E524" s="8" t="s">
        <v>10</v>
      </c>
      <c r="F524" s="7" t="s">
        <v>15</v>
      </c>
      <c r="G524" s="25" t="s">
        <v>93</v>
      </c>
      <c r="H524" s="26">
        <v>9.32</v>
      </c>
      <c r="I524" s="16">
        <v>9.57</v>
      </c>
      <c r="J524" s="42" t="str">
        <f t="shared" si="51"/>
        <v/>
      </c>
      <c r="K524" s="42" t="str">
        <f t="shared" si="52"/>
        <v/>
      </c>
      <c r="L524" s="42">
        <f t="shared" si="53"/>
        <v>0.25</v>
      </c>
      <c r="M524" s="17" t="str">
        <f t="shared" si="54"/>
        <v/>
      </c>
      <c r="O524" s="17" t="str">
        <f t="shared" si="55"/>
        <v>Out of Tolerance</v>
      </c>
    </row>
    <row r="525" spans="1:15" x14ac:dyDescent="0.3">
      <c r="A525" s="169">
        <v>46163</v>
      </c>
      <c r="B525" s="64">
        <v>46163.729166666701</v>
      </c>
      <c r="C525" s="142">
        <f t="shared" si="50"/>
        <v>46163.729166666701</v>
      </c>
      <c r="D525" s="19" t="s">
        <v>41</v>
      </c>
      <c r="E525" s="8" t="s">
        <v>10</v>
      </c>
      <c r="F525" s="7" t="s">
        <v>15</v>
      </c>
      <c r="G525" s="25" t="s">
        <v>93</v>
      </c>
      <c r="H525" s="26">
        <v>9.66</v>
      </c>
      <c r="I525" s="16">
        <v>9.6</v>
      </c>
      <c r="J525" s="42" t="str">
        <f t="shared" si="51"/>
        <v/>
      </c>
      <c r="K525" s="42" t="str">
        <f t="shared" si="52"/>
        <v/>
      </c>
      <c r="L525" s="42">
        <f t="shared" si="53"/>
        <v>-6.0000000000000497E-2</v>
      </c>
      <c r="M525" s="17" t="str">
        <f t="shared" si="54"/>
        <v/>
      </c>
      <c r="O525" s="17" t="str">
        <f t="shared" si="55"/>
        <v>Within Tolerance</v>
      </c>
    </row>
    <row r="526" spans="1:15" x14ac:dyDescent="0.3">
      <c r="A526" s="168">
        <v>46163</v>
      </c>
      <c r="B526" s="64">
        <v>46163.833333333299</v>
      </c>
      <c r="C526" s="142">
        <f t="shared" si="50"/>
        <v>46163.833333333299</v>
      </c>
      <c r="D526" s="19" t="s">
        <v>41</v>
      </c>
      <c r="E526" s="8" t="s">
        <v>10</v>
      </c>
      <c r="F526" s="7" t="s">
        <v>15</v>
      </c>
      <c r="G526" s="25" t="s">
        <v>93</v>
      </c>
      <c r="H526" s="26">
        <v>9.58</v>
      </c>
      <c r="I526" s="16">
        <v>9.58</v>
      </c>
      <c r="J526" s="42" t="str">
        <f t="shared" si="51"/>
        <v/>
      </c>
      <c r="K526" s="42" t="str">
        <f t="shared" si="52"/>
        <v/>
      </c>
      <c r="L526" s="42">
        <f t="shared" si="53"/>
        <v>0</v>
      </c>
      <c r="M526" s="17" t="str">
        <f t="shared" si="54"/>
        <v/>
      </c>
      <c r="O526" s="17" t="str">
        <f t="shared" si="55"/>
        <v>Within Tolerance</v>
      </c>
    </row>
    <row r="527" spans="1:15" x14ac:dyDescent="0.3">
      <c r="A527" s="169">
        <v>46163</v>
      </c>
      <c r="B527" s="64">
        <v>46163.916666666701</v>
      </c>
      <c r="C527" s="142">
        <f t="shared" si="50"/>
        <v>46163.916666666701</v>
      </c>
      <c r="D527" s="19" t="s">
        <v>41</v>
      </c>
      <c r="E527" s="8" t="s">
        <v>10</v>
      </c>
      <c r="F527" s="7" t="s">
        <v>15</v>
      </c>
      <c r="G527" s="25" t="s">
        <v>93</v>
      </c>
      <c r="H527" s="26">
        <v>9.74</v>
      </c>
      <c r="I527" s="16">
        <v>9.58</v>
      </c>
      <c r="J527" s="42" t="str">
        <f t="shared" si="51"/>
        <v/>
      </c>
      <c r="K527" s="42" t="str">
        <f t="shared" si="52"/>
        <v/>
      </c>
      <c r="L527" s="42">
        <f t="shared" si="53"/>
        <v>-0.16000000000000014</v>
      </c>
      <c r="M527" s="17" t="str">
        <f t="shared" si="54"/>
        <v/>
      </c>
      <c r="O527" s="17" t="str">
        <f t="shared" si="55"/>
        <v>Within Tolerance</v>
      </c>
    </row>
    <row r="528" spans="1:15" x14ac:dyDescent="0.3">
      <c r="A528" s="168">
        <v>46163</v>
      </c>
      <c r="B528" s="64">
        <v>46164</v>
      </c>
      <c r="C528" s="142">
        <f t="shared" si="50"/>
        <v>46163</v>
      </c>
      <c r="D528" s="19" t="s">
        <v>41</v>
      </c>
      <c r="E528" s="8" t="s">
        <v>10</v>
      </c>
      <c r="F528" s="7" t="s">
        <v>15</v>
      </c>
      <c r="G528" s="25" t="s">
        <v>93</v>
      </c>
      <c r="H528" s="26">
        <v>9.61</v>
      </c>
      <c r="I528" s="16">
        <v>9.51</v>
      </c>
      <c r="J528" s="42" t="str">
        <f t="shared" si="51"/>
        <v/>
      </c>
      <c r="K528" s="42" t="str">
        <f t="shared" si="52"/>
        <v/>
      </c>
      <c r="L528" s="42">
        <f t="shared" si="53"/>
        <v>-9.9999999999999645E-2</v>
      </c>
      <c r="M528" s="17" t="str">
        <f t="shared" si="54"/>
        <v/>
      </c>
      <c r="O528" s="17" t="str">
        <f t="shared" si="55"/>
        <v>Within Tolerance</v>
      </c>
    </row>
    <row r="529" spans="1:15" x14ac:dyDescent="0.3">
      <c r="A529" s="169">
        <v>46164</v>
      </c>
      <c r="B529" s="64">
        <v>46164.083333333299</v>
      </c>
      <c r="C529" s="142">
        <f t="shared" si="50"/>
        <v>46164.083333333299</v>
      </c>
      <c r="D529" s="19" t="s">
        <v>41</v>
      </c>
      <c r="E529" s="8" t="s">
        <v>10</v>
      </c>
      <c r="F529" s="7" t="s">
        <v>15</v>
      </c>
      <c r="G529" s="25" t="s">
        <v>93</v>
      </c>
      <c r="H529" s="26">
        <v>9.6</v>
      </c>
      <c r="I529" s="16">
        <v>9.67</v>
      </c>
      <c r="J529" s="42" t="str">
        <f t="shared" si="51"/>
        <v/>
      </c>
      <c r="K529" s="42" t="str">
        <f t="shared" si="52"/>
        <v/>
      </c>
      <c r="L529" s="42">
        <f t="shared" si="53"/>
        <v>7.0000000000000284E-2</v>
      </c>
      <c r="M529" s="17" t="str">
        <f t="shared" si="54"/>
        <v/>
      </c>
      <c r="O529" s="17" t="str">
        <f t="shared" si="55"/>
        <v>Within Tolerance</v>
      </c>
    </row>
    <row r="530" spans="1:15" x14ac:dyDescent="0.3">
      <c r="A530" s="168">
        <v>46164</v>
      </c>
      <c r="B530" s="64">
        <v>46164.166666666701</v>
      </c>
      <c r="C530" s="142">
        <f t="shared" si="50"/>
        <v>46164.166666666701</v>
      </c>
      <c r="D530" s="19" t="s">
        <v>41</v>
      </c>
      <c r="E530" s="8" t="s">
        <v>10</v>
      </c>
      <c r="F530" s="7" t="s">
        <v>15</v>
      </c>
      <c r="G530" s="25" t="s">
        <v>93</v>
      </c>
      <c r="H530" s="26">
        <v>9.73</v>
      </c>
      <c r="I530" s="16">
        <v>9.8000000000000007</v>
      </c>
      <c r="J530" s="42" t="str">
        <f t="shared" si="51"/>
        <v/>
      </c>
      <c r="K530" s="42" t="str">
        <f t="shared" si="52"/>
        <v/>
      </c>
      <c r="L530" s="42">
        <f t="shared" si="53"/>
        <v>7.0000000000000284E-2</v>
      </c>
      <c r="M530" s="17" t="str">
        <f t="shared" si="54"/>
        <v/>
      </c>
      <c r="O530" s="17" t="str">
        <f t="shared" si="55"/>
        <v>Within Tolerance</v>
      </c>
    </row>
    <row r="531" spans="1:15" x14ac:dyDescent="0.3">
      <c r="A531" s="169">
        <v>46164</v>
      </c>
      <c r="B531" s="64">
        <v>46164.194444444402</v>
      </c>
      <c r="C531" s="142">
        <f t="shared" si="50"/>
        <v>46164.194444444402</v>
      </c>
      <c r="D531" s="19" t="s">
        <v>29</v>
      </c>
      <c r="E531" s="8" t="s">
        <v>10</v>
      </c>
      <c r="F531" s="7" t="s">
        <v>15</v>
      </c>
      <c r="G531" s="25" t="s">
        <v>93</v>
      </c>
      <c r="H531" s="26">
        <v>10.44</v>
      </c>
      <c r="I531" s="16">
        <v>10.27</v>
      </c>
      <c r="J531" s="42" t="str">
        <f t="shared" si="51"/>
        <v/>
      </c>
      <c r="K531" s="42" t="str">
        <f t="shared" si="52"/>
        <v/>
      </c>
      <c r="L531" s="42">
        <f t="shared" si="53"/>
        <v>-0.16999999999999993</v>
      </c>
      <c r="M531" s="17" t="str">
        <f t="shared" si="54"/>
        <v/>
      </c>
      <c r="O531" s="17" t="str">
        <f t="shared" si="55"/>
        <v>Within Tolerance</v>
      </c>
    </row>
    <row r="532" spans="1:15" x14ac:dyDescent="0.3">
      <c r="A532" s="168">
        <v>46164</v>
      </c>
      <c r="B532" s="64">
        <v>46164.229166666701</v>
      </c>
      <c r="C532" s="142">
        <f t="shared" si="50"/>
        <v>46164.229166666701</v>
      </c>
      <c r="D532" s="19" t="s">
        <v>29</v>
      </c>
      <c r="E532" s="8" t="s">
        <v>10</v>
      </c>
      <c r="F532" s="7" t="s">
        <v>15</v>
      </c>
      <c r="G532" s="25" t="s">
        <v>93</v>
      </c>
      <c r="H532" s="26">
        <v>10.48</v>
      </c>
      <c r="I532" s="16">
        <v>10.210000000000001</v>
      </c>
      <c r="J532" s="42" t="str">
        <f t="shared" si="51"/>
        <v/>
      </c>
      <c r="K532" s="42" t="str">
        <f t="shared" si="52"/>
        <v/>
      </c>
      <c r="L532" s="42">
        <f t="shared" si="53"/>
        <v>-0.26999999999999957</v>
      </c>
      <c r="M532" s="17" t="str">
        <f t="shared" si="54"/>
        <v/>
      </c>
      <c r="O532" s="17" t="str">
        <f t="shared" si="55"/>
        <v>Out of Tolerance</v>
      </c>
    </row>
    <row r="533" spans="1:15" x14ac:dyDescent="0.3">
      <c r="A533" s="193">
        <v>46163</v>
      </c>
      <c r="B533" s="91">
        <v>46163.833333333299</v>
      </c>
      <c r="C533" s="227">
        <f t="shared" si="50"/>
        <v>46163.833333333299</v>
      </c>
      <c r="D533" s="7" t="s">
        <v>27</v>
      </c>
      <c r="E533" s="8" t="s">
        <v>10</v>
      </c>
      <c r="F533" s="15" t="s">
        <v>19</v>
      </c>
      <c r="G533" s="25" t="s">
        <v>93</v>
      </c>
      <c r="H533" s="35">
        <v>9.8699999999999992</v>
      </c>
      <c r="I533" s="16">
        <v>9.76</v>
      </c>
      <c r="J533" s="42" t="str">
        <f t="shared" si="51"/>
        <v/>
      </c>
      <c r="K533" s="42" t="str">
        <f t="shared" si="52"/>
        <v/>
      </c>
      <c r="L533" s="42">
        <f t="shared" si="53"/>
        <v>-0.10999999999999943</v>
      </c>
      <c r="M533" s="17" t="str">
        <f t="shared" si="54"/>
        <v/>
      </c>
      <c r="O533" s="17" t="str">
        <f t="shared" si="55"/>
        <v>Within Tolerance</v>
      </c>
    </row>
    <row r="534" spans="1:15" x14ac:dyDescent="0.3">
      <c r="A534" s="190">
        <v>46163</v>
      </c>
      <c r="B534" s="67">
        <v>46163.465277777803</v>
      </c>
      <c r="C534" s="145">
        <f t="shared" si="50"/>
        <v>46163.465277777803</v>
      </c>
      <c r="D534" s="19" t="s">
        <v>49</v>
      </c>
      <c r="E534" s="8" t="s">
        <v>10</v>
      </c>
      <c r="F534" s="7" t="s">
        <v>24</v>
      </c>
      <c r="G534" s="25" t="s">
        <v>93</v>
      </c>
      <c r="H534" s="26">
        <v>9.16</v>
      </c>
      <c r="I534" s="16">
        <v>9.3699999999999992</v>
      </c>
      <c r="J534" s="42" t="str">
        <f t="shared" si="51"/>
        <v/>
      </c>
      <c r="K534" s="42" t="str">
        <f t="shared" si="52"/>
        <v/>
      </c>
      <c r="L534" s="42">
        <f t="shared" si="53"/>
        <v>0.20999999999999908</v>
      </c>
      <c r="M534" s="17" t="str">
        <f t="shared" si="54"/>
        <v/>
      </c>
      <c r="O534" s="17" t="str">
        <f t="shared" si="55"/>
        <v>Out of Tolerance</v>
      </c>
    </row>
    <row r="535" spans="1:15" x14ac:dyDescent="0.3">
      <c r="A535" s="196">
        <v>46163</v>
      </c>
      <c r="B535" s="68">
        <v>46163.527777777803</v>
      </c>
      <c r="C535" s="146">
        <f t="shared" si="50"/>
        <v>46163.527777777803</v>
      </c>
      <c r="D535" s="19" t="s">
        <v>50</v>
      </c>
      <c r="E535" s="8" t="s">
        <v>10</v>
      </c>
      <c r="F535" s="7" t="s">
        <v>24</v>
      </c>
      <c r="G535" s="25" t="s">
        <v>93</v>
      </c>
      <c r="H535" s="26">
        <v>9.76</v>
      </c>
      <c r="I535" s="16">
        <v>9.84</v>
      </c>
      <c r="J535" s="42" t="str">
        <f t="shared" si="51"/>
        <v/>
      </c>
      <c r="K535" s="42" t="str">
        <f t="shared" si="52"/>
        <v/>
      </c>
      <c r="L535" s="42">
        <f t="shared" si="53"/>
        <v>8.0000000000000071E-2</v>
      </c>
      <c r="M535" s="17" t="str">
        <f t="shared" si="54"/>
        <v/>
      </c>
      <c r="O535" s="17" t="str">
        <f t="shared" si="55"/>
        <v>Within Tolerance</v>
      </c>
    </row>
    <row r="536" spans="1:15" x14ac:dyDescent="0.3">
      <c r="A536" s="174">
        <v>46163</v>
      </c>
      <c r="B536" s="66">
        <v>46163.583333333299</v>
      </c>
      <c r="C536" s="144">
        <f t="shared" si="50"/>
        <v>46163.583333333299</v>
      </c>
      <c r="D536" s="19" t="s">
        <v>51</v>
      </c>
      <c r="E536" s="8" t="s">
        <v>10</v>
      </c>
      <c r="F536" s="7" t="s">
        <v>24</v>
      </c>
      <c r="G536" s="25" t="s">
        <v>93</v>
      </c>
      <c r="H536" s="26">
        <v>9.86</v>
      </c>
      <c r="I536" s="16">
        <v>9.7200000000000006</v>
      </c>
      <c r="J536" s="42" t="str">
        <f t="shared" si="51"/>
        <v/>
      </c>
      <c r="K536" s="42" t="str">
        <f t="shared" si="52"/>
        <v/>
      </c>
      <c r="L536" s="42">
        <f t="shared" si="53"/>
        <v>-0.13999999999999879</v>
      </c>
      <c r="M536" s="17" t="str">
        <f t="shared" si="54"/>
        <v/>
      </c>
      <c r="O536" s="17" t="str">
        <f t="shared" si="55"/>
        <v>Within Tolerance</v>
      </c>
    </row>
    <row r="537" spans="1:15" x14ac:dyDescent="0.3">
      <c r="A537" s="169">
        <v>46164</v>
      </c>
      <c r="B537" s="64">
        <v>46164.333333333299</v>
      </c>
      <c r="C537" s="142">
        <f t="shared" si="50"/>
        <v>46164.333333333299</v>
      </c>
      <c r="D537" s="19" t="s">
        <v>41</v>
      </c>
      <c r="E537" s="8" t="s">
        <v>10</v>
      </c>
      <c r="F537" s="7" t="s">
        <v>11</v>
      </c>
      <c r="G537" s="25" t="s">
        <v>93</v>
      </c>
      <c r="H537" s="26">
        <v>9.5500000000000007</v>
      </c>
      <c r="I537" s="16">
        <v>9.6199999999999992</v>
      </c>
      <c r="J537" s="42" t="str">
        <f t="shared" si="51"/>
        <v/>
      </c>
      <c r="K537" s="42" t="str">
        <f t="shared" si="52"/>
        <v/>
      </c>
      <c r="L537" s="42">
        <f t="shared" si="53"/>
        <v>6.9999999999998508E-2</v>
      </c>
      <c r="M537" s="17" t="str">
        <f t="shared" si="54"/>
        <v/>
      </c>
      <c r="O537" s="17" t="str">
        <f t="shared" si="55"/>
        <v>Within Tolerance</v>
      </c>
    </row>
    <row r="538" spans="1:15" x14ac:dyDescent="0.3">
      <c r="A538" s="168">
        <v>46164</v>
      </c>
      <c r="B538" s="64">
        <v>46164.416666666701</v>
      </c>
      <c r="C538" s="142">
        <f t="shared" si="50"/>
        <v>46164.416666666701</v>
      </c>
      <c r="D538" s="19" t="s">
        <v>41</v>
      </c>
      <c r="E538" s="8" t="s">
        <v>10</v>
      </c>
      <c r="F538" s="7" t="s">
        <v>11</v>
      </c>
      <c r="G538" s="25" t="s">
        <v>93</v>
      </c>
      <c r="H538" s="26">
        <v>9.5</v>
      </c>
      <c r="I538" s="16">
        <v>9.6300000000000008</v>
      </c>
      <c r="J538" s="42" t="str">
        <f t="shared" si="51"/>
        <v/>
      </c>
      <c r="K538" s="42" t="str">
        <f t="shared" si="52"/>
        <v/>
      </c>
      <c r="L538" s="42">
        <f t="shared" si="53"/>
        <v>0.13000000000000078</v>
      </c>
      <c r="M538" s="17" t="str">
        <f t="shared" si="54"/>
        <v/>
      </c>
      <c r="O538" s="17" t="str">
        <f t="shared" si="55"/>
        <v>Within Tolerance</v>
      </c>
    </row>
    <row r="539" spans="1:15" x14ac:dyDescent="0.3">
      <c r="A539" s="169">
        <v>46164</v>
      </c>
      <c r="B539" s="64">
        <v>46164.5</v>
      </c>
      <c r="C539" s="142">
        <f t="shared" si="50"/>
        <v>46164.5</v>
      </c>
      <c r="D539" s="19" t="s">
        <v>41</v>
      </c>
      <c r="E539" s="8" t="s">
        <v>10</v>
      </c>
      <c r="F539" s="7" t="s">
        <v>11</v>
      </c>
      <c r="G539" s="25" t="s">
        <v>93</v>
      </c>
      <c r="H539" s="26">
        <v>9.5399999999999991</v>
      </c>
      <c r="I539" s="16">
        <v>9.69</v>
      </c>
      <c r="J539" s="42" t="str">
        <f t="shared" si="51"/>
        <v/>
      </c>
      <c r="K539" s="42" t="str">
        <f t="shared" si="52"/>
        <v/>
      </c>
      <c r="L539" s="42">
        <f t="shared" si="53"/>
        <v>0.15000000000000036</v>
      </c>
      <c r="M539" s="17" t="str">
        <f t="shared" si="54"/>
        <v/>
      </c>
      <c r="O539" s="17" t="str">
        <f t="shared" si="55"/>
        <v>Within Tolerance</v>
      </c>
    </row>
    <row r="540" spans="1:15" x14ac:dyDescent="0.3">
      <c r="A540" s="168">
        <v>46164</v>
      </c>
      <c r="B540" s="64">
        <v>46164.604166666701</v>
      </c>
      <c r="C540" s="142">
        <f t="shared" si="50"/>
        <v>46164.604166666701</v>
      </c>
      <c r="D540" s="19" t="s">
        <v>41</v>
      </c>
      <c r="E540" s="8" t="s">
        <v>10</v>
      </c>
      <c r="F540" s="7" t="s">
        <v>11</v>
      </c>
      <c r="G540" s="25" t="s">
        <v>93</v>
      </c>
      <c r="H540" s="26">
        <v>9.5</v>
      </c>
      <c r="I540" s="16">
        <v>9.65</v>
      </c>
      <c r="J540" s="42" t="str">
        <f t="shared" si="51"/>
        <v/>
      </c>
      <c r="K540" s="42" t="str">
        <f t="shared" si="52"/>
        <v/>
      </c>
      <c r="L540" s="42">
        <f t="shared" si="53"/>
        <v>0.15000000000000036</v>
      </c>
      <c r="M540" s="17" t="str">
        <f t="shared" si="54"/>
        <v/>
      </c>
      <c r="O540" s="17" t="str">
        <f t="shared" si="55"/>
        <v>Within Tolerance</v>
      </c>
    </row>
    <row r="541" spans="1:15" x14ac:dyDescent="0.3">
      <c r="A541" s="169">
        <v>46164</v>
      </c>
      <c r="B541" s="64">
        <v>46164.666666666701</v>
      </c>
      <c r="C541" s="142">
        <f t="shared" si="50"/>
        <v>46164.666666666701</v>
      </c>
      <c r="D541" s="19" t="s">
        <v>41</v>
      </c>
      <c r="E541" s="8" t="s">
        <v>10</v>
      </c>
      <c r="F541" s="7" t="s">
        <v>11</v>
      </c>
      <c r="G541" s="25" t="s">
        <v>93</v>
      </c>
      <c r="H541" s="26">
        <v>9.6300000000000008</v>
      </c>
      <c r="I541" s="16">
        <v>9.7200000000000006</v>
      </c>
      <c r="J541" s="42" t="str">
        <f t="shared" si="51"/>
        <v/>
      </c>
      <c r="K541" s="42" t="str">
        <f t="shared" si="52"/>
        <v/>
      </c>
      <c r="L541" s="42">
        <f t="shared" si="53"/>
        <v>8.9999999999999858E-2</v>
      </c>
      <c r="M541" s="17" t="str">
        <f t="shared" si="54"/>
        <v/>
      </c>
      <c r="O541" s="17" t="str">
        <f t="shared" si="55"/>
        <v>Within Tolerance</v>
      </c>
    </row>
    <row r="542" spans="1:15" x14ac:dyDescent="0.3">
      <c r="A542" s="168">
        <v>46164</v>
      </c>
      <c r="B542" s="64">
        <v>46164.75</v>
      </c>
      <c r="C542" s="142">
        <f t="shared" si="50"/>
        <v>46164.75</v>
      </c>
      <c r="D542" s="19" t="s">
        <v>41</v>
      </c>
      <c r="E542" s="8" t="s">
        <v>10</v>
      </c>
      <c r="F542" s="7" t="s">
        <v>11</v>
      </c>
      <c r="G542" s="25" t="s">
        <v>93</v>
      </c>
      <c r="H542" s="26">
        <v>9.58</v>
      </c>
      <c r="I542" s="16">
        <v>9.57</v>
      </c>
      <c r="J542" s="42" t="str">
        <f t="shared" si="51"/>
        <v/>
      </c>
      <c r="K542" s="42" t="str">
        <f t="shared" si="52"/>
        <v/>
      </c>
      <c r="L542" s="42">
        <f t="shared" si="53"/>
        <v>-9.9999999999997868E-3</v>
      </c>
      <c r="M542" s="17" t="str">
        <f t="shared" si="54"/>
        <v/>
      </c>
      <c r="O542" s="17" t="str">
        <f t="shared" si="55"/>
        <v>Within Tolerance</v>
      </c>
    </row>
    <row r="543" spans="1:15" x14ac:dyDescent="0.3">
      <c r="A543" s="169">
        <v>46164</v>
      </c>
      <c r="B543" s="64">
        <v>46164.833333333299</v>
      </c>
      <c r="C543" s="142">
        <f t="shared" si="50"/>
        <v>46164.833333333299</v>
      </c>
      <c r="D543" s="19" t="s">
        <v>41</v>
      </c>
      <c r="E543" s="8" t="s">
        <v>10</v>
      </c>
      <c r="F543" s="7" t="s">
        <v>11</v>
      </c>
      <c r="G543" s="25" t="s">
        <v>93</v>
      </c>
      <c r="H543" s="26">
        <v>9.48</v>
      </c>
      <c r="I543" s="16">
        <v>9.49</v>
      </c>
      <c r="J543" s="42" t="str">
        <f t="shared" si="51"/>
        <v/>
      </c>
      <c r="K543" s="42" t="str">
        <f t="shared" si="52"/>
        <v/>
      </c>
      <c r="L543" s="42">
        <f t="shared" si="53"/>
        <v>9.9999999999997868E-3</v>
      </c>
      <c r="M543" s="17" t="str">
        <f t="shared" si="54"/>
        <v/>
      </c>
      <c r="O543" s="17" t="str">
        <f t="shared" si="55"/>
        <v>Within Tolerance</v>
      </c>
    </row>
    <row r="544" spans="1:15" x14ac:dyDescent="0.3">
      <c r="A544" s="168">
        <v>46164</v>
      </c>
      <c r="B544" s="64">
        <v>46164.895833333299</v>
      </c>
      <c r="C544" s="142">
        <f t="shared" si="50"/>
        <v>46164.895833333299</v>
      </c>
      <c r="D544" s="19" t="s">
        <v>35</v>
      </c>
      <c r="E544" s="8" t="s">
        <v>14</v>
      </c>
      <c r="F544" s="7" t="s">
        <v>11</v>
      </c>
      <c r="G544" s="25" t="s">
        <v>93</v>
      </c>
      <c r="H544" s="26">
        <v>12.89</v>
      </c>
      <c r="I544" s="16">
        <v>12.99</v>
      </c>
      <c r="J544" s="42" t="str">
        <f t="shared" si="51"/>
        <v/>
      </c>
      <c r="K544" s="42" t="str">
        <f t="shared" si="52"/>
        <v/>
      </c>
      <c r="L544" s="42">
        <f t="shared" si="53"/>
        <v>9.9999999999999645E-2</v>
      </c>
      <c r="M544" s="17" t="str">
        <f t="shared" si="54"/>
        <v/>
      </c>
      <c r="O544" s="17" t="str">
        <f t="shared" si="55"/>
        <v>Within Tolerance</v>
      </c>
    </row>
    <row r="545" spans="1:15" x14ac:dyDescent="0.3">
      <c r="A545" s="169">
        <v>46164</v>
      </c>
      <c r="B545" s="64">
        <v>46164.947916666701</v>
      </c>
      <c r="C545" s="142">
        <f t="shared" si="50"/>
        <v>46164.947916666701</v>
      </c>
      <c r="D545" s="19" t="s">
        <v>35</v>
      </c>
      <c r="E545" s="8" t="s">
        <v>14</v>
      </c>
      <c r="F545" s="7" t="s">
        <v>11</v>
      </c>
      <c r="G545" s="25" t="s">
        <v>93</v>
      </c>
      <c r="H545" s="26">
        <v>12.98</v>
      </c>
      <c r="I545" s="16"/>
      <c r="J545" s="42" t="str">
        <f t="shared" si="51"/>
        <v/>
      </c>
      <c r="K545" s="42" t="str">
        <f t="shared" si="52"/>
        <v/>
      </c>
      <c r="L545" s="42" t="str">
        <f t="shared" si="53"/>
        <v/>
      </c>
      <c r="M545" s="17" t="str">
        <f t="shared" si="54"/>
        <v/>
      </c>
      <c r="O545" s="17" t="str">
        <f t="shared" si="55"/>
        <v/>
      </c>
    </row>
    <row r="546" spans="1:15" x14ac:dyDescent="0.3">
      <c r="A546" s="168">
        <v>46164</v>
      </c>
      <c r="B546" s="64">
        <v>46165</v>
      </c>
      <c r="C546" s="142">
        <f t="shared" si="50"/>
        <v>46164</v>
      </c>
      <c r="D546" s="19" t="s">
        <v>35</v>
      </c>
      <c r="E546" s="8" t="s">
        <v>14</v>
      </c>
      <c r="F546" s="7" t="s">
        <v>11</v>
      </c>
      <c r="G546" s="25" t="s">
        <v>93</v>
      </c>
      <c r="H546" s="26">
        <v>12.93</v>
      </c>
      <c r="I546" s="16">
        <v>12.93</v>
      </c>
      <c r="J546" s="42" t="str">
        <f t="shared" si="51"/>
        <v/>
      </c>
      <c r="K546" s="42" t="str">
        <f t="shared" si="52"/>
        <v/>
      </c>
      <c r="L546" s="42">
        <f t="shared" si="53"/>
        <v>0</v>
      </c>
      <c r="M546" s="17" t="str">
        <f t="shared" si="54"/>
        <v/>
      </c>
      <c r="O546" s="17" t="str">
        <f t="shared" si="55"/>
        <v>Within Tolerance</v>
      </c>
    </row>
    <row r="547" spans="1:15" x14ac:dyDescent="0.3">
      <c r="A547" s="169">
        <v>46164</v>
      </c>
      <c r="B547" s="64">
        <v>46165.041666666701</v>
      </c>
      <c r="C547" s="142">
        <f t="shared" si="50"/>
        <v>46164.041666666701</v>
      </c>
      <c r="D547" s="19" t="s">
        <v>35</v>
      </c>
      <c r="E547" s="8" t="s">
        <v>14</v>
      </c>
      <c r="F547" s="7" t="s">
        <v>11</v>
      </c>
      <c r="G547" s="25" t="s">
        <v>93</v>
      </c>
      <c r="H547" s="26">
        <v>12.93</v>
      </c>
      <c r="I547" s="16">
        <v>13</v>
      </c>
      <c r="J547" s="42" t="str">
        <f t="shared" si="51"/>
        <v/>
      </c>
      <c r="K547" s="42" t="str">
        <f t="shared" si="52"/>
        <v/>
      </c>
      <c r="L547" s="42">
        <f t="shared" si="53"/>
        <v>7.0000000000000284E-2</v>
      </c>
      <c r="M547" s="17" t="str">
        <f t="shared" si="54"/>
        <v/>
      </c>
      <c r="O547" s="17" t="str">
        <f t="shared" si="55"/>
        <v>Within Tolerance</v>
      </c>
    </row>
    <row r="548" spans="1:15" x14ac:dyDescent="0.3">
      <c r="A548" s="168">
        <v>46165</v>
      </c>
      <c r="B548" s="64">
        <v>46165.083333333299</v>
      </c>
      <c r="C548" s="142">
        <f t="shared" si="50"/>
        <v>46165.083333333299</v>
      </c>
      <c r="D548" s="19" t="s">
        <v>35</v>
      </c>
      <c r="E548" s="8" t="s">
        <v>14</v>
      </c>
      <c r="F548" s="7" t="s">
        <v>11</v>
      </c>
      <c r="G548" s="25" t="s">
        <v>93</v>
      </c>
      <c r="H548" s="26">
        <v>13.01</v>
      </c>
      <c r="I548" s="16">
        <v>12.94</v>
      </c>
      <c r="J548" s="42" t="str">
        <f t="shared" si="51"/>
        <v/>
      </c>
      <c r="K548" s="42" t="str">
        <f t="shared" si="52"/>
        <v/>
      </c>
      <c r="L548" s="42">
        <f t="shared" si="53"/>
        <v>-7.0000000000000284E-2</v>
      </c>
      <c r="M548" s="17" t="str">
        <f t="shared" si="54"/>
        <v/>
      </c>
      <c r="O548" s="17" t="str">
        <f t="shared" si="55"/>
        <v>Within Tolerance</v>
      </c>
    </row>
    <row r="549" spans="1:15" x14ac:dyDescent="0.3">
      <c r="A549" s="169">
        <v>46165</v>
      </c>
      <c r="B549" s="64">
        <v>46165.125</v>
      </c>
      <c r="C549" s="142">
        <f t="shared" si="50"/>
        <v>46165.125</v>
      </c>
      <c r="D549" s="19" t="s">
        <v>35</v>
      </c>
      <c r="E549" s="8" t="s">
        <v>14</v>
      </c>
      <c r="F549" s="7" t="s">
        <v>11</v>
      </c>
      <c r="G549" s="25" t="s">
        <v>93</v>
      </c>
      <c r="H549" s="26">
        <v>12.95</v>
      </c>
      <c r="I549" s="16">
        <v>13.02</v>
      </c>
      <c r="J549" s="42" t="str">
        <f t="shared" si="51"/>
        <v/>
      </c>
      <c r="K549" s="42" t="str">
        <f t="shared" si="52"/>
        <v/>
      </c>
      <c r="L549" s="42">
        <f t="shared" si="53"/>
        <v>7.0000000000000284E-2</v>
      </c>
      <c r="M549" s="17" t="str">
        <f t="shared" si="54"/>
        <v/>
      </c>
      <c r="O549" s="17" t="str">
        <f t="shared" si="55"/>
        <v>Within Tolerance</v>
      </c>
    </row>
    <row r="550" spans="1:15" x14ac:dyDescent="0.3">
      <c r="A550" s="168">
        <v>46165</v>
      </c>
      <c r="B550" s="64">
        <v>46165.166666666701</v>
      </c>
      <c r="C550" s="142">
        <f t="shared" si="50"/>
        <v>46165.166666666701</v>
      </c>
      <c r="D550" s="19" t="s">
        <v>35</v>
      </c>
      <c r="E550" s="8" t="s">
        <v>14</v>
      </c>
      <c r="F550" s="7" t="s">
        <v>11</v>
      </c>
      <c r="G550" s="25" t="s">
        <v>93</v>
      </c>
      <c r="H550" s="26">
        <v>12.95</v>
      </c>
      <c r="I550" s="16">
        <v>13.06</v>
      </c>
      <c r="J550" s="42" t="str">
        <f t="shared" si="51"/>
        <v/>
      </c>
      <c r="K550" s="42" t="str">
        <f t="shared" si="52"/>
        <v/>
      </c>
      <c r="L550" s="42">
        <f t="shared" si="53"/>
        <v>0.11000000000000121</v>
      </c>
      <c r="M550" s="17" t="str">
        <f t="shared" si="54"/>
        <v/>
      </c>
      <c r="O550" s="17" t="str">
        <f t="shared" si="55"/>
        <v>Within Tolerance</v>
      </c>
    </row>
    <row r="551" spans="1:15" x14ac:dyDescent="0.3">
      <c r="A551" s="169">
        <v>46165</v>
      </c>
      <c r="B551" s="64">
        <v>46165.208333333299</v>
      </c>
      <c r="C551" s="142">
        <f t="shared" si="50"/>
        <v>46165.208333333299</v>
      </c>
      <c r="D551" s="19" t="s">
        <v>35</v>
      </c>
      <c r="E551" s="8" t="s">
        <v>14</v>
      </c>
      <c r="F551" s="7" t="s">
        <v>11</v>
      </c>
      <c r="G551" s="25" t="s">
        <v>93</v>
      </c>
      <c r="H551" s="26">
        <v>12.94</v>
      </c>
      <c r="I551" s="16">
        <v>13.02</v>
      </c>
      <c r="J551" s="42" t="str">
        <f t="shared" si="51"/>
        <v/>
      </c>
      <c r="K551" s="42" t="str">
        <f t="shared" si="52"/>
        <v/>
      </c>
      <c r="L551" s="42">
        <f t="shared" si="53"/>
        <v>8.0000000000000071E-2</v>
      </c>
      <c r="M551" s="17" t="str">
        <f t="shared" si="54"/>
        <v/>
      </c>
      <c r="O551" s="17" t="str">
        <f t="shared" si="55"/>
        <v>Within Tolerance</v>
      </c>
    </row>
    <row r="552" spans="1:15" x14ac:dyDescent="0.3">
      <c r="A552" s="168">
        <v>46165</v>
      </c>
      <c r="B552" s="64">
        <v>46165.25</v>
      </c>
      <c r="C552" s="142">
        <f t="shared" si="50"/>
        <v>46165.25</v>
      </c>
      <c r="D552" s="19" t="s">
        <v>35</v>
      </c>
      <c r="E552" s="8" t="s">
        <v>14</v>
      </c>
      <c r="F552" s="7" t="s">
        <v>11</v>
      </c>
      <c r="G552" s="25" t="s">
        <v>93</v>
      </c>
      <c r="H552" s="26">
        <v>12.93</v>
      </c>
      <c r="I552" s="16">
        <v>13.07</v>
      </c>
      <c r="J552" s="42" t="str">
        <f t="shared" si="51"/>
        <v/>
      </c>
      <c r="K552" s="42" t="str">
        <f t="shared" si="52"/>
        <v/>
      </c>
      <c r="L552" s="42">
        <f t="shared" si="53"/>
        <v>0.14000000000000057</v>
      </c>
      <c r="M552" s="17" t="str">
        <f t="shared" si="54"/>
        <v/>
      </c>
      <c r="O552" s="17" t="str">
        <f t="shared" si="55"/>
        <v>Within Tolerance</v>
      </c>
    </row>
    <row r="553" spans="1:15" x14ac:dyDescent="0.3">
      <c r="A553" s="169">
        <v>46165</v>
      </c>
      <c r="B553" s="64">
        <v>46165.291666666701</v>
      </c>
      <c r="C553" s="142">
        <f t="shared" si="50"/>
        <v>46165.291666666701</v>
      </c>
      <c r="D553" s="19" t="s">
        <v>35</v>
      </c>
      <c r="E553" s="8" t="s">
        <v>14</v>
      </c>
      <c r="F553" s="7" t="s">
        <v>11</v>
      </c>
      <c r="G553" s="25" t="s">
        <v>93</v>
      </c>
      <c r="H553" s="26">
        <v>12.94</v>
      </c>
      <c r="I553" s="16"/>
      <c r="J553" s="42" t="str">
        <f t="shared" si="51"/>
        <v/>
      </c>
      <c r="K553" s="42" t="str">
        <f t="shared" si="52"/>
        <v/>
      </c>
      <c r="L553" s="42" t="str">
        <f t="shared" si="53"/>
        <v/>
      </c>
      <c r="M553" s="17" t="str">
        <f t="shared" si="54"/>
        <v/>
      </c>
      <c r="O553" s="17" t="str">
        <f t="shared" si="55"/>
        <v/>
      </c>
    </row>
    <row r="554" spans="1:15" x14ac:dyDescent="0.3">
      <c r="A554" s="168">
        <v>46164</v>
      </c>
      <c r="B554" s="64">
        <v>46164.333333333299</v>
      </c>
      <c r="C554" s="142">
        <f t="shared" si="50"/>
        <v>46164.333333333299</v>
      </c>
      <c r="D554" s="19" t="s">
        <v>29</v>
      </c>
      <c r="E554" s="8" t="s">
        <v>10</v>
      </c>
      <c r="F554" s="7" t="s">
        <v>15</v>
      </c>
      <c r="G554" s="25" t="s">
        <v>93</v>
      </c>
      <c r="H554" s="26">
        <v>10.53</v>
      </c>
      <c r="I554" s="16">
        <v>10.49</v>
      </c>
      <c r="J554" s="42" t="str">
        <f t="shared" si="51"/>
        <v/>
      </c>
      <c r="K554" s="42" t="str">
        <f t="shared" si="52"/>
        <v/>
      </c>
      <c r="L554" s="42">
        <f t="shared" si="53"/>
        <v>-3.9999999999999147E-2</v>
      </c>
      <c r="M554" s="17" t="str">
        <f t="shared" si="54"/>
        <v/>
      </c>
      <c r="O554" s="17" t="str">
        <f t="shared" si="55"/>
        <v>Within Tolerance</v>
      </c>
    </row>
    <row r="555" spans="1:15" x14ac:dyDescent="0.3">
      <c r="A555" s="169">
        <v>46164</v>
      </c>
      <c r="B555" s="64">
        <v>46164.388888888898</v>
      </c>
      <c r="C555" s="142">
        <f t="shared" si="50"/>
        <v>46164.388888888898</v>
      </c>
      <c r="D555" s="19" t="s">
        <v>29</v>
      </c>
      <c r="E555" s="8" t="s">
        <v>10</v>
      </c>
      <c r="F555" s="7" t="s">
        <v>15</v>
      </c>
      <c r="G555" s="25" t="s">
        <v>93</v>
      </c>
      <c r="H555" s="26">
        <v>10.56</v>
      </c>
      <c r="I555" s="16">
        <v>10.47</v>
      </c>
      <c r="J555" s="42" t="str">
        <f t="shared" si="51"/>
        <v/>
      </c>
      <c r="K555" s="42" t="str">
        <f t="shared" si="52"/>
        <v/>
      </c>
      <c r="L555" s="42">
        <f t="shared" si="53"/>
        <v>-8.9999999999999858E-2</v>
      </c>
      <c r="M555" s="17" t="str">
        <f t="shared" si="54"/>
        <v/>
      </c>
      <c r="O555" s="17" t="str">
        <f t="shared" si="55"/>
        <v>Within Tolerance</v>
      </c>
    </row>
    <row r="556" spans="1:15" x14ac:dyDescent="0.3">
      <c r="A556" s="168">
        <v>46164</v>
      </c>
      <c r="B556" s="64">
        <v>46164.447916666701</v>
      </c>
      <c r="C556" s="142">
        <f t="shared" si="50"/>
        <v>46164.447916666701</v>
      </c>
      <c r="D556" s="19" t="s">
        <v>29</v>
      </c>
      <c r="E556" s="8" t="s">
        <v>10</v>
      </c>
      <c r="F556" s="7" t="s">
        <v>15</v>
      </c>
      <c r="G556" s="25" t="s">
        <v>93</v>
      </c>
      <c r="H556" s="26">
        <v>10.6</v>
      </c>
      <c r="I556" s="16"/>
      <c r="J556" s="42" t="str">
        <f t="shared" si="51"/>
        <v/>
      </c>
      <c r="K556" s="42" t="str">
        <f t="shared" si="52"/>
        <v/>
      </c>
      <c r="L556" s="42" t="str">
        <f t="shared" si="53"/>
        <v/>
      </c>
      <c r="M556" s="17" t="str">
        <f t="shared" si="54"/>
        <v/>
      </c>
      <c r="N556" s="17" t="s">
        <v>58</v>
      </c>
      <c r="O556" s="17" t="str">
        <f t="shared" si="55"/>
        <v/>
      </c>
    </row>
    <row r="557" spans="1:15" x14ac:dyDescent="0.3">
      <c r="A557" s="169">
        <v>46164</v>
      </c>
      <c r="B557" s="64">
        <v>46164.5</v>
      </c>
      <c r="C557" s="142">
        <f t="shared" si="50"/>
        <v>46164.5</v>
      </c>
      <c r="D557" s="19" t="s">
        <v>29</v>
      </c>
      <c r="E557" s="8" t="s">
        <v>10</v>
      </c>
      <c r="F557" s="7" t="s">
        <v>15</v>
      </c>
      <c r="G557" s="25" t="s">
        <v>93</v>
      </c>
      <c r="H557" s="26">
        <v>10.43</v>
      </c>
      <c r="I557" s="16">
        <v>10.6</v>
      </c>
      <c r="J557" s="42" t="str">
        <f t="shared" si="51"/>
        <v/>
      </c>
      <c r="K557" s="42" t="str">
        <f t="shared" si="52"/>
        <v/>
      </c>
      <c r="L557" s="42">
        <f t="shared" si="53"/>
        <v>0.16999999999999993</v>
      </c>
      <c r="M557" s="17" t="str">
        <f t="shared" si="54"/>
        <v/>
      </c>
      <c r="N557" s="17" t="s">
        <v>58</v>
      </c>
      <c r="O557" s="17" t="str">
        <f t="shared" si="55"/>
        <v>Within Tolerance</v>
      </c>
    </row>
    <row r="558" spans="1:15" x14ac:dyDescent="0.3">
      <c r="A558" s="168">
        <v>46164</v>
      </c>
      <c r="B558" s="64">
        <v>46164.583333333299</v>
      </c>
      <c r="C558" s="142">
        <f t="shared" si="50"/>
        <v>46164.583333333299</v>
      </c>
      <c r="D558" s="19" t="s">
        <v>29</v>
      </c>
      <c r="E558" s="8" t="s">
        <v>10</v>
      </c>
      <c r="F558" s="7" t="s">
        <v>15</v>
      </c>
      <c r="G558" s="25" t="s">
        <v>93</v>
      </c>
      <c r="H558" s="26">
        <v>10.46</v>
      </c>
      <c r="I558" s="16">
        <v>10.64</v>
      </c>
      <c r="J558" s="42" t="str">
        <f t="shared" si="51"/>
        <v/>
      </c>
      <c r="K558" s="42" t="str">
        <f t="shared" si="52"/>
        <v/>
      </c>
      <c r="L558" s="42">
        <f t="shared" si="53"/>
        <v>0.17999999999999972</v>
      </c>
      <c r="M558" s="17" t="str">
        <f t="shared" si="54"/>
        <v/>
      </c>
      <c r="O558" s="17" t="str">
        <f t="shared" si="55"/>
        <v>Within Tolerance</v>
      </c>
    </row>
    <row r="559" spans="1:15" x14ac:dyDescent="0.3">
      <c r="A559" s="169">
        <v>46164</v>
      </c>
      <c r="B559" s="64">
        <v>46164.666666666701</v>
      </c>
      <c r="C559" s="142">
        <f t="shared" si="50"/>
        <v>46164.666666666701</v>
      </c>
      <c r="D559" s="19" t="s">
        <v>29</v>
      </c>
      <c r="E559" s="8" t="s">
        <v>10</v>
      </c>
      <c r="F559" s="7" t="s">
        <v>15</v>
      </c>
      <c r="G559" s="25" t="s">
        <v>93</v>
      </c>
      <c r="H559" s="26">
        <v>10.44</v>
      </c>
      <c r="I559" s="16">
        <v>10.45</v>
      </c>
      <c r="J559" s="42" t="str">
        <f t="shared" si="51"/>
        <v/>
      </c>
      <c r="K559" s="42" t="str">
        <f t="shared" si="52"/>
        <v/>
      </c>
      <c r="L559" s="42">
        <f t="shared" si="53"/>
        <v>9.9999999999997868E-3</v>
      </c>
      <c r="M559" s="17" t="str">
        <f t="shared" si="54"/>
        <v/>
      </c>
      <c r="O559" s="17" t="str">
        <f t="shared" si="55"/>
        <v>Within Tolerance</v>
      </c>
    </row>
    <row r="560" spans="1:15" x14ac:dyDescent="0.3">
      <c r="A560" s="168">
        <v>46164</v>
      </c>
      <c r="B560" s="64">
        <v>46164.75</v>
      </c>
      <c r="C560" s="142">
        <f t="shared" si="50"/>
        <v>46164.75</v>
      </c>
      <c r="D560" s="19" t="s">
        <v>29</v>
      </c>
      <c r="E560" s="8" t="s">
        <v>10</v>
      </c>
      <c r="F560" s="7" t="s">
        <v>15</v>
      </c>
      <c r="G560" s="25" t="s">
        <v>93</v>
      </c>
      <c r="H560" s="26">
        <v>10.58</v>
      </c>
      <c r="I560" s="16">
        <v>10.28</v>
      </c>
      <c r="J560" s="42" t="str">
        <f t="shared" si="51"/>
        <v/>
      </c>
      <c r="K560" s="42" t="str">
        <f t="shared" si="52"/>
        <v/>
      </c>
      <c r="L560" s="42">
        <f t="shared" si="53"/>
        <v>-0.30000000000000071</v>
      </c>
      <c r="M560" s="17" t="str">
        <f t="shared" si="54"/>
        <v/>
      </c>
      <c r="O560" s="17" t="str">
        <f t="shared" si="55"/>
        <v>Out of Tolerance</v>
      </c>
    </row>
    <row r="561" spans="1:15" x14ac:dyDescent="0.3">
      <c r="A561" s="169">
        <v>46164</v>
      </c>
      <c r="B561" s="64">
        <v>46164.864583333299</v>
      </c>
      <c r="C561" s="142">
        <f t="shared" si="50"/>
        <v>46164.864583333299</v>
      </c>
      <c r="D561" s="19" t="s">
        <v>29</v>
      </c>
      <c r="E561" s="8" t="s">
        <v>10</v>
      </c>
      <c r="F561" s="7" t="s">
        <v>15</v>
      </c>
      <c r="G561" s="25" t="s">
        <v>93</v>
      </c>
      <c r="H561" s="26">
        <v>10.58</v>
      </c>
      <c r="I561" s="16">
        <v>10.38</v>
      </c>
      <c r="J561" s="42" t="str">
        <f t="shared" si="51"/>
        <v/>
      </c>
      <c r="K561" s="42" t="str">
        <f t="shared" si="52"/>
        <v/>
      </c>
      <c r="L561" s="42">
        <f t="shared" si="53"/>
        <v>-0.19999999999999929</v>
      </c>
      <c r="M561" s="17" t="str">
        <f t="shared" si="54"/>
        <v/>
      </c>
      <c r="O561" s="17" t="str">
        <f t="shared" si="55"/>
        <v>Within Tolerance</v>
      </c>
    </row>
    <row r="562" spans="1:15" x14ac:dyDescent="0.3">
      <c r="A562" s="168">
        <v>46164</v>
      </c>
      <c r="B562" s="64">
        <v>46164.895833333299</v>
      </c>
      <c r="C562" s="142">
        <f t="shared" si="50"/>
        <v>46164.895833333299</v>
      </c>
      <c r="D562" s="19" t="s">
        <v>29</v>
      </c>
      <c r="E562" s="8" t="s">
        <v>10</v>
      </c>
      <c r="F562" s="7" t="s">
        <v>15</v>
      </c>
      <c r="G562" s="25" t="s">
        <v>93</v>
      </c>
      <c r="H562" s="26">
        <v>10.52</v>
      </c>
      <c r="I562" s="16">
        <v>10.38</v>
      </c>
      <c r="J562" s="42" t="str">
        <f t="shared" si="51"/>
        <v/>
      </c>
      <c r="K562" s="42" t="str">
        <f t="shared" si="52"/>
        <v/>
      </c>
      <c r="L562" s="42">
        <f t="shared" si="53"/>
        <v>-0.13999999999999879</v>
      </c>
      <c r="M562" s="17" t="str">
        <f t="shared" si="54"/>
        <v/>
      </c>
      <c r="O562" s="17" t="str">
        <f t="shared" si="55"/>
        <v>Within Tolerance</v>
      </c>
    </row>
    <row r="563" spans="1:15" x14ac:dyDescent="0.3">
      <c r="A563" s="169">
        <v>46164</v>
      </c>
      <c r="B563" s="64">
        <v>46164.9375</v>
      </c>
      <c r="C563" s="142">
        <f t="shared" si="50"/>
        <v>46164.9375</v>
      </c>
      <c r="D563" s="19" t="s">
        <v>29</v>
      </c>
      <c r="E563" s="8" t="s">
        <v>10</v>
      </c>
      <c r="F563" s="7" t="s">
        <v>15</v>
      </c>
      <c r="G563" s="25" t="s">
        <v>93</v>
      </c>
      <c r="H563" s="26">
        <v>10.52</v>
      </c>
      <c r="I563" s="16"/>
      <c r="J563" s="42" t="str">
        <f t="shared" si="51"/>
        <v/>
      </c>
      <c r="K563" s="42" t="str">
        <f t="shared" si="52"/>
        <v/>
      </c>
      <c r="L563" s="42" t="str">
        <f t="shared" si="53"/>
        <v/>
      </c>
      <c r="M563" s="17" t="str">
        <f t="shared" si="54"/>
        <v/>
      </c>
      <c r="O563" s="17" t="str">
        <f t="shared" si="55"/>
        <v/>
      </c>
    </row>
    <row r="564" spans="1:15" x14ac:dyDescent="0.3">
      <c r="A564" s="168">
        <v>46164</v>
      </c>
      <c r="B564" s="64">
        <v>46165</v>
      </c>
      <c r="C564" s="142">
        <f t="shared" si="50"/>
        <v>46164</v>
      </c>
      <c r="D564" s="19" t="s">
        <v>29</v>
      </c>
      <c r="E564" s="8" t="s">
        <v>10</v>
      </c>
      <c r="F564" s="7" t="s">
        <v>15</v>
      </c>
      <c r="G564" s="25" t="s">
        <v>93</v>
      </c>
      <c r="H564" s="26">
        <v>10.38</v>
      </c>
      <c r="I564" s="16">
        <v>10.35</v>
      </c>
      <c r="J564" s="42" t="str">
        <f t="shared" si="51"/>
        <v/>
      </c>
      <c r="K564" s="42" t="str">
        <f t="shared" si="52"/>
        <v/>
      </c>
      <c r="L564" s="42">
        <f t="shared" si="53"/>
        <v>-3.0000000000001137E-2</v>
      </c>
      <c r="M564" s="17" t="str">
        <f t="shared" si="54"/>
        <v/>
      </c>
      <c r="O564" s="17" t="str">
        <f t="shared" si="55"/>
        <v>Within Tolerance</v>
      </c>
    </row>
    <row r="565" spans="1:15" x14ac:dyDescent="0.3">
      <c r="A565" s="169">
        <v>46165</v>
      </c>
      <c r="B565" s="64">
        <v>46165.083333333299</v>
      </c>
      <c r="C565" s="142">
        <f t="shared" si="50"/>
        <v>46165.083333333299</v>
      </c>
      <c r="D565" s="19" t="s">
        <v>29</v>
      </c>
      <c r="E565" s="8" t="s">
        <v>10</v>
      </c>
      <c r="F565" s="7" t="s">
        <v>15</v>
      </c>
      <c r="G565" s="25" t="s">
        <v>93</v>
      </c>
      <c r="H565" s="26">
        <v>10.46</v>
      </c>
      <c r="I565" s="16">
        <v>10.4</v>
      </c>
      <c r="J565" s="42" t="str">
        <f t="shared" si="51"/>
        <v/>
      </c>
      <c r="K565" s="42" t="str">
        <f t="shared" si="52"/>
        <v/>
      </c>
      <c r="L565" s="42">
        <f t="shared" si="53"/>
        <v>-6.0000000000000497E-2</v>
      </c>
      <c r="M565" s="17" t="str">
        <f t="shared" si="54"/>
        <v/>
      </c>
      <c r="O565" s="17" t="str">
        <f t="shared" si="55"/>
        <v>Within Tolerance</v>
      </c>
    </row>
    <row r="566" spans="1:15" x14ac:dyDescent="0.3">
      <c r="A566" s="168">
        <v>46165</v>
      </c>
      <c r="B566" s="64">
        <v>46165.194444444402</v>
      </c>
      <c r="C566" s="142">
        <f t="shared" si="50"/>
        <v>46165.194444444402</v>
      </c>
      <c r="D566" s="19" t="s">
        <v>40</v>
      </c>
      <c r="E566" s="8" t="s">
        <v>17</v>
      </c>
      <c r="F566" s="7" t="s">
        <v>15</v>
      </c>
      <c r="G566" s="25" t="s">
        <v>93</v>
      </c>
      <c r="H566" s="26">
        <v>8.8000000000000007</v>
      </c>
      <c r="I566" s="16">
        <v>8.73</v>
      </c>
      <c r="J566" s="42" t="str">
        <f t="shared" si="51"/>
        <v/>
      </c>
      <c r="K566" s="42" t="str">
        <f t="shared" si="52"/>
        <v/>
      </c>
      <c r="L566" s="42">
        <f t="shared" si="53"/>
        <v>-7.0000000000000284E-2</v>
      </c>
      <c r="M566" s="17" t="str">
        <f t="shared" si="54"/>
        <v/>
      </c>
      <c r="O566" s="17" t="str">
        <f t="shared" si="55"/>
        <v>Within Tolerance</v>
      </c>
    </row>
    <row r="567" spans="1:15" x14ac:dyDescent="0.3">
      <c r="A567" s="169">
        <v>46165</v>
      </c>
      <c r="B567" s="64">
        <v>46165.21875</v>
      </c>
      <c r="C567" s="142">
        <f t="shared" si="50"/>
        <v>46165.21875</v>
      </c>
      <c r="D567" s="19" t="s">
        <v>40</v>
      </c>
      <c r="E567" s="8" t="s">
        <v>17</v>
      </c>
      <c r="F567" s="7" t="s">
        <v>15</v>
      </c>
      <c r="G567" s="25" t="s">
        <v>93</v>
      </c>
      <c r="H567" s="26">
        <v>8.48</v>
      </c>
      <c r="I567" s="16"/>
      <c r="J567" s="42" t="str">
        <f t="shared" si="51"/>
        <v/>
      </c>
      <c r="K567" s="42" t="str">
        <f t="shared" si="52"/>
        <v/>
      </c>
      <c r="L567" s="42" t="str">
        <f t="shared" si="53"/>
        <v/>
      </c>
      <c r="M567" s="17" t="str">
        <f t="shared" si="54"/>
        <v/>
      </c>
      <c r="O567" s="17" t="str">
        <f t="shared" si="55"/>
        <v/>
      </c>
    </row>
    <row r="568" spans="1:15" x14ac:dyDescent="0.3">
      <c r="A568" s="190">
        <v>46164</v>
      </c>
      <c r="B568" s="67">
        <v>46164.465277777803</v>
      </c>
      <c r="C568" s="145">
        <f t="shared" si="50"/>
        <v>46164.465277777803</v>
      </c>
      <c r="D568" s="19" t="s">
        <v>20</v>
      </c>
      <c r="E568" s="8" t="s">
        <v>14</v>
      </c>
      <c r="F568" s="15" t="s">
        <v>19</v>
      </c>
      <c r="G568" s="16"/>
      <c r="H568" s="26">
        <v>12.58</v>
      </c>
      <c r="I568" s="16">
        <v>12.73</v>
      </c>
      <c r="J568" s="42" t="str">
        <f t="shared" si="51"/>
        <v/>
      </c>
      <c r="K568" s="42" t="str">
        <f t="shared" si="52"/>
        <v/>
      </c>
      <c r="L568" s="42">
        <f t="shared" si="53"/>
        <v>0.15000000000000036</v>
      </c>
      <c r="M568" s="17" t="str">
        <f t="shared" si="54"/>
        <v/>
      </c>
      <c r="O568" s="17" t="str">
        <f t="shared" si="55"/>
        <v>Within Tolerance</v>
      </c>
    </row>
    <row r="569" spans="1:15" x14ac:dyDescent="0.3">
      <c r="A569" s="196">
        <v>46164</v>
      </c>
      <c r="B569" s="68">
        <v>46164.5625</v>
      </c>
      <c r="C569" s="146">
        <f t="shared" si="50"/>
        <v>46164.5625</v>
      </c>
      <c r="D569" s="19" t="s">
        <v>46</v>
      </c>
      <c r="E569" s="8" t="s">
        <v>14</v>
      </c>
      <c r="F569" s="15" t="s">
        <v>19</v>
      </c>
      <c r="G569" s="16"/>
      <c r="H569" s="26">
        <v>13.5</v>
      </c>
      <c r="I569" s="16">
        <v>13.63</v>
      </c>
      <c r="J569" s="42" t="str">
        <f t="shared" si="51"/>
        <v/>
      </c>
      <c r="K569" s="42" t="str">
        <f t="shared" si="52"/>
        <v/>
      </c>
      <c r="L569" s="42">
        <f t="shared" si="53"/>
        <v>0.13000000000000078</v>
      </c>
      <c r="M569" s="17" t="str">
        <f t="shared" si="54"/>
        <v/>
      </c>
      <c r="O569" s="17" t="str">
        <f t="shared" si="55"/>
        <v>Within Tolerance</v>
      </c>
    </row>
    <row r="570" spans="1:15" x14ac:dyDescent="0.3">
      <c r="A570" s="176">
        <v>46164</v>
      </c>
      <c r="B570" s="68">
        <v>46164.595833333296</v>
      </c>
      <c r="C570" s="146">
        <f t="shared" si="50"/>
        <v>46164.595833333296</v>
      </c>
      <c r="D570" s="19" t="s">
        <v>21</v>
      </c>
      <c r="E570" s="8" t="s">
        <v>10</v>
      </c>
      <c r="F570" s="15" t="s">
        <v>19</v>
      </c>
      <c r="G570" s="25" t="s">
        <v>93</v>
      </c>
      <c r="H570" s="26">
        <v>11.38</v>
      </c>
      <c r="I570" s="16">
        <v>11.27</v>
      </c>
      <c r="J570" s="42" t="str">
        <f t="shared" si="51"/>
        <v/>
      </c>
      <c r="K570" s="42" t="str">
        <f t="shared" si="52"/>
        <v/>
      </c>
      <c r="L570" s="42">
        <f t="shared" si="53"/>
        <v>-0.11000000000000121</v>
      </c>
      <c r="M570" s="17" t="str">
        <f t="shared" si="54"/>
        <v/>
      </c>
      <c r="O570" s="17" t="str">
        <f t="shared" si="55"/>
        <v>Within Tolerance</v>
      </c>
    </row>
    <row r="571" spans="1:15" x14ac:dyDescent="0.3">
      <c r="A571" s="196">
        <v>46164</v>
      </c>
      <c r="B571" s="68">
        <v>46164.677083333299</v>
      </c>
      <c r="C571" s="146">
        <f t="shared" si="50"/>
        <v>46164.677083333299</v>
      </c>
      <c r="D571" s="19" t="s">
        <v>18</v>
      </c>
      <c r="E571" s="8" t="s">
        <v>14</v>
      </c>
      <c r="F571" s="15" t="s">
        <v>19</v>
      </c>
      <c r="G571" s="16"/>
      <c r="H571" s="26">
        <v>13.6</v>
      </c>
      <c r="I571" s="16">
        <v>13.74</v>
      </c>
      <c r="J571" s="42" t="str">
        <f t="shared" si="51"/>
        <v/>
      </c>
      <c r="K571" s="42" t="str">
        <f t="shared" si="52"/>
        <v/>
      </c>
      <c r="L571" s="42">
        <f t="shared" si="53"/>
        <v>0.14000000000000057</v>
      </c>
      <c r="M571" s="17" t="str">
        <f t="shared" si="54"/>
        <v/>
      </c>
      <c r="O571" s="17" t="str">
        <f t="shared" si="55"/>
        <v>Within Tolerance</v>
      </c>
    </row>
    <row r="572" spans="1:15" x14ac:dyDescent="0.3">
      <c r="A572" s="176">
        <v>46164</v>
      </c>
      <c r="B572" s="68">
        <v>46164.972222222197</v>
      </c>
      <c r="C572" s="146">
        <f t="shared" si="50"/>
        <v>46164.972222222197</v>
      </c>
      <c r="D572" s="19" t="s">
        <v>55</v>
      </c>
      <c r="E572" s="8" t="s">
        <v>14</v>
      </c>
      <c r="F572" s="15" t="s">
        <v>19</v>
      </c>
      <c r="G572" s="16"/>
      <c r="H572" s="26">
        <v>13.13</v>
      </c>
      <c r="I572" s="16">
        <v>13.26</v>
      </c>
      <c r="J572" s="42" t="str">
        <f t="shared" si="51"/>
        <v/>
      </c>
      <c r="K572" s="42" t="str">
        <f t="shared" si="52"/>
        <v/>
      </c>
      <c r="L572" s="42">
        <f t="shared" si="53"/>
        <v>0.12999999999999901</v>
      </c>
      <c r="M572" s="17" t="str">
        <f t="shared" si="54"/>
        <v/>
      </c>
      <c r="O572" s="17" t="str">
        <f t="shared" si="55"/>
        <v>Within Tolerance</v>
      </c>
    </row>
    <row r="573" spans="1:15" x14ac:dyDescent="0.3">
      <c r="A573" s="177">
        <v>46164</v>
      </c>
      <c r="B573" s="66">
        <v>46165.076388888898</v>
      </c>
      <c r="C573" s="144">
        <f t="shared" si="50"/>
        <v>46164.076388888898</v>
      </c>
      <c r="D573" s="19" t="s">
        <v>30</v>
      </c>
      <c r="E573" s="8" t="s">
        <v>14</v>
      </c>
      <c r="F573" s="15" t="s">
        <v>19</v>
      </c>
      <c r="G573" s="16"/>
      <c r="H573" s="26">
        <v>12.79</v>
      </c>
      <c r="I573" s="16">
        <v>12.91</v>
      </c>
      <c r="J573" s="42" t="str">
        <f t="shared" si="51"/>
        <v/>
      </c>
      <c r="K573" s="42" t="str">
        <f t="shared" si="52"/>
        <v/>
      </c>
      <c r="L573" s="42">
        <f t="shared" si="53"/>
        <v>0.12000000000000099</v>
      </c>
      <c r="M573" s="17" t="str">
        <f t="shared" si="54"/>
        <v/>
      </c>
      <c r="O573" s="17" t="str">
        <f t="shared" si="55"/>
        <v>Within Tolerance</v>
      </c>
    </row>
    <row r="574" spans="1:15" x14ac:dyDescent="0.3">
      <c r="A574" s="190">
        <v>46164</v>
      </c>
      <c r="B574" s="67">
        <v>46164.458333333299</v>
      </c>
      <c r="C574" s="145">
        <f t="shared" si="50"/>
        <v>46164.458333333299</v>
      </c>
      <c r="D574" s="19" t="s">
        <v>51</v>
      </c>
      <c r="E574" s="8" t="s">
        <v>10</v>
      </c>
      <c r="F574" s="7" t="s">
        <v>24</v>
      </c>
      <c r="G574" s="25" t="s">
        <v>93</v>
      </c>
      <c r="H574" s="26">
        <v>9.81</v>
      </c>
      <c r="I574" s="16">
        <v>9.92</v>
      </c>
      <c r="J574" s="42" t="str">
        <f t="shared" si="51"/>
        <v/>
      </c>
      <c r="K574" s="42" t="str">
        <f t="shared" si="52"/>
        <v/>
      </c>
      <c r="L574" s="42">
        <f t="shared" si="53"/>
        <v>0.10999999999999943</v>
      </c>
      <c r="M574" s="17" t="str">
        <f t="shared" si="54"/>
        <v/>
      </c>
      <c r="O574" s="17" t="str">
        <f t="shared" si="55"/>
        <v>Within Tolerance</v>
      </c>
    </row>
    <row r="575" spans="1:15" x14ac:dyDescent="0.3">
      <c r="A575" s="177">
        <v>46164</v>
      </c>
      <c r="B575" s="66">
        <v>46164.489583333299</v>
      </c>
      <c r="C575" s="144">
        <f t="shared" si="50"/>
        <v>46164.489583333299</v>
      </c>
      <c r="D575" s="19" t="s">
        <v>50</v>
      </c>
      <c r="E575" s="8" t="s">
        <v>10</v>
      </c>
      <c r="F575" s="7" t="s">
        <v>24</v>
      </c>
      <c r="G575" s="25" t="s">
        <v>93</v>
      </c>
      <c r="H575" s="26">
        <v>9.61</v>
      </c>
      <c r="I575" s="16">
        <v>9.81</v>
      </c>
      <c r="J575" s="42" t="str">
        <f t="shared" si="51"/>
        <v/>
      </c>
      <c r="K575" s="42" t="str">
        <f t="shared" si="52"/>
        <v/>
      </c>
      <c r="L575" s="42">
        <f t="shared" si="53"/>
        <v>0.20000000000000107</v>
      </c>
      <c r="M575" s="17" t="str">
        <f t="shared" si="54"/>
        <v/>
      </c>
      <c r="O575" s="17" t="str">
        <f t="shared" si="55"/>
        <v>Out of Tolerance</v>
      </c>
    </row>
    <row r="576" spans="1:15" x14ac:dyDescent="0.3">
      <c r="A576" s="168">
        <v>46165</v>
      </c>
      <c r="B576" s="64">
        <v>46165.333333333299</v>
      </c>
      <c r="C576" s="142">
        <f t="shared" si="50"/>
        <v>46165.333333333299</v>
      </c>
      <c r="D576" s="19" t="s">
        <v>35</v>
      </c>
      <c r="E576" s="8" t="s">
        <v>14</v>
      </c>
      <c r="F576" s="7" t="s">
        <v>11</v>
      </c>
      <c r="G576" s="25" t="s">
        <v>93</v>
      </c>
      <c r="H576" s="26">
        <v>13.01</v>
      </c>
      <c r="I576" s="16">
        <v>13.1</v>
      </c>
      <c r="J576" s="42" t="str">
        <f t="shared" si="51"/>
        <v/>
      </c>
      <c r="K576" s="42" t="str">
        <f t="shared" si="52"/>
        <v/>
      </c>
      <c r="L576" s="42">
        <f t="shared" si="53"/>
        <v>8.9999999999999858E-2</v>
      </c>
      <c r="M576" s="17" t="str">
        <f t="shared" si="54"/>
        <v/>
      </c>
      <c r="O576" s="17" t="str">
        <f t="shared" si="55"/>
        <v>Within Tolerance</v>
      </c>
    </row>
    <row r="577" spans="1:15" x14ac:dyDescent="0.3">
      <c r="A577" s="169">
        <v>46165</v>
      </c>
      <c r="B577" s="64">
        <v>46165.378472222197</v>
      </c>
      <c r="C577" s="142">
        <f t="shared" si="50"/>
        <v>46165.378472222197</v>
      </c>
      <c r="D577" s="19" t="s">
        <v>42</v>
      </c>
      <c r="E577" s="8" t="s">
        <v>10</v>
      </c>
      <c r="F577" s="7" t="s">
        <v>11</v>
      </c>
      <c r="G577" s="25" t="s">
        <v>93</v>
      </c>
      <c r="H577" s="26">
        <v>10.56</v>
      </c>
      <c r="I577" s="16"/>
      <c r="J577" s="42" t="str">
        <f t="shared" si="51"/>
        <v/>
      </c>
      <c r="K577" s="42" t="str">
        <f t="shared" si="52"/>
        <v/>
      </c>
      <c r="L577" s="42" t="str">
        <f t="shared" si="53"/>
        <v/>
      </c>
      <c r="M577" s="17" t="str">
        <f t="shared" si="54"/>
        <v/>
      </c>
      <c r="O577" s="17" t="str">
        <f t="shared" si="55"/>
        <v/>
      </c>
    </row>
    <row r="578" spans="1:15" x14ac:dyDescent="0.3">
      <c r="A578" s="168">
        <v>46165</v>
      </c>
      <c r="B578" s="64">
        <v>46165.458333333299</v>
      </c>
      <c r="C578" s="142">
        <f t="shared" ref="C578:C619" si="56">A578+MOD(B578,1)</f>
        <v>46165.458333333299</v>
      </c>
      <c r="D578" s="19" t="s">
        <v>42</v>
      </c>
      <c r="E578" s="8" t="s">
        <v>10</v>
      </c>
      <c r="F578" s="7" t="s">
        <v>11</v>
      </c>
      <c r="G578" s="25" t="s">
        <v>93</v>
      </c>
      <c r="H578" s="26">
        <v>10.59</v>
      </c>
      <c r="I578" s="16">
        <v>10.59</v>
      </c>
      <c r="J578" s="42" t="str">
        <f t="shared" si="51"/>
        <v/>
      </c>
      <c r="K578" s="42" t="str">
        <f t="shared" si="52"/>
        <v/>
      </c>
      <c r="L578" s="42">
        <f t="shared" si="53"/>
        <v>0</v>
      </c>
      <c r="M578" s="17" t="str">
        <f t="shared" si="54"/>
        <v/>
      </c>
      <c r="O578" s="17" t="str">
        <f t="shared" si="55"/>
        <v>Within Tolerance</v>
      </c>
    </row>
    <row r="579" spans="1:15" x14ac:dyDescent="0.3">
      <c r="A579" s="169">
        <v>46165</v>
      </c>
      <c r="B579" s="64">
        <v>46165.541666666701</v>
      </c>
      <c r="C579" s="142">
        <f t="shared" si="56"/>
        <v>46165.541666666701</v>
      </c>
      <c r="D579" s="19" t="s">
        <v>42</v>
      </c>
      <c r="E579" s="8" t="s">
        <v>10</v>
      </c>
      <c r="F579" s="7" t="s">
        <v>11</v>
      </c>
      <c r="G579" s="25" t="s">
        <v>93</v>
      </c>
      <c r="H579" s="26">
        <v>10.53</v>
      </c>
      <c r="I579" s="16">
        <v>10.61</v>
      </c>
      <c r="J579" s="42" t="str">
        <f t="shared" ref="J579:J619" si="57">IF(OR(TRIM(G579&amp;"")="",TRIM(H579&amp;"")="",G579="-",H579="-"),"",H579-G579)</f>
        <v/>
      </c>
      <c r="K579" s="42" t="str">
        <f t="shared" ref="K579:K619" si="58">IF(OR(TRIM(G579&amp;"")="",TRIM(I579&amp;"")="",G579="-",I579="-"),"",I579-G579)</f>
        <v/>
      </c>
      <c r="L579" s="42">
        <f t="shared" ref="L579:L619" si="59">IF(OR(TRIM(H579&amp;"")="",TRIM(I579&amp;"")="",H579="-",I579="-"),"",I579-H579)</f>
        <v>8.0000000000000071E-2</v>
      </c>
      <c r="M579" s="17" t="str">
        <f t="shared" ref="M579:M619" si="60">IF(J579="","",IF(ABS(J579)&lt;=0.2,"Within Tolerance","Out of Tolerance"))</f>
        <v/>
      </c>
      <c r="O579" s="17" t="str">
        <f t="shared" ref="O579:O619" si="61">IF(L579="","",IF(ABS(L579)&lt;=0.2,"Within Tolerance","Out of Tolerance"))</f>
        <v>Within Tolerance</v>
      </c>
    </row>
    <row r="580" spans="1:15" x14ac:dyDescent="0.3">
      <c r="A580" s="168">
        <v>46165</v>
      </c>
      <c r="B580" s="64">
        <v>46165.635416666701</v>
      </c>
      <c r="C580" s="142">
        <f t="shared" si="56"/>
        <v>46165.635416666701</v>
      </c>
      <c r="D580" s="19" t="s">
        <v>13</v>
      </c>
      <c r="E580" s="8" t="s">
        <v>14</v>
      </c>
      <c r="F580" s="7" t="s">
        <v>11</v>
      </c>
      <c r="G580" s="25" t="s">
        <v>93</v>
      </c>
      <c r="H580" s="26">
        <v>13.27</v>
      </c>
      <c r="I580" s="16"/>
      <c r="J580" s="42" t="str">
        <f t="shared" si="57"/>
        <v/>
      </c>
      <c r="K580" s="42" t="str">
        <f t="shared" si="58"/>
        <v/>
      </c>
      <c r="L580" s="42" t="str">
        <f t="shared" si="59"/>
        <v/>
      </c>
      <c r="M580" s="17" t="str">
        <f t="shared" si="60"/>
        <v/>
      </c>
      <c r="O580" s="17" t="str">
        <f t="shared" si="61"/>
        <v/>
      </c>
    </row>
    <row r="581" spans="1:15" x14ac:dyDescent="0.3">
      <c r="A581" s="169">
        <v>46165</v>
      </c>
      <c r="B581" s="64">
        <v>46165.677083333299</v>
      </c>
      <c r="C581" s="142">
        <f t="shared" si="56"/>
        <v>46165.677083333299</v>
      </c>
      <c r="D581" s="19" t="s">
        <v>13</v>
      </c>
      <c r="E581" s="8" t="s">
        <v>14</v>
      </c>
      <c r="F581" s="7" t="s">
        <v>11</v>
      </c>
      <c r="G581" s="25" t="s">
        <v>93</v>
      </c>
      <c r="H581" s="26">
        <v>13.36</v>
      </c>
      <c r="I581" s="16">
        <v>13.39</v>
      </c>
      <c r="J581" s="42" t="str">
        <f t="shared" si="57"/>
        <v/>
      </c>
      <c r="K581" s="42" t="str">
        <f t="shared" si="58"/>
        <v/>
      </c>
      <c r="L581" s="42">
        <f t="shared" si="59"/>
        <v>3.0000000000001137E-2</v>
      </c>
      <c r="M581" s="17" t="str">
        <f t="shared" si="60"/>
        <v/>
      </c>
      <c r="O581" s="17" t="str">
        <f t="shared" si="61"/>
        <v>Within Tolerance</v>
      </c>
    </row>
    <row r="582" spans="1:15" x14ac:dyDescent="0.3">
      <c r="A582" s="168">
        <v>46165</v>
      </c>
      <c r="B582" s="64">
        <v>46165.75</v>
      </c>
      <c r="C582" s="142">
        <f t="shared" si="56"/>
        <v>46165.75</v>
      </c>
      <c r="D582" s="19" t="s">
        <v>13</v>
      </c>
      <c r="E582" s="8" t="s">
        <v>14</v>
      </c>
      <c r="F582" s="7" t="s">
        <v>11</v>
      </c>
      <c r="G582" s="25" t="s">
        <v>93</v>
      </c>
      <c r="H582" s="26">
        <v>13.48</v>
      </c>
      <c r="I582" s="16">
        <v>13.43</v>
      </c>
      <c r="J582" s="42" t="str">
        <f t="shared" si="57"/>
        <v/>
      </c>
      <c r="K582" s="42" t="str">
        <f t="shared" si="58"/>
        <v/>
      </c>
      <c r="L582" s="42">
        <f t="shared" si="59"/>
        <v>-5.0000000000000711E-2</v>
      </c>
      <c r="M582" s="17" t="str">
        <f t="shared" si="60"/>
        <v/>
      </c>
      <c r="O582" s="17" t="str">
        <f t="shared" si="61"/>
        <v>Within Tolerance</v>
      </c>
    </row>
    <row r="583" spans="1:15" x14ac:dyDescent="0.3">
      <c r="A583" s="169">
        <v>46165</v>
      </c>
      <c r="B583" s="64">
        <v>46165.833333333299</v>
      </c>
      <c r="C583" s="142">
        <f t="shared" si="56"/>
        <v>46165.833333333299</v>
      </c>
      <c r="D583" s="19" t="s">
        <v>13</v>
      </c>
      <c r="E583" s="8" t="s">
        <v>14</v>
      </c>
      <c r="F583" s="7" t="s">
        <v>11</v>
      </c>
      <c r="G583" s="25" t="s">
        <v>93</v>
      </c>
      <c r="H583" s="26">
        <v>13.38</v>
      </c>
      <c r="I583" s="16">
        <v>13.37</v>
      </c>
      <c r="J583" s="42" t="str">
        <f t="shared" si="57"/>
        <v/>
      </c>
      <c r="K583" s="42" t="str">
        <f t="shared" si="58"/>
        <v/>
      </c>
      <c r="L583" s="42">
        <f t="shared" si="59"/>
        <v>-1.0000000000001563E-2</v>
      </c>
      <c r="M583" s="17" t="str">
        <f t="shared" si="60"/>
        <v/>
      </c>
      <c r="O583" s="17" t="str">
        <f t="shared" si="61"/>
        <v>Within Tolerance</v>
      </c>
    </row>
    <row r="584" spans="1:15" x14ac:dyDescent="0.3">
      <c r="A584" s="168">
        <v>46165</v>
      </c>
      <c r="B584" s="64">
        <v>46165.916666666701</v>
      </c>
      <c r="C584" s="142">
        <f t="shared" si="56"/>
        <v>46165.916666666701</v>
      </c>
      <c r="D584" s="19" t="s">
        <v>13</v>
      </c>
      <c r="E584" s="8" t="s">
        <v>14</v>
      </c>
      <c r="F584" s="7" t="s">
        <v>11</v>
      </c>
      <c r="G584" s="25" t="s">
        <v>93</v>
      </c>
      <c r="H584" s="26">
        <v>13.46</v>
      </c>
      <c r="I584" s="16">
        <v>13.52</v>
      </c>
      <c r="J584" s="42" t="str">
        <f t="shared" si="57"/>
        <v/>
      </c>
      <c r="K584" s="42" t="str">
        <f t="shared" si="58"/>
        <v/>
      </c>
      <c r="L584" s="42">
        <f t="shared" si="59"/>
        <v>5.9999999999998721E-2</v>
      </c>
      <c r="M584" s="17" t="str">
        <f t="shared" si="60"/>
        <v/>
      </c>
      <c r="O584" s="17" t="str">
        <f t="shared" si="61"/>
        <v>Within Tolerance</v>
      </c>
    </row>
    <row r="585" spans="1:15" x14ac:dyDescent="0.3">
      <c r="A585" s="169">
        <v>46165</v>
      </c>
      <c r="B585" s="64">
        <v>46166</v>
      </c>
      <c r="C585" s="142">
        <f t="shared" si="56"/>
        <v>46165</v>
      </c>
      <c r="D585" s="19" t="s">
        <v>13</v>
      </c>
      <c r="E585" s="8" t="s">
        <v>14</v>
      </c>
      <c r="F585" s="7" t="s">
        <v>11</v>
      </c>
      <c r="G585" s="25" t="s">
        <v>93</v>
      </c>
      <c r="H585" s="26">
        <v>13.43</v>
      </c>
      <c r="I585" s="16">
        <v>13.59</v>
      </c>
      <c r="J585" s="42" t="str">
        <f t="shared" si="57"/>
        <v/>
      </c>
      <c r="K585" s="42" t="str">
        <f t="shared" si="58"/>
        <v/>
      </c>
      <c r="L585" s="42">
        <f t="shared" si="59"/>
        <v>0.16000000000000014</v>
      </c>
      <c r="M585" s="17" t="str">
        <f t="shared" si="60"/>
        <v/>
      </c>
      <c r="O585" s="17" t="str">
        <f t="shared" si="61"/>
        <v>Within Tolerance</v>
      </c>
    </row>
    <row r="586" spans="1:15" x14ac:dyDescent="0.3">
      <c r="A586" s="168">
        <v>46166</v>
      </c>
      <c r="B586" s="64">
        <v>46166.104166666701</v>
      </c>
      <c r="C586" s="142">
        <f t="shared" si="56"/>
        <v>46166.104166666701</v>
      </c>
      <c r="D586" s="19" t="s">
        <v>41</v>
      </c>
      <c r="E586" s="8" t="s">
        <v>10</v>
      </c>
      <c r="F586" s="7" t="s">
        <v>11</v>
      </c>
      <c r="G586" s="25" t="s">
        <v>93</v>
      </c>
      <c r="H586" s="26">
        <v>9.7799999999999994</v>
      </c>
      <c r="I586" s="16">
        <v>9.8000000000000007</v>
      </c>
      <c r="J586" s="42" t="str">
        <f t="shared" si="57"/>
        <v/>
      </c>
      <c r="K586" s="42" t="str">
        <f t="shared" si="58"/>
        <v/>
      </c>
      <c r="L586" s="42">
        <f t="shared" si="59"/>
        <v>2.000000000000135E-2</v>
      </c>
      <c r="M586" s="17" t="str">
        <f t="shared" si="60"/>
        <v/>
      </c>
      <c r="O586" s="17" t="str">
        <f t="shared" si="61"/>
        <v>Within Tolerance</v>
      </c>
    </row>
    <row r="587" spans="1:15" x14ac:dyDescent="0.3">
      <c r="A587" s="169">
        <v>46166</v>
      </c>
      <c r="B587" s="64">
        <v>46166.166666666701</v>
      </c>
      <c r="C587" s="142">
        <f t="shared" si="56"/>
        <v>46166.166666666701</v>
      </c>
      <c r="D587" s="19" t="s">
        <v>41</v>
      </c>
      <c r="E587" s="8" t="s">
        <v>10</v>
      </c>
      <c r="F587" s="7" t="s">
        <v>11</v>
      </c>
      <c r="G587" s="25" t="s">
        <v>93</v>
      </c>
      <c r="H587" s="26">
        <v>9.76</v>
      </c>
      <c r="I587" s="16">
        <v>9.5399999999999991</v>
      </c>
      <c r="J587" s="42" t="str">
        <f t="shared" si="57"/>
        <v/>
      </c>
      <c r="K587" s="42" t="str">
        <f t="shared" si="58"/>
        <v/>
      </c>
      <c r="L587" s="42">
        <f t="shared" si="59"/>
        <v>-0.22000000000000064</v>
      </c>
      <c r="M587" s="17" t="str">
        <f t="shared" si="60"/>
        <v/>
      </c>
      <c r="O587" s="17" t="str">
        <f t="shared" si="61"/>
        <v>Out of Tolerance</v>
      </c>
    </row>
    <row r="588" spans="1:15" x14ac:dyDescent="0.3">
      <c r="A588" s="168">
        <v>46166</v>
      </c>
      <c r="B588" s="64">
        <v>46166.25</v>
      </c>
      <c r="C588" s="142">
        <f t="shared" si="56"/>
        <v>46166.25</v>
      </c>
      <c r="D588" s="19" t="s">
        <v>41</v>
      </c>
      <c r="E588" s="8" t="s">
        <v>10</v>
      </c>
      <c r="F588" s="7" t="s">
        <v>11</v>
      </c>
      <c r="G588" s="25" t="s">
        <v>93</v>
      </c>
      <c r="H588" s="26">
        <v>9.66</v>
      </c>
      <c r="I588" s="16">
        <v>9.65</v>
      </c>
      <c r="J588" s="42" t="str">
        <f t="shared" si="57"/>
        <v/>
      </c>
      <c r="K588" s="42" t="str">
        <f t="shared" si="58"/>
        <v/>
      </c>
      <c r="L588" s="42">
        <f t="shared" si="59"/>
        <v>-9.9999999999997868E-3</v>
      </c>
      <c r="M588" s="17" t="str">
        <f t="shared" si="60"/>
        <v/>
      </c>
      <c r="O588" s="17" t="str">
        <f t="shared" si="61"/>
        <v>Within Tolerance</v>
      </c>
    </row>
    <row r="589" spans="1:15" x14ac:dyDescent="0.3">
      <c r="A589" s="169">
        <v>46165</v>
      </c>
      <c r="B589" s="64">
        <v>46165.329861111102</v>
      </c>
      <c r="C589" s="142">
        <f t="shared" si="56"/>
        <v>46165.329861111102</v>
      </c>
      <c r="D589" s="19" t="s">
        <v>52</v>
      </c>
      <c r="E589" s="8" t="s">
        <v>17</v>
      </c>
      <c r="F589" s="7" t="s">
        <v>15</v>
      </c>
      <c r="G589" s="25" t="s">
        <v>93</v>
      </c>
      <c r="H589" s="26">
        <v>8.61</v>
      </c>
      <c r="I589" s="16">
        <v>8.7100000000000009</v>
      </c>
      <c r="J589" s="42" t="str">
        <f t="shared" si="57"/>
        <v/>
      </c>
      <c r="K589" s="42" t="str">
        <f t="shared" si="58"/>
        <v/>
      </c>
      <c r="L589" s="42">
        <f t="shared" si="59"/>
        <v>0.10000000000000142</v>
      </c>
      <c r="M589" s="17" t="str">
        <f t="shared" si="60"/>
        <v/>
      </c>
      <c r="O589" s="17" t="str">
        <f t="shared" si="61"/>
        <v>Within Tolerance</v>
      </c>
    </row>
    <row r="590" spans="1:15" x14ac:dyDescent="0.3">
      <c r="A590" s="168">
        <v>46165</v>
      </c>
      <c r="B590" s="64">
        <v>46165.395833333299</v>
      </c>
      <c r="C590" s="142">
        <f t="shared" si="56"/>
        <v>46165.395833333299</v>
      </c>
      <c r="D590" s="19" t="s">
        <v>52</v>
      </c>
      <c r="E590" s="8" t="s">
        <v>17</v>
      </c>
      <c r="F590" s="7" t="s">
        <v>15</v>
      </c>
      <c r="G590" s="25" t="s">
        <v>93</v>
      </c>
      <c r="H590" s="26">
        <v>8.68</v>
      </c>
      <c r="I590" s="16">
        <v>8.61</v>
      </c>
      <c r="J590" s="42" t="str">
        <f t="shared" si="57"/>
        <v/>
      </c>
      <c r="K590" s="42" t="str">
        <f t="shared" si="58"/>
        <v/>
      </c>
      <c r="L590" s="42">
        <f t="shared" si="59"/>
        <v>-7.0000000000000284E-2</v>
      </c>
      <c r="M590" s="17" t="str">
        <f t="shared" si="60"/>
        <v/>
      </c>
      <c r="O590" s="17" t="str">
        <f t="shared" si="61"/>
        <v>Within Tolerance</v>
      </c>
    </row>
    <row r="591" spans="1:15" x14ac:dyDescent="0.3">
      <c r="A591" s="169">
        <v>46165</v>
      </c>
      <c r="B591" s="64">
        <v>46165.479166666701</v>
      </c>
      <c r="C591" s="142">
        <f t="shared" si="56"/>
        <v>46165.479166666701</v>
      </c>
      <c r="D591" s="19" t="s">
        <v>40</v>
      </c>
      <c r="E591" s="8" t="s">
        <v>17</v>
      </c>
      <c r="F591" s="7" t="s">
        <v>15</v>
      </c>
      <c r="G591" s="25" t="s">
        <v>93</v>
      </c>
      <c r="H591" s="26">
        <v>8.69</v>
      </c>
      <c r="I591" s="16">
        <v>8.7100000000000009</v>
      </c>
      <c r="J591" s="42" t="str">
        <f t="shared" si="57"/>
        <v/>
      </c>
      <c r="K591" s="42" t="str">
        <f t="shared" si="58"/>
        <v/>
      </c>
      <c r="L591" s="42">
        <f t="shared" si="59"/>
        <v>2.000000000000135E-2</v>
      </c>
      <c r="M591" s="17" t="str">
        <f t="shared" si="60"/>
        <v/>
      </c>
      <c r="O591" s="17" t="str">
        <f t="shared" si="61"/>
        <v>Within Tolerance</v>
      </c>
    </row>
    <row r="592" spans="1:15" x14ac:dyDescent="0.3">
      <c r="A592" s="168">
        <v>46165</v>
      </c>
      <c r="B592" s="64">
        <v>46165.583333333299</v>
      </c>
      <c r="C592" s="142">
        <f t="shared" si="56"/>
        <v>46165.583333333299</v>
      </c>
      <c r="D592" s="19" t="s">
        <v>40</v>
      </c>
      <c r="E592" s="8" t="s">
        <v>17</v>
      </c>
      <c r="F592" s="7" t="s">
        <v>15</v>
      </c>
      <c r="G592" s="25" t="s">
        <v>93</v>
      </c>
      <c r="H592" s="26">
        <v>8.92</v>
      </c>
      <c r="I592" s="16">
        <v>8.6199999999999992</v>
      </c>
      <c r="J592" s="42" t="str">
        <f t="shared" si="57"/>
        <v/>
      </c>
      <c r="K592" s="42" t="str">
        <f t="shared" si="58"/>
        <v/>
      </c>
      <c r="L592" s="42">
        <f t="shared" si="59"/>
        <v>-0.30000000000000071</v>
      </c>
      <c r="M592" s="17" t="str">
        <f t="shared" si="60"/>
        <v/>
      </c>
      <c r="O592" s="17" t="str">
        <f t="shared" si="61"/>
        <v>Out of Tolerance</v>
      </c>
    </row>
    <row r="593" spans="1:15" x14ac:dyDescent="0.3">
      <c r="A593" s="169">
        <v>46165</v>
      </c>
      <c r="B593" s="64">
        <v>46165.666666666701</v>
      </c>
      <c r="C593" s="142">
        <f t="shared" si="56"/>
        <v>46165.666666666701</v>
      </c>
      <c r="D593" s="19" t="s">
        <v>40</v>
      </c>
      <c r="E593" s="8" t="s">
        <v>17</v>
      </c>
      <c r="F593" s="7" t="s">
        <v>15</v>
      </c>
      <c r="G593" s="25" t="s">
        <v>93</v>
      </c>
      <c r="H593" s="26">
        <v>8.77</v>
      </c>
      <c r="I593" s="16">
        <v>8.6</v>
      </c>
      <c r="J593" s="42" t="str">
        <f t="shared" si="57"/>
        <v/>
      </c>
      <c r="K593" s="42" t="str">
        <f t="shared" si="58"/>
        <v/>
      </c>
      <c r="L593" s="42">
        <f t="shared" si="59"/>
        <v>-0.16999999999999993</v>
      </c>
      <c r="M593" s="17" t="str">
        <f t="shared" si="60"/>
        <v/>
      </c>
      <c r="O593" s="17" t="str">
        <f t="shared" si="61"/>
        <v>Within Tolerance</v>
      </c>
    </row>
    <row r="594" spans="1:15" x14ac:dyDescent="0.3">
      <c r="A594" s="168">
        <v>46165</v>
      </c>
      <c r="B594" s="64">
        <v>46165.756944444402</v>
      </c>
      <c r="C594" s="142">
        <f t="shared" si="56"/>
        <v>46165.756944444402</v>
      </c>
      <c r="D594" s="19" t="s">
        <v>41</v>
      </c>
      <c r="E594" s="8" t="s">
        <v>10</v>
      </c>
      <c r="F594" s="7" t="s">
        <v>15</v>
      </c>
      <c r="G594" s="25" t="s">
        <v>93</v>
      </c>
      <c r="H594" s="26">
        <v>9.67</v>
      </c>
      <c r="I594" s="16">
        <v>9.67</v>
      </c>
      <c r="J594" s="42" t="str">
        <f t="shared" si="57"/>
        <v/>
      </c>
      <c r="K594" s="42" t="str">
        <f t="shared" si="58"/>
        <v/>
      </c>
      <c r="L594" s="42">
        <f t="shared" si="59"/>
        <v>0</v>
      </c>
      <c r="M594" s="17" t="str">
        <f t="shared" si="60"/>
        <v/>
      </c>
      <c r="O594" s="17" t="str">
        <f t="shared" si="61"/>
        <v>Within Tolerance</v>
      </c>
    </row>
    <row r="595" spans="1:15" x14ac:dyDescent="0.3">
      <c r="A595" s="169">
        <v>46165</v>
      </c>
      <c r="B595" s="64">
        <v>46165.833333333299</v>
      </c>
      <c r="C595" s="142">
        <f t="shared" si="56"/>
        <v>46165.833333333299</v>
      </c>
      <c r="D595" s="19" t="s">
        <v>41</v>
      </c>
      <c r="E595" s="8" t="s">
        <v>10</v>
      </c>
      <c r="F595" s="7" t="s">
        <v>15</v>
      </c>
      <c r="G595" s="25" t="s">
        <v>93</v>
      </c>
      <c r="H595" s="26">
        <v>9.77</v>
      </c>
      <c r="I595" s="16">
        <v>9.56</v>
      </c>
      <c r="J595" s="42" t="str">
        <f t="shared" si="57"/>
        <v/>
      </c>
      <c r="K595" s="42" t="str">
        <f t="shared" si="58"/>
        <v/>
      </c>
      <c r="L595" s="42">
        <f t="shared" si="59"/>
        <v>-0.20999999999999908</v>
      </c>
      <c r="M595" s="17" t="str">
        <f t="shared" si="60"/>
        <v/>
      </c>
      <c r="O595" s="17" t="str">
        <f t="shared" si="61"/>
        <v>Out of Tolerance</v>
      </c>
    </row>
    <row r="596" spans="1:15" x14ac:dyDescent="0.3">
      <c r="A596" s="168">
        <v>46165</v>
      </c>
      <c r="B596" s="64">
        <v>46165.895833333299</v>
      </c>
      <c r="C596" s="142">
        <f t="shared" si="56"/>
        <v>46165.895833333299</v>
      </c>
      <c r="D596" s="19" t="s">
        <v>41</v>
      </c>
      <c r="E596" s="8" t="s">
        <v>10</v>
      </c>
      <c r="F596" s="7" t="s">
        <v>15</v>
      </c>
      <c r="G596" s="25" t="s">
        <v>93</v>
      </c>
      <c r="H596" s="26">
        <v>9.6999999999999993</v>
      </c>
      <c r="I596" s="16">
        <v>9.7899999999999991</v>
      </c>
      <c r="J596" s="42" t="str">
        <f t="shared" si="57"/>
        <v/>
      </c>
      <c r="K596" s="42" t="str">
        <f t="shared" si="58"/>
        <v/>
      </c>
      <c r="L596" s="42">
        <f t="shared" si="59"/>
        <v>8.9999999999999858E-2</v>
      </c>
      <c r="M596" s="17" t="str">
        <f t="shared" si="60"/>
        <v/>
      </c>
      <c r="O596" s="17" t="str">
        <f t="shared" si="61"/>
        <v>Within Tolerance</v>
      </c>
    </row>
    <row r="597" spans="1:15" x14ac:dyDescent="0.3">
      <c r="A597" s="169">
        <v>46165</v>
      </c>
      <c r="B597" s="64">
        <v>46166</v>
      </c>
      <c r="C597" s="142">
        <f t="shared" si="56"/>
        <v>46165</v>
      </c>
      <c r="D597" s="19" t="s">
        <v>41</v>
      </c>
      <c r="E597" s="8" t="s">
        <v>10</v>
      </c>
      <c r="F597" s="7" t="s">
        <v>15</v>
      </c>
      <c r="G597" s="25" t="s">
        <v>93</v>
      </c>
      <c r="H597" s="26">
        <v>9.66</v>
      </c>
      <c r="I597" s="16">
        <v>9.7200000000000006</v>
      </c>
      <c r="J597" s="42" t="str">
        <f t="shared" si="57"/>
        <v/>
      </c>
      <c r="K597" s="42" t="str">
        <f t="shared" si="58"/>
        <v/>
      </c>
      <c r="L597" s="42">
        <f t="shared" si="59"/>
        <v>6.0000000000000497E-2</v>
      </c>
      <c r="M597" s="17" t="str">
        <f t="shared" si="60"/>
        <v/>
      </c>
      <c r="O597" s="17" t="str">
        <f t="shared" si="61"/>
        <v>Within Tolerance</v>
      </c>
    </row>
    <row r="598" spans="1:15" x14ac:dyDescent="0.3">
      <c r="A598" s="168">
        <v>46166</v>
      </c>
      <c r="B598" s="64">
        <v>46166.083333333299</v>
      </c>
      <c r="C598" s="142">
        <f t="shared" si="56"/>
        <v>46166.083333333299</v>
      </c>
      <c r="D598" s="19" t="s">
        <v>41</v>
      </c>
      <c r="E598" s="8" t="s">
        <v>10</v>
      </c>
      <c r="F598" s="7" t="s">
        <v>15</v>
      </c>
      <c r="G598" s="25" t="s">
        <v>93</v>
      </c>
      <c r="H598" s="26">
        <v>9.66</v>
      </c>
      <c r="I598" s="16">
        <v>9.9</v>
      </c>
      <c r="J598" s="42" t="str">
        <f t="shared" si="57"/>
        <v/>
      </c>
      <c r="K598" s="42" t="str">
        <f t="shared" si="58"/>
        <v/>
      </c>
      <c r="L598" s="42">
        <f t="shared" si="59"/>
        <v>0.24000000000000021</v>
      </c>
      <c r="M598" s="17" t="str">
        <f t="shared" si="60"/>
        <v/>
      </c>
      <c r="O598" s="17" t="str">
        <f t="shared" si="61"/>
        <v>Out of Tolerance</v>
      </c>
    </row>
    <row r="599" spans="1:15" x14ac:dyDescent="0.3">
      <c r="A599" s="169">
        <v>46166</v>
      </c>
      <c r="B599" s="64">
        <v>46166.166666666701</v>
      </c>
      <c r="C599" s="142">
        <f t="shared" si="56"/>
        <v>46166.166666666701</v>
      </c>
      <c r="D599" s="19" t="s">
        <v>41</v>
      </c>
      <c r="E599" s="8" t="s">
        <v>10</v>
      </c>
      <c r="F599" s="7" t="s">
        <v>15</v>
      </c>
      <c r="G599" s="25" t="s">
        <v>93</v>
      </c>
      <c r="H599" s="26">
        <v>9.76</v>
      </c>
      <c r="I599" s="16">
        <v>9.5299999999999994</v>
      </c>
      <c r="J599" s="42" t="str">
        <f t="shared" si="57"/>
        <v/>
      </c>
      <c r="K599" s="42" t="str">
        <f t="shared" si="58"/>
        <v/>
      </c>
      <c r="L599" s="42">
        <f t="shared" si="59"/>
        <v>-0.23000000000000043</v>
      </c>
      <c r="M599" s="17" t="str">
        <f t="shared" si="60"/>
        <v/>
      </c>
      <c r="O599" s="17" t="str">
        <f t="shared" si="61"/>
        <v>Out of Tolerance</v>
      </c>
    </row>
    <row r="600" spans="1:15" x14ac:dyDescent="0.3">
      <c r="A600" s="168">
        <v>46166</v>
      </c>
      <c r="B600" s="64">
        <v>46166.236111111102</v>
      </c>
      <c r="C600" s="142">
        <f t="shared" si="56"/>
        <v>46166.236111111102</v>
      </c>
      <c r="D600" s="19" t="s">
        <v>29</v>
      </c>
      <c r="E600" s="8" t="s">
        <v>10</v>
      </c>
      <c r="F600" s="7" t="s">
        <v>15</v>
      </c>
      <c r="G600" s="25" t="s">
        <v>93</v>
      </c>
      <c r="H600" s="26">
        <v>10.39</v>
      </c>
      <c r="I600" s="16">
        <v>10.45</v>
      </c>
      <c r="J600" s="42" t="str">
        <f t="shared" si="57"/>
        <v/>
      </c>
      <c r="K600" s="42" t="str">
        <f t="shared" si="58"/>
        <v/>
      </c>
      <c r="L600" s="42">
        <f t="shared" si="59"/>
        <v>5.9999999999998721E-2</v>
      </c>
      <c r="M600" s="17" t="str">
        <f t="shared" si="60"/>
        <v/>
      </c>
      <c r="O600" s="17" t="str">
        <f t="shared" si="61"/>
        <v>Within Tolerance</v>
      </c>
    </row>
    <row r="601" spans="1:15" x14ac:dyDescent="0.3">
      <c r="A601" s="175">
        <v>46165</v>
      </c>
      <c r="B601" s="67">
        <v>46165.451388888898</v>
      </c>
      <c r="C601" s="145">
        <f t="shared" si="56"/>
        <v>46165.451388888898</v>
      </c>
      <c r="D601" s="19" t="s">
        <v>21</v>
      </c>
      <c r="E601" s="8" t="s">
        <v>10</v>
      </c>
      <c r="F601" s="15" t="s">
        <v>19</v>
      </c>
      <c r="G601" s="25" t="s">
        <v>93</v>
      </c>
      <c r="H601" s="26">
        <v>11.29</v>
      </c>
      <c r="I601" s="16">
        <v>11.15</v>
      </c>
      <c r="J601" s="42" t="str">
        <f t="shared" si="57"/>
        <v/>
      </c>
      <c r="K601" s="42" t="str">
        <f t="shared" si="58"/>
        <v/>
      </c>
      <c r="L601" s="42">
        <f t="shared" si="59"/>
        <v>-0.13999999999999879</v>
      </c>
      <c r="M601" s="17" t="str">
        <f t="shared" si="60"/>
        <v/>
      </c>
      <c r="O601" s="17" t="str">
        <f t="shared" si="61"/>
        <v>Within Tolerance</v>
      </c>
    </row>
    <row r="602" spans="1:15" x14ac:dyDescent="0.3">
      <c r="A602" s="176">
        <v>46165</v>
      </c>
      <c r="B602" s="68">
        <v>46165.555555555598</v>
      </c>
      <c r="C602" s="146">
        <f t="shared" si="56"/>
        <v>46165.555555555598</v>
      </c>
      <c r="D602" s="19" t="s">
        <v>18</v>
      </c>
      <c r="E602" s="8" t="s">
        <v>14</v>
      </c>
      <c r="F602" s="15" t="s">
        <v>19</v>
      </c>
      <c r="G602" s="25" t="s">
        <v>93</v>
      </c>
      <c r="H602" s="26">
        <v>13.36</v>
      </c>
      <c r="I602" s="16">
        <v>13.56</v>
      </c>
      <c r="J602" s="42" t="str">
        <f t="shared" si="57"/>
        <v/>
      </c>
      <c r="K602" s="42" t="str">
        <f t="shared" si="58"/>
        <v/>
      </c>
      <c r="L602" s="42">
        <f t="shared" si="59"/>
        <v>0.20000000000000107</v>
      </c>
      <c r="M602" s="17" t="str">
        <f t="shared" si="60"/>
        <v/>
      </c>
      <c r="O602" s="17" t="str">
        <f t="shared" si="61"/>
        <v>Out of Tolerance</v>
      </c>
    </row>
    <row r="603" spans="1:15" x14ac:dyDescent="0.3">
      <c r="A603" s="196">
        <v>46165</v>
      </c>
      <c r="B603" s="68">
        <v>46165.774305555598</v>
      </c>
      <c r="C603" s="146">
        <f t="shared" si="56"/>
        <v>46165.774305555598</v>
      </c>
      <c r="D603" s="19" t="s">
        <v>37</v>
      </c>
      <c r="E603" s="8" t="s">
        <v>14</v>
      </c>
      <c r="F603" s="15" t="s">
        <v>19</v>
      </c>
      <c r="G603" s="25" t="s">
        <v>93</v>
      </c>
      <c r="H603" s="26">
        <v>12.57</v>
      </c>
      <c r="I603" s="16">
        <v>12.61</v>
      </c>
      <c r="J603" s="42" t="str">
        <f t="shared" si="57"/>
        <v/>
      </c>
      <c r="K603" s="42" t="str">
        <f t="shared" si="58"/>
        <v/>
      </c>
      <c r="L603" s="42">
        <f t="shared" si="59"/>
        <v>3.9999999999999147E-2</v>
      </c>
      <c r="M603" s="17" t="str">
        <f t="shared" si="60"/>
        <v/>
      </c>
      <c r="O603" s="17" t="str">
        <f t="shared" si="61"/>
        <v>Within Tolerance</v>
      </c>
    </row>
    <row r="604" spans="1:15" x14ac:dyDescent="0.3">
      <c r="A604" s="174">
        <v>46165</v>
      </c>
      <c r="B604" s="66">
        <v>46165.795138888898</v>
      </c>
      <c r="C604" s="144">
        <f t="shared" si="56"/>
        <v>46165.795138888898</v>
      </c>
      <c r="D604" s="19" t="s">
        <v>55</v>
      </c>
      <c r="E604" s="8" t="s">
        <v>14</v>
      </c>
      <c r="F604" s="15" t="s">
        <v>19</v>
      </c>
      <c r="G604" s="25" t="s">
        <v>93</v>
      </c>
      <c r="H604" s="26">
        <v>13.11</v>
      </c>
      <c r="I604" s="16">
        <v>13.18</v>
      </c>
      <c r="J604" s="42" t="str">
        <f t="shared" si="57"/>
        <v/>
      </c>
      <c r="K604" s="42" t="str">
        <f t="shared" si="58"/>
        <v/>
      </c>
      <c r="L604" s="42">
        <f t="shared" si="59"/>
        <v>7.0000000000000284E-2</v>
      </c>
      <c r="M604" s="17" t="str">
        <f t="shared" si="60"/>
        <v/>
      </c>
      <c r="O604" s="17" t="str">
        <f t="shared" si="61"/>
        <v>Within Tolerance</v>
      </c>
    </row>
    <row r="605" spans="1:15" x14ac:dyDescent="0.3">
      <c r="A605" s="179">
        <v>46165</v>
      </c>
      <c r="B605" s="65">
        <v>46165.4375</v>
      </c>
      <c r="C605" s="147">
        <f t="shared" si="56"/>
        <v>46165.4375</v>
      </c>
      <c r="D605" s="27" t="s">
        <v>51</v>
      </c>
      <c r="E605" s="8" t="s">
        <v>10</v>
      </c>
      <c r="F605" s="7" t="s">
        <v>24</v>
      </c>
      <c r="G605" s="25" t="s">
        <v>93</v>
      </c>
      <c r="H605" s="26">
        <v>9.8000000000000007</v>
      </c>
      <c r="I605" s="16">
        <v>10.039999999999999</v>
      </c>
      <c r="J605" s="42" t="str">
        <f t="shared" si="57"/>
        <v/>
      </c>
      <c r="K605" s="42" t="str">
        <f t="shared" si="58"/>
        <v/>
      </c>
      <c r="L605" s="42">
        <f t="shared" si="59"/>
        <v>0.23999999999999844</v>
      </c>
      <c r="M605" s="17" t="str">
        <f t="shared" si="60"/>
        <v/>
      </c>
      <c r="O605" s="17" t="str">
        <f t="shared" si="61"/>
        <v>Out of Tolerance</v>
      </c>
    </row>
    <row r="606" spans="1:15" x14ac:dyDescent="0.3">
      <c r="A606" s="181">
        <v>46165</v>
      </c>
      <c r="B606" s="66">
        <v>46165.451388888898</v>
      </c>
      <c r="C606" s="220">
        <f t="shared" si="56"/>
        <v>46165.451388888898</v>
      </c>
      <c r="D606" s="28" t="s">
        <v>50</v>
      </c>
      <c r="E606" s="8" t="s">
        <v>10</v>
      </c>
      <c r="F606" s="7" t="s">
        <v>24</v>
      </c>
      <c r="G606" s="25" t="s">
        <v>93</v>
      </c>
      <c r="H606" s="26">
        <v>9.77</v>
      </c>
      <c r="I606" s="16">
        <v>9.92</v>
      </c>
      <c r="J606" s="42" t="str">
        <f t="shared" si="57"/>
        <v/>
      </c>
      <c r="K606" s="42" t="str">
        <f t="shared" si="58"/>
        <v/>
      </c>
      <c r="L606" s="42">
        <f t="shared" si="59"/>
        <v>0.15000000000000036</v>
      </c>
      <c r="M606" s="17" t="str">
        <f t="shared" si="60"/>
        <v/>
      </c>
      <c r="O606" s="17" t="str">
        <f t="shared" si="61"/>
        <v>Within Tolerance</v>
      </c>
    </row>
    <row r="607" spans="1:15" x14ac:dyDescent="0.3">
      <c r="A607" s="169">
        <v>46166</v>
      </c>
      <c r="B607" s="64">
        <v>46166.333333333299</v>
      </c>
      <c r="C607" s="142">
        <f t="shared" si="56"/>
        <v>46166.333333333299</v>
      </c>
      <c r="D607" s="19" t="s">
        <v>41</v>
      </c>
      <c r="E607" s="8" t="s">
        <v>10</v>
      </c>
      <c r="F607" s="7" t="s">
        <v>11</v>
      </c>
      <c r="G607" s="25" t="s">
        <v>93</v>
      </c>
      <c r="H607" s="26">
        <v>9.73</v>
      </c>
      <c r="I607" s="16">
        <v>9.6199999999999992</v>
      </c>
      <c r="J607" s="42" t="str">
        <f t="shared" si="57"/>
        <v/>
      </c>
      <c r="K607" s="42" t="str">
        <f t="shared" si="58"/>
        <v/>
      </c>
      <c r="L607" s="42">
        <f t="shared" si="59"/>
        <v>-0.11000000000000121</v>
      </c>
      <c r="M607" s="17" t="str">
        <f t="shared" si="60"/>
        <v/>
      </c>
      <c r="O607" s="17" t="str">
        <f t="shared" si="61"/>
        <v>Within Tolerance</v>
      </c>
    </row>
    <row r="608" spans="1:15" x14ac:dyDescent="0.3">
      <c r="A608" s="168">
        <v>46166</v>
      </c>
      <c r="B608" s="64">
        <v>46166.416666666701</v>
      </c>
      <c r="C608" s="142">
        <f t="shared" si="56"/>
        <v>46166.416666666701</v>
      </c>
      <c r="D608" s="19" t="s">
        <v>41</v>
      </c>
      <c r="E608" s="8" t="s">
        <v>10</v>
      </c>
      <c r="F608" s="7" t="s">
        <v>11</v>
      </c>
      <c r="G608" s="25" t="s">
        <v>93</v>
      </c>
      <c r="H608" s="26">
        <v>9.73</v>
      </c>
      <c r="I608" s="16">
        <v>9.75</v>
      </c>
      <c r="J608" s="42" t="str">
        <f t="shared" si="57"/>
        <v/>
      </c>
      <c r="K608" s="42" t="str">
        <f t="shared" si="58"/>
        <v/>
      </c>
      <c r="L608" s="42">
        <f t="shared" si="59"/>
        <v>1.9999999999999574E-2</v>
      </c>
      <c r="M608" s="17" t="str">
        <f t="shared" si="60"/>
        <v/>
      </c>
      <c r="O608" s="17" t="str">
        <f t="shared" si="61"/>
        <v>Within Tolerance</v>
      </c>
    </row>
    <row r="609" spans="1:15" x14ac:dyDescent="0.3">
      <c r="A609" s="169">
        <v>46166</v>
      </c>
      <c r="B609" s="64">
        <v>46166.5</v>
      </c>
      <c r="C609" s="142">
        <f t="shared" si="56"/>
        <v>46166.5</v>
      </c>
      <c r="D609" s="19" t="s">
        <v>41</v>
      </c>
      <c r="E609" s="8" t="s">
        <v>10</v>
      </c>
      <c r="F609" s="7" t="s">
        <v>11</v>
      </c>
      <c r="G609" s="25" t="s">
        <v>93</v>
      </c>
      <c r="H609" s="26">
        <v>9.6999999999999993</v>
      </c>
      <c r="I609" s="16">
        <v>9.75</v>
      </c>
      <c r="J609" s="42" t="str">
        <f t="shared" si="57"/>
        <v/>
      </c>
      <c r="K609" s="42" t="str">
        <f t="shared" si="58"/>
        <v/>
      </c>
      <c r="L609" s="42">
        <f t="shared" si="59"/>
        <v>5.0000000000000711E-2</v>
      </c>
      <c r="M609" s="17" t="str">
        <f t="shared" si="60"/>
        <v/>
      </c>
      <c r="O609" s="17" t="str">
        <f t="shared" si="61"/>
        <v>Within Tolerance</v>
      </c>
    </row>
    <row r="610" spans="1:15" x14ac:dyDescent="0.3">
      <c r="A610" s="168">
        <v>46166</v>
      </c>
      <c r="B610" s="64">
        <v>46166.583333333299</v>
      </c>
      <c r="C610" s="142">
        <f t="shared" si="56"/>
        <v>46166.583333333299</v>
      </c>
      <c r="D610" s="19" t="s">
        <v>41</v>
      </c>
      <c r="E610" s="8" t="s">
        <v>10</v>
      </c>
      <c r="F610" s="7" t="s">
        <v>11</v>
      </c>
      <c r="G610" s="25" t="s">
        <v>93</v>
      </c>
      <c r="H610" s="26">
        <v>9.7200000000000006</v>
      </c>
      <c r="I610" s="16">
        <v>9.93</v>
      </c>
      <c r="J610" s="42" t="str">
        <f t="shared" si="57"/>
        <v/>
      </c>
      <c r="K610" s="42" t="str">
        <f t="shared" si="58"/>
        <v/>
      </c>
      <c r="L610" s="42">
        <f t="shared" si="59"/>
        <v>0.20999999999999908</v>
      </c>
      <c r="M610" s="17" t="str">
        <f t="shared" si="60"/>
        <v/>
      </c>
      <c r="O610" s="17" t="str">
        <f t="shared" si="61"/>
        <v>Out of Tolerance</v>
      </c>
    </row>
    <row r="611" spans="1:15" x14ac:dyDescent="0.3">
      <c r="A611" s="169">
        <v>46166</v>
      </c>
      <c r="B611" s="64">
        <v>46166.666666666701</v>
      </c>
      <c r="C611" s="142">
        <f t="shared" si="56"/>
        <v>46166.666666666701</v>
      </c>
      <c r="D611" s="19" t="s">
        <v>41</v>
      </c>
      <c r="E611" s="8" t="s">
        <v>10</v>
      </c>
      <c r="F611" s="7" t="s">
        <v>11</v>
      </c>
      <c r="G611" s="25" t="s">
        <v>93</v>
      </c>
      <c r="H611" s="26">
        <v>9.75</v>
      </c>
      <c r="I611" s="16">
        <v>9.86</v>
      </c>
      <c r="J611" s="42" t="str">
        <f t="shared" si="57"/>
        <v/>
      </c>
      <c r="K611" s="42" t="str">
        <f t="shared" si="58"/>
        <v/>
      </c>
      <c r="L611" s="42">
        <f t="shared" si="59"/>
        <v>0.10999999999999943</v>
      </c>
      <c r="M611" s="17" t="str">
        <f t="shared" si="60"/>
        <v/>
      </c>
      <c r="O611" s="17" t="str">
        <f t="shared" si="61"/>
        <v>Within Tolerance</v>
      </c>
    </row>
    <row r="612" spans="1:15" x14ac:dyDescent="0.3">
      <c r="A612" s="168">
        <v>46166</v>
      </c>
      <c r="B612" s="64">
        <v>46166.333333333299</v>
      </c>
      <c r="C612" s="142">
        <f t="shared" si="56"/>
        <v>46166.333333333299</v>
      </c>
      <c r="D612" s="19" t="s">
        <v>29</v>
      </c>
      <c r="E612" s="8" t="s">
        <v>10</v>
      </c>
      <c r="F612" s="7" t="s">
        <v>15</v>
      </c>
      <c r="G612" s="25" t="s">
        <v>93</v>
      </c>
      <c r="H612" s="26">
        <v>10.48</v>
      </c>
      <c r="I612" s="16">
        <v>10.41</v>
      </c>
      <c r="J612" s="42" t="str">
        <f t="shared" si="57"/>
        <v/>
      </c>
      <c r="K612" s="42" t="str">
        <f t="shared" si="58"/>
        <v/>
      </c>
      <c r="L612" s="42">
        <f t="shared" si="59"/>
        <v>-7.0000000000000284E-2</v>
      </c>
      <c r="M612" s="17" t="str">
        <f t="shared" si="60"/>
        <v/>
      </c>
      <c r="O612" s="17" t="str">
        <f t="shared" si="61"/>
        <v>Within Tolerance</v>
      </c>
    </row>
    <row r="613" spans="1:15" x14ac:dyDescent="0.3">
      <c r="A613" s="169">
        <v>46166</v>
      </c>
      <c r="B613" s="64">
        <v>46166.416666666701</v>
      </c>
      <c r="C613" s="142">
        <f t="shared" si="56"/>
        <v>46166.416666666701</v>
      </c>
      <c r="D613" s="19" t="s">
        <v>29</v>
      </c>
      <c r="E613" s="8" t="s">
        <v>10</v>
      </c>
      <c r="F613" s="7" t="s">
        <v>15</v>
      </c>
      <c r="G613" s="25" t="s">
        <v>93</v>
      </c>
      <c r="H613" s="26">
        <v>10.56</v>
      </c>
      <c r="I613" s="16">
        <v>10.44</v>
      </c>
      <c r="J613" s="42" t="str">
        <f t="shared" si="57"/>
        <v/>
      </c>
      <c r="K613" s="42" t="str">
        <f t="shared" si="58"/>
        <v/>
      </c>
      <c r="L613" s="42">
        <f t="shared" si="59"/>
        <v>-0.12000000000000099</v>
      </c>
      <c r="M613" s="17" t="str">
        <f t="shared" si="60"/>
        <v/>
      </c>
      <c r="O613" s="17" t="str">
        <f t="shared" si="61"/>
        <v>Within Tolerance</v>
      </c>
    </row>
    <row r="614" spans="1:15" x14ac:dyDescent="0.3">
      <c r="A614" s="168">
        <v>46166</v>
      </c>
      <c r="B614" s="64">
        <v>46166.5</v>
      </c>
      <c r="C614" s="142">
        <f t="shared" si="56"/>
        <v>46166.5</v>
      </c>
      <c r="D614" s="19" t="s">
        <v>29</v>
      </c>
      <c r="E614" s="8" t="s">
        <v>10</v>
      </c>
      <c r="F614" s="7" t="s">
        <v>15</v>
      </c>
      <c r="G614" s="25" t="s">
        <v>93</v>
      </c>
      <c r="H614" s="26">
        <v>10.51</v>
      </c>
      <c r="I614" s="16">
        <v>10.59</v>
      </c>
      <c r="J614" s="42" t="str">
        <f t="shared" si="57"/>
        <v/>
      </c>
      <c r="K614" s="42" t="str">
        <f t="shared" si="58"/>
        <v/>
      </c>
      <c r="L614" s="42">
        <f t="shared" si="59"/>
        <v>8.0000000000000071E-2</v>
      </c>
      <c r="M614" s="17" t="str">
        <f t="shared" si="60"/>
        <v/>
      </c>
      <c r="O614" s="17" t="str">
        <f t="shared" si="61"/>
        <v>Within Tolerance</v>
      </c>
    </row>
    <row r="615" spans="1:15" x14ac:dyDescent="0.3">
      <c r="A615" s="169">
        <v>46166</v>
      </c>
      <c r="B615" s="64">
        <v>46166.534722222197</v>
      </c>
      <c r="C615" s="142">
        <f t="shared" si="56"/>
        <v>46166.534722222197</v>
      </c>
      <c r="D615" s="19" t="s">
        <v>29</v>
      </c>
      <c r="E615" s="8" t="s">
        <v>10</v>
      </c>
      <c r="F615" s="7" t="s">
        <v>15</v>
      </c>
      <c r="G615" s="25" t="s">
        <v>93</v>
      </c>
      <c r="H615" s="26">
        <v>10.41</v>
      </c>
      <c r="I615" s="16">
        <v>10.59</v>
      </c>
      <c r="J615" s="42" t="str">
        <f t="shared" si="57"/>
        <v/>
      </c>
      <c r="K615" s="42" t="str">
        <f t="shared" si="58"/>
        <v/>
      </c>
      <c r="L615" s="42">
        <f t="shared" si="59"/>
        <v>0.17999999999999972</v>
      </c>
      <c r="M615" s="17" t="str">
        <f t="shared" si="60"/>
        <v/>
      </c>
      <c r="O615" s="17" t="str">
        <f t="shared" si="61"/>
        <v>Within Tolerance</v>
      </c>
    </row>
    <row r="616" spans="1:15" x14ac:dyDescent="0.3">
      <c r="A616" s="168">
        <v>46166</v>
      </c>
      <c r="B616" s="64">
        <v>46166.666666666701</v>
      </c>
      <c r="C616" s="142">
        <f t="shared" si="56"/>
        <v>46166.666666666701</v>
      </c>
      <c r="D616" s="19" t="s">
        <v>29</v>
      </c>
      <c r="E616" s="8" t="s">
        <v>10</v>
      </c>
      <c r="F616" s="7" t="s">
        <v>15</v>
      </c>
      <c r="G616" s="25" t="s">
        <v>93</v>
      </c>
      <c r="H616" s="26">
        <v>10.44</v>
      </c>
      <c r="I616" s="16">
        <v>10.36</v>
      </c>
      <c r="J616" s="42" t="str">
        <f t="shared" si="57"/>
        <v/>
      </c>
      <c r="K616" s="42" t="str">
        <f t="shared" si="58"/>
        <v/>
      </c>
      <c r="L616" s="42">
        <f t="shared" si="59"/>
        <v>-8.0000000000000071E-2</v>
      </c>
      <c r="M616" s="17" t="str">
        <f t="shared" si="60"/>
        <v/>
      </c>
      <c r="O616" s="17" t="str">
        <f t="shared" si="61"/>
        <v>Within Tolerance</v>
      </c>
    </row>
    <row r="617" spans="1:15" x14ac:dyDescent="0.3">
      <c r="A617" s="197">
        <v>46166</v>
      </c>
      <c r="B617" s="98">
        <v>46166.420138888898</v>
      </c>
      <c r="C617" s="229">
        <f t="shared" si="56"/>
        <v>46166.420138888898</v>
      </c>
      <c r="D617" s="33" t="s">
        <v>46</v>
      </c>
      <c r="E617" s="8" t="s">
        <v>14</v>
      </c>
      <c r="F617" s="15" t="s">
        <v>19</v>
      </c>
      <c r="G617" s="25" t="s">
        <v>93</v>
      </c>
      <c r="H617" s="26">
        <v>13.41</v>
      </c>
      <c r="I617" s="16">
        <v>13.58</v>
      </c>
      <c r="J617" s="42" t="str">
        <f t="shared" si="57"/>
        <v/>
      </c>
      <c r="K617" s="42" t="str">
        <f t="shared" si="58"/>
        <v/>
      </c>
      <c r="L617" s="42">
        <f t="shared" si="59"/>
        <v>0.16999999999999993</v>
      </c>
      <c r="M617" s="17" t="str">
        <f t="shared" si="60"/>
        <v/>
      </c>
      <c r="O617" s="17" t="str">
        <f t="shared" si="61"/>
        <v>Within Tolerance</v>
      </c>
    </row>
    <row r="618" spans="1:15" x14ac:dyDescent="0.3">
      <c r="A618" s="182">
        <v>46166</v>
      </c>
      <c r="B618" s="90">
        <v>46166.458333333299</v>
      </c>
      <c r="C618" s="221">
        <f t="shared" si="56"/>
        <v>46166.458333333299</v>
      </c>
      <c r="D618" s="29" t="s">
        <v>20</v>
      </c>
      <c r="E618" s="8" t="s">
        <v>14</v>
      </c>
      <c r="F618" s="15" t="s">
        <v>19</v>
      </c>
      <c r="G618" s="25" t="s">
        <v>93</v>
      </c>
      <c r="H618" s="26">
        <v>12.61</v>
      </c>
      <c r="I618" s="16">
        <v>12.59</v>
      </c>
      <c r="J618" s="42" t="str">
        <f t="shared" si="57"/>
        <v/>
      </c>
      <c r="K618" s="42" t="str">
        <f t="shared" si="58"/>
        <v/>
      </c>
      <c r="L618" s="42">
        <f t="shared" si="59"/>
        <v>-1.9999999999999574E-2</v>
      </c>
      <c r="M618" s="17" t="str">
        <f t="shared" si="60"/>
        <v/>
      </c>
      <c r="O618" s="17" t="str">
        <f t="shared" si="61"/>
        <v>Within Tolerance</v>
      </c>
    </row>
    <row r="619" spans="1:15" x14ac:dyDescent="0.3">
      <c r="A619" s="198">
        <v>46166</v>
      </c>
      <c r="B619" s="97">
        <v>46166.416666666701</v>
      </c>
      <c r="C619" s="230">
        <f t="shared" si="56"/>
        <v>46166.416666666701</v>
      </c>
      <c r="D619" s="34" t="s">
        <v>50</v>
      </c>
      <c r="E619" s="8" t="s">
        <v>10</v>
      </c>
      <c r="F619" s="7" t="s">
        <v>24</v>
      </c>
      <c r="G619" s="25" t="s">
        <v>93</v>
      </c>
      <c r="H619" s="16">
        <v>9.99</v>
      </c>
      <c r="I619" s="16">
        <v>9.92</v>
      </c>
      <c r="J619" s="42" t="str">
        <f t="shared" si="57"/>
        <v/>
      </c>
      <c r="K619" s="42" t="str">
        <f t="shared" si="58"/>
        <v/>
      </c>
      <c r="L619" s="42">
        <f t="shared" si="59"/>
        <v>-7.0000000000000284E-2</v>
      </c>
      <c r="M619" s="17" t="str">
        <f t="shared" si="60"/>
        <v/>
      </c>
      <c r="O619" s="17" t="str">
        <f t="shared" si="61"/>
        <v>Within Tolerance</v>
      </c>
    </row>
  </sheetData>
  <sheetProtection selectLockedCells="1" selectUnlockedCells="1"/>
  <conditionalFormatting sqref="J2:L619">
    <cfRule type="cellIs" dxfId="3" priority="5" stopIfTrue="1" operator="notBetween">
      <formula>-0.2</formula>
      <formula>0.2</formula>
    </cfRule>
  </conditionalFormatting>
  <pageMargins left="0.70866141732283472" right="0.70866141732283472" top="1.1417322834645669" bottom="0.74803149606299213" header="0.51181102362204722" footer="0.51181102362204722"/>
  <pageSetup scale="10" firstPageNumber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E774-9BE2-439C-BBD3-85872194BD2D}">
  <sheetPr>
    <pageSetUpPr fitToPage="1"/>
  </sheetPr>
  <dimension ref="A1:N625"/>
  <sheetViews>
    <sheetView zoomScale="85" zoomScaleNormal="85" zoomScaleSheetLayoutView="90" workbookViewId="0">
      <pane ySplit="1" topLeftCell="A166" activePane="bottomLeft" state="frozen"/>
      <selection pane="bottomLeft" activeCell="C242" sqref="C242"/>
    </sheetView>
  </sheetViews>
  <sheetFormatPr defaultColWidth="8.88671875" defaultRowHeight="14.4" x14ac:dyDescent="0.3"/>
  <cols>
    <col min="1" max="1" width="10.88671875" style="87" bestFit="1" customWidth="1"/>
    <col min="2" max="2" width="10.88671875" style="100" customWidth="1"/>
    <col min="3" max="3" width="40.44140625" style="233" customWidth="1"/>
    <col min="4" max="4" width="20" style="49" customWidth="1"/>
    <col min="5" max="5" width="11.44140625" style="49" customWidth="1"/>
    <col min="6" max="8" width="10.6640625" style="123" customWidth="1"/>
    <col min="9" max="9" width="28.5546875" style="52" customWidth="1"/>
    <col min="10" max="10" width="20.77734375" style="49" customWidth="1"/>
    <col min="11" max="11" width="31.77734375" style="49" customWidth="1"/>
    <col min="12" max="12" width="39.21875" style="49" customWidth="1"/>
    <col min="13" max="13" width="29" style="49" customWidth="1"/>
    <col min="14" max="14" width="27.109375" style="49" customWidth="1"/>
    <col min="15" max="21" width="8.88671875" style="49"/>
    <col min="22" max="22" width="8.88671875" style="49" customWidth="1"/>
    <col min="23" max="16384" width="8.88671875" style="49"/>
  </cols>
  <sheetData>
    <row r="1" spans="1:14" x14ac:dyDescent="0.3">
      <c r="A1" s="128" t="s">
        <v>0</v>
      </c>
      <c r="B1" s="129" t="s">
        <v>1</v>
      </c>
      <c r="C1" s="232" t="s">
        <v>104</v>
      </c>
      <c r="D1" s="130" t="s">
        <v>2</v>
      </c>
      <c r="E1" s="131" t="s">
        <v>95</v>
      </c>
      <c r="F1" s="132" t="s">
        <v>4</v>
      </c>
      <c r="G1" s="132" t="s">
        <v>84</v>
      </c>
      <c r="H1" s="132" t="s">
        <v>6</v>
      </c>
      <c r="I1" s="133" t="s">
        <v>85</v>
      </c>
      <c r="J1" s="134" t="s">
        <v>8</v>
      </c>
      <c r="K1" s="135" t="s">
        <v>86</v>
      </c>
      <c r="L1" s="133" t="s">
        <v>101</v>
      </c>
      <c r="M1" s="134" t="s">
        <v>102</v>
      </c>
      <c r="N1" s="135" t="s">
        <v>103</v>
      </c>
    </row>
    <row r="2" spans="1:14" s="43" customFormat="1" hidden="1" x14ac:dyDescent="0.3">
      <c r="A2" s="168">
        <v>46143</v>
      </c>
      <c r="B2" s="64">
        <v>46143.361111111102</v>
      </c>
      <c r="C2" s="142">
        <f t="shared" ref="C2:C65" si="0">A2+MOD(B2,1)</f>
        <v>46143.361111111102</v>
      </c>
      <c r="D2" s="19" t="s">
        <v>13</v>
      </c>
      <c r="E2" s="7" t="s">
        <v>11</v>
      </c>
      <c r="F2" s="114" t="s">
        <v>93</v>
      </c>
      <c r="G2" s="115">
        <v>0.52</v>
      </c>
      <c r="H2" s="116">
        <v>0.52</v>
      </c>
      <c r="I2" s="46" t="str">
        <f>IF(OR(TRIM(F2&amp;"")="",TRIM(G2&amp;"")="",F2="-",G2="-"),"",G2-F2)</f>
        <v/>
      </c>
      <c r="J2" s="46" t="str">
        <f>IF(OR(TRIM(F2&amp;"")="",TRIM(H2&amp;"")="",F2="-",H2="-"),"",H2-F2)</f>
        <v/>
      </c>
      <c r="K2" s="46">
        <f>IF(OR(TRIM(G2&amp;"")="",TRIM(H2&amp;"")="",G2="-",H2="-"),"",H2-G2)</f>
        <v>0</v>
      </c>
      <c r="L2" s="49" t="str">
        <f>IF(ISNUMBER(I2),IF(ABS(I2)&lt;=0.02,"Within Tolerance","Out of Tolerance"),"")</f>
        <v/>
      </c>
      <c r="M2" s="49" t="str">
        <f>IF(ISNUMBER(J2),IF(ABS(J2)&lt;=0.02,"Within Tolerance","Out of Tolerance"),"")</f>
        <v/>
      </c>
      <c r="N2" s="49" t="str">
        <f>IF(ISNUMBER(K2),IF(ABS(K2)&lt;=0.02,"Within Tolerance","Out of Tolerance"),"")</f>
        <v>Within Tolerance</v>
      </c>
    </row>
    <row r="3" spans="1:14" s="43" customFormat="1" hidden="1" x14ac:dyDescent="0.3">
      <c r="A3" s="169">
        <v>46143</v>
      </c>
      <c r="B3" s="64">
        <v>46143.520833333299</v>
      </c>
      <c r="C3" s="142">
        <f t="shared" si="0"/>
        <v>46143.520833333299</v>
      </c>
      <c r="D3" s="19" t="s">
        <v>13</v>
      </c>
      <c r="E3" s="7" t="s">
        <v>11</v>
      </c>
      <c r="F3" s="116">
        <v>0.52</v>
      </c>
      <c r="G3" s="115">
        <v>0.54</v>
      </c>
      <c r="H3" s="116">
        <v>0.52</v>
      </c>
      <c r="I3" s="46">
        <f t="shared" ref="I3:I66" si="1">IF(OR(TRIM(F3&amp;"")="",TRIM(G3&amp;"")="",F3="-",G3="-"),"",G3-F3)</f>
        <v>2.0000000000000018E-2</v>
      </c>
      <c r="J3" s="46">
        <f t="shared" ref="J3:J66" si="2">IF(OR(TRIM(F3&amp;"")="",TRIM(H3&amp;"")="",F3="-",H3="-"),"",H3-F3)</f>
        <v>0</v>
      </c>
      <c r="K3" s="46">
        <f t="shared" ref="K3:K66" si="3">IF(OR(TRIM(G3&amp;"")="",TRIM(H3&amp;"")="",G3="-",H3="-"),"",H3-G3)</f>
        <v>-2.0000000000000018E-2</v>
      </c>
      <c r="L3" s="49" t="str">
        <f t="shared" ref="L3:L66" si="4">IF(ISNUMBER(I3),IF(ABS(I3)&lt;=0.02,"Within Tolerance","Out of Tolerance"),"")</f>
        <v>Within Tolerance</v>
      </c>
      <c r="M3" s="49" t="str">
        <f t="shared" ref="M3:M66" si="5">IF(ISNUMBER(J3),IF(ABS(J3)&lt;=0.02,"Within Tolerance","Out of Tolerance"),"")</f>
        <v>Within Tolerance</v>
      </c>
      <c r="N3" s="49" t="str">
        <f t="shared" ref="N3:N66" si="6">IF(ISNUMBER(K3),IF(ABS(K3)&lt;=0.02,"Within Tolerance","Out of Tolerance"),"")</f>
        <v>Within Tolerance</v>
      </c>
    </row>
    <row r="4" spans="1:14" s="43" customFormat="1" x14ac:dyDescent="0.3">
      <c r="A4" s="168">
        <v>46143</v>
      </c>
      <c r="B4" s="64">
        <v>46143.604166666701</v>
      </c>
      <c r="C4" s="142">
        <f t="shared" si="0"/>
        <v>46143.604166666701</v>
      </c>
      <c r="D4" s="19" t="s">
        <v>13</v>
      </c>
      <c r="E4" s="7" t="s">
        <v>11</v>
      </c>
      <c r="F4" s="114" t="s">
        <v>93</v>
      </c>
      <c r="G4" s="115">
        <v>0.53</v>
      </c>
      <c r="H4" s="114" t="s">
        <v>93</v>
      </c>
      <c r="I4" s="46" t="str">
        <f t="shared" si="1"/>
        <v/>
      </c>
      <c r="J4" s="46" t="str">
        <f t="shared" si="2"/>
        <v/>
      </c>
      <c r="K4" s="46" t="str">
        <f t="shared" si="3"/>
        <v/>
      </c>
      <c r="L4" s="49" t="str">
        <f t="shared" si="4"/>
        <v/>
      </c>
      <c r="M4" s="49" t="str">
        <f t="shared" si="5"/>
        <v/>
      </c>
      <c r="N4" s="49" t="str">
        <f t="shared" si="6"/>
        <v/>
      </c>
    </row>
    <row r="5" spans="1:14" s="43" customFormat="1" hidden="1" x14ac:dyDescent="0.3">
      <c r="A5" s="169">
        <v>46143</v>
      </c>
      <c r="B5" s="64">
        <v>46143.666666666701</v>
      </c>
      <c r="C5" s="142">
        <f t="shared" si="0"/>
        <v>46143.666666666701</v>
      </c>
      <c r="D5" s="19" t="s">
        <v>13</v>
      </c>
      <c r="E5" s="7" t="s">
        <v>11</v>
      </c>
      <c r="F5" s="116">
        <v>0.49</v>
      </c>
      <c r="G5" s="115">
        <v>0.5</v>
      </c>
      <c r="H5" s="116">
        <v>0.5</v>
      </c>
      <c r="I5" s="46">
        <f t="shared" si="1"/>
        <v>1.0000000000000009E-2</v>
      </c>
      <c r="J5" s="46">
        <f t="shared" si="2"/>
        <v>1.0000000000000009E-2</v>
      </c>
      <c r="K5" s="46">
        <f t="shared" si="3"/>
        <v>0</v>
      </c>
      <c r="L5" s="49" t="str">
        <f t="shared" si="4"/>
        <v>Within Tolerance</v>
      </c>
      <c r="M5" s="49" t="str">
        <f t="shared" si="5"/>
        <v>Within Tolerance</v>
      </c>
      <c r="N5" s="49" t="str">
        <f t="shared" si="6"/>
        <v>Within Tolerance</v>
      </c>
    </row>
    <row r="6" spans="1:14" s="43" customFormat="1" hidden="1" x14ac:dyDescent="0.3">
      <c r="A6" s="168">
        <v>46143</v>
      </c>
      <c r="B6" s="64">
        <v>46143.75</v>
      </c>
      <c r="C6" s="142">
        <f t="shared" si="0"/>
        <v>46143.75</v>
      </c>
      <c r="D6" s="19" t="s">
        <v>13</v>
      </c>
      <c r="E6" s="7" t="s">
        <v>11</v>
      </c>
      <c r="F6" s="114" t="s">
        <v>93</v>
      </c>
      <c r="G6" s="115">
        <v>0.54</v>
      </c>
      <c r="H6" s="116">
        <v>0.52</v>
      </c>
      <c r="I6" s="46" t="str">
        <f t="shared" si="1"/>
        <v/>
      </c>
      <c r="J6" s="46" t="str">
        <f t="shared" si="2"/>
        <v/>
      </c>
      <c r="K6" s="46">
        <f t="shared" si="3"/>
        <v>-2.0000000000000018E-2</v>
      </c>
      <c r="L6" s="49" t="str">
        <f t="shared" si="4"/>
        <v/>
      </c>
      <c r="M6" s="49" t="str">
        <f t="shared" si="5"/>
        <v/>
      </c>
      <c r="N6" s="49" t="str">
        <f t="shared" si="6"/>
        <v>Within Tolerance</v>
      </c>
    </row>
    <row r="7" spans="1:14" s="43" customFormat="1" hidden="1" x14ac:dyDescent="0.3">
      <c r="A7" s="169">
        <v>46143</v>
      </c>
      <c r="B7" s="64">
        <v>46143.833333333299</v>
      </c>
      <c r="C7" s="142">
        <f t="shared" si="0"/>
        <v>46143.833333333299</v>
      </c>
      <c r="D7" s="19" t="s">
        <v>13</v>
      </c>
      <c r="E7" s="7" t="s">
        <v>11</v>
      </c>
      <c r="F7" s="114" t="s">
        <v>93</v>
      </c>
      <c r="G7" s="115">
        <v>0.55000000000000004</v>
      </c>
      <c r="H7" s="116">
        <v>0.53</v>
      </c>
      <c r="I7" s="46" t="str">
        <f t="shared" si="1"/>
        <v/>
      </c>
      <c r="J7" s="46" t="str">
        <f t="shared" si="2"/>
        <v/>
      </c>
      <c r="K7" s="46">
        <f t="shared" si="3"/>
        <v>-2.0000000000000018E-2</v>
      </c>
      <c r="L7" s="49" t="str">
        <f t="shared" si="4"/>
        <v/>
      </c>
      <c r="M7" s="49" t="str">
        <f t="shared" si="5"/>
        <v/>
      </c>
      <c r="N7" s="49" t="str">
        <f t="shared" si="6"/>
        <v>Within Tolerance</v>
      </c>
    </row>
    <row r="8" spans="1:14" s="43" customFormat="1" hidden="1" x14ac:dyDescent="0.3">
      <c r="A8" s="168">
        <v>46144</v>
      </c>
      <c r="B8" s="64">
        <v>46144</v>
      </c>
      <c r="C8" s="142">
        <f t="shared" si="0"/>
        <v>46144</v>
      </c>
      <c r="D8" s="19" t="s">
        <v>13</v>
      </c>
      <c r="E8" s="7" t="s">
        <v>11</v>
      </c>
      <c r="F8" s="116">
        <v>0.52</v>
      </c>
      <c r="G8" s="115">
        <v>0.53</v>
      </c>
      <c r="H8" s="116">
        <v>0.51</v>
      </c>
      <c r="I8" s="46">
        <f t="shared" si="1"/>
        <v>1.0000000000000009E-2</v>
      </c>
      <c r="J8" s="46">
        <f t="shared" si="2"/>
        <v>-1.0000000000000009E-2</v>
      </c>
      <c r="K8" s="46">
        <f t="shared" si="3"/>
        <v>-2.0000000000000018E-2</v>
      </c>
      <c r="L8" s="49" t="str">
        <f t="shared" si="4"/>
        <v>Within Tolerance</v>
      </c>
      <c r="M8" s="49" t="str">
        <f t="shared" si="5"/>
        <v>Within Tolerance</v>
      </c>
      <c r="N8" s="49" t="str">
        <f t="shared" si="6"/>
        <v>Within Tolerance</v>
      </c>
    </row>
    <row r="9" spans="1:14" s="43" customFormat="1" hidden="1" x14ac:dyDescent="0.3">
      <c r="A9" s="169">
        <v>46144</v>
      </c>
      <c r="B9" s="64">
        <v>46144.083333333299</v>
      </c>
      <c r="C9" s="142">
        <f t="shared" si="0"/>
        <v>46144.083333333299</v>
      </c>
      <c r="D9" s="19" t="s">
        <v>13</v>
      </c>
      <c r="E9" s="7" t="s">
        <v>11</v>
      </c>
      <c r="F9" s="114" t="s">
        <v>93</v>
      </c>
      <c r="G9" s="115">
        <v>0.55000000000000004</v>
      </c>
      <c r="H9" s="116">
        <v>0.53</v>
      </c>
      <c r="I9" s="46" t="str">
        <f t="shared" si="1"/>
        <v/>
      </c>
      <c r="J9" s="46" t="str">
        <f t="shared" si="2"/>
        <v/>
      </c>
      <c r="K9" s="46">
        <f t="shared" si="3"/>
        <v>-2.0000000000000018E-2</v>
      </c>
      <c r="L9" s="49" t="str">
        <f t="shared" si="4"/>
        <v/>
      </c>
      <c r="M9" s="49" t="str">
        <f t="shared" si="5"/>
        <v/>
      </c>
      <c r="N9" s="49" t="str">
        <f t="shared" si="6"/>
        <v>Within Tolerance</v>
      </c>
    </row>
    <row r="10" spans="1:14" s="43" customFormat="1" hidden="1" x14ac:dyDescent="0.3">
      <c r="A10" s="168">
        <v>46144</v>
      </c>
      <c r="B10" s="64">
        <v>46144.180555555598</v>
      </c>
      <c r="C10" s="142">
        <f t="shared" si="0"/>
        <v>46144.180555555598</v>
      </c>
      <c r="D10" s="19" t="s">
        <v>18</v>
      </c>
      <c r="E10" s="7" t="s">
        <v>11</v>
      </c>
      <c r="F10" s="114" t="s">
        <v>93</v>
      </c>
      <c r="G10" s="115">
        <v>0.53</v>
      </c>
      <c r="H10" s="116">
        <v>0.53</v>
      </c>
      <c r="I10" s="46" t="str">
        <f t="shared" si="1"/>
        <v/>
      </c>
      <c r="J10" s="46" t="str">
        <f t="shared" si="2"/>
        <v/>
      </c>
      <c r="K10" s="46">
        <f t="shared" si="3"/>
        <v>0</v>
      </c>
      <c r="L10" s="49" t="str">
        <f t="shared" si="4"/>
        <v/>
      </c>
      <c r="M10" s="49" t="str">
        <f t="shared" si="5"/>
        <v/>
      </c>
      <c r="N10" s="49" t="str">
        <f t="shared" si="6"/>
        <v>Within Tolerance</v>
      </c>
    </row>
    <row r="11" spans="1:14" s="43" customFormat="1" hidden="1" x14ac:dyDescent="0.3">
      <c r="A11" s="169">
        <v>46144</v>
      </c>
      <c r="B11" s="64">
        <v>46144.25</v>
      </c>
      <c r="C11" s="142">
        <f t="shared" si="0"/>
        <v>46144.25</v>
      </c>
      <c r="D11" s="19" t="s">
        <v>18</v>
      </c>
      <c r="E11" s="7" t="s">
        <v>11</v>
      </c>
      <c r="F11" s="114" t="s">
        <v>93</v>
      </c>
      <c r="G11" s="115">
        <v>0.5</v>
      </c>
      <c r="H11" s="116">
        <v>0.5</v>
      </c>
      <c r="I11" s="46" t="str">
        <f t="shared" si="1"/>
        <v/>
      </c>
      <c r="J11" s="46" t="str">
        <f t="shared" si="2"/>
        <v/>
      </c>
      <c r="K11" s="46">
        <f t="shared" si="3"/>
        <v>0</v>
      </c>
      <c r="L11" s="49" t="str">
        <f t="shared" si="4"/>
        <v/>
      </c>
      <c r="M11" s="49" t="str">
        <f t="shared" si="5"/>
        <v/>
      </c>
      <c r="N11" s="49" t="str">
        <f t="shared" si="6"/>
        <v>Within Tolerance</v>
      </c>
    </row>
    <row r="12" spans="1:14" s="43" customFormat="1" x14ac:dyDescent="0.3">
      <c r="A12" s="168">
        <v>46143</v>
      </c>
      <c r="B12" s="64">
        <v>46143.75</v>
      </c>
      <c r="C12" s="142">
        <f t="shared" si="0"/>
        <v>46143.75</v>
      </c>
      <c r="D12" s="19" t="s">
        <v>29</v>
      </c>
      <c r="E12" s="7" t="s">
        <v>15</v>
      </c>
      <c r="F12" s="114" t="s">
        <v>93</v>
      </c>
      <c r="G12" s="115">
        <v>0.56000000000000005</v>
      </c>
      <c r="H12" s="114" t="s">
        <v>93</v>
      </c>
      <c r="I12" s="46" t="str">
        <f t="shared" si="1"/>
        <v/>
      </c>
      <c r="J12" s="46" t="str">
        <f t="shared" si="2"/>
        <v/>
      </c>
      <c r="K12" s="46" t="str">
        <f t="shared" si="3"/>
        <v/>
      </c>
      <c r="L12" s="49" t="str">
        <f t="shared" si="4"/>
        <v/>
      </c>
      <c r="M12" s="49" t="str">
        <f t="shared" si="5"/>
        <v/>
      </c>
      <c r="N12" s="49" t="str">
        <f t="shared" si="6"/>
        <v/>
      </c>
    </row>
    <row r="13" spans="1:14" s="43" customFormat="1" x14ac:dyDescent="0.3">
      <c r="A13" s="169">
        <v>46143</v>
      </c>
      <c r="B13" s="64">
        <v>46143.767361111102</v>
      </c>
      <c r="C13" s="142">
        <f t="shared" si="0"/>
        <v>46143.767361111102</v>
      </c>
      <c r="D13" s="19" t="s">
        <v>29</v>
      </c>
      <c r="E13" s="7" t="s">
        <v>15</v>
      </c>
      <c r="F13" s="114" t="s">
        <v>93</v>
      </c>
      <c r="G13" s="115">
        <v>0.56000000000000005</v>
      </c>
      <c r="H13" s="114" t="s">
        <v>93</v>
      </c>
      <c r="I13" s="46" t="str">
        <f t="shared" si="1"/>
        <v/>
      </c>
      <c r="J13" s="46" t="str">
        <f t="shared" si="2"/>
        <v/>
      </c>
      <c r="K13" s="46" t="str">
        <f t="shared" si="3"/>
        <v/>
      </c>
      <c r="L13" s="49" t="str">
        <f t="shared" si="4"/>
        <v/>
      </c>
      <c r="M13" s="49" t="str">
        <f t="shared" si="5"/>
        <v/>
      </c>
      <c r="N13" s="49" t="str">
        <f t="shared" si="6"/>
        <v/>
      </c>
    </row>
    <row r="14" spans="1:14" s="43" customFormat="1" hidden="1" x14ac:dyDescent="0.3">
      <c r="A14" s="168">
        <v>46143</v>
      </c>
      <c r="B14" s="64">
        <v>46143.78125</v>
      </c>
      <c r="C14" s="142">
        <f t="shared" si="0"/>
        <v>46143.78125</v>
      </c>
      <c r="D14" s="19" t="s">
        <v>29</v>
      </c>
      <c r="E14" s="7" t="s">
        <v>15</v>
      </c>
      <c r="F14" s="114" t="s">
        <v>93</v>
      </c>
      <c r="G14" s="115">
        <v>0.53</v>
      </c>
      <c r="H14" s="116">
        <v>0.55000000000000004</v>
      </c>
      <c r="I14" s="46" t="str">
        <f t="shared" si="1"/>
        <v/>
      </c>
      <c r="J14" s="46" t="str">
        <f t="shared" si="2"/>
        <v/>
      </c>
      <c r="K14" s="46">
        <f t="shared" si="3"/>
        <v>2.0000000000000018E-2</v>
      </c>
      <c r="L14" s="49" t="str">
        <f t="shared" si="4"/>
        <v/>
      </c>
      <c r="M14" s="49" t="str">
        <f t="shared" si="5"/>
        <v/>
      </c>
      <c r="N14" s="49" t="str">
        <f t="shared" si="6"/>
        <v>Within Tolerance</v>
      </c>
    </row>
    <row r="15" spans="1:14" s="43" customFormat="1" hidden="1" x14ac:dyDescent="0.3">
      <c r="A15" s="169">
        <v>46143</v>
      </c>
      <c r="B15" s="64">
        <v>46143.833333333299</v>
      </c>
      <c r="C15" s="142">
        <f t="shared" si="0"/>
        <v>46143.833333333299</v>
      </c>
      <c r="D15" s="19" t="s">
        <v>29</v>
      </c>
      <c r="E15" s="7" t="s">
        <v>15</v>
      </c>
      <c r="F15" s="116">
        <v>0.5</v>
      </c>
      <c r="G15" s="115">
        <v>0.54</v>
      </c>
      <c r="H15" s="116">
        <v>0.53</v>
      </c>
      <c r="I15" s="46">
        <f t="shared" si="1"/>
        <v>4.0000000000000036E-2</v>
      </c>
      <c r="J15" s="46">
        <f t="shared" si="2"/>
        <v>3.0000000000000027E-2</v>
      </c>
      <c r="K15" s="46">
        <f t="shared" si="3"/>
        <v>-1.0000000000000009E-2</v>
      </c>
      <c r="L15" s="49" t="str">
        <f t="shared" si="4"/>
        <v>Out of Tolerance</v>
      </c>
      <c r="M15" s="49" t="str">
        <f t="shared" si="5"/>
        <v>Out of Tolerance</v>
      </c>
      <c r="N15" s="49" t="str">
        <f t="shared" si="6"/>
        <v>Within Tolerance</v>
      </c>
    </row>
    <row r="16" spans="1:14" s="43" customFormat="1" hidden="1" x14ac:dyDescent="0.3">
      <c r="A16" s="168">
        <v>46143</v>
      </c>
      <c r="B16" s="64">
        <v>46143.916666666701</v>
      </c>
      <c r="C16" s="142">
        <f t="shared" si="0"/>
        <v>46143.916666666701</v>
      </c>
      <c r="D16" s="19" t="s">
        <v>29</v>
      </c>
      <c r="E16" s="7" t="s">
        <v>15</v>
      </c>
      <c r="F16" s="114" t="s">
        <v>93</v>
      </c>
      <c r="G16" s="115">
        <v>0.52</v>
      </c>
      <c r="H16" s="116">
        <v>0.52</v>
      </c>
      <c r="I16" s="46" t="str">
        <f t="shared" si="1"/>
        <v/>
      </c>
      <c r="J16" s="46" t="str">
        <f t="shared" si="2"/>
        <v/>
      </c>
      <c r="K16" s="46">
        <f t="shared" si="3"/>
        <v>0</v>
      </c>
      <c r="L16" s="49" t="str">
        <f t="shared" si="4"/>
        <v/>
      </c>
      <c r="M16" s="49" t="str">
        <f t="shared" si="5"/>
        <v/>
      </c>
      <c r="N16" s="49" t="str">
        <f t="shared" si="6"/>
        <v>Within Tolerance</v>
      </c>
    </row>
    <row r="17" spans="1:14" s="43" customFormat="1" hidden="1" x14ac:dyDescent="0.3">
      <c r="A17" s="169">
        <v>46144</v>
      </c>
      <c r="B17" s="64">
        <v>46144</v>
      </c>
      <c r="C17" s="142">
        <f t="shared" si="0"/>
        <v>46144</v>
      </c>
      <c r="D17" s="19" t="s">
        <v>29</v>
      </c>
      <c r="E17" s="7" t="s">
        <v>15</v>
      </c>
      <c r="F17" s="116">
        <v>0.53</v>
      </c>
      <c r="G17" s="115">
        <v>0.52</v>
      </c>
      <c r="H17" s="116">
        <v>0.53</v>
      </c>
      <c r="I17" s="46">
        <f t="shared" si="1"/>
        <v>-1.0000000000000009E-2</v>
      </c>
      <c r="J17" s="46">
        <f t="shared" si="2"/>
        <v>0</v>
      </c>
      <c r="K17" s="46">
        <f t="shared" si="3"/>
        <v>1.0000000000000009E-2</v>
      </c>
      <c r="L17" s="49" t="str">
        <f t="shared" si="4"/>
        <v>Within Tolerance</v>
      </c>
      <c r="M17" s="49" t="str">
        <f t="shared" si="5"/>
        <v>Within Tolerance</v>
      </c>
      <c r="N17" s="49" t="str">
        <f t="shared" si="6"/>
        <v>Within Tolerance</v>
      </c>
    </row>
    <row r="18" spans="1:14" s="43" customFormat="1" hidden="1" x14ac:dyDescent="0.3">
      <c r="A18" s="168">
        <v>46144</v>
      </c>
      <c r="B18" s="64">
        <v>46144.083333333299</v>
      </c>
      <c r="C18" s="142">
        <f t="shared" si="0"/>
        <v>46144.083333333299</v>
      </c>
      <c r="D18" s="19" t="s">
        <v>29</v>
      </c>
      <c r="E18" s="7" t="s">
        <v>15</v>
      </c>
      <c r="F18" s="114" t="s">
        <v>93</v>
      </c>
      <c r="G18" s="115">
        <v>0.54</v>
      </c>
      <c r="H18" s="116">
        <v>0.51</v>
      </c>
      <c r="I18" s="46" t="str">
        <f t="shared" si="1"/>
        <v/>
      </c>
      <c r="J18" s="46" t="str">
        <f t="shared" si="2"/>
        <v/>
      </c>
      <c r="K18" s="46">
        <f t="shared" si="3"/>
        <v>-3.0000000000000027E-2</v>
      </c>
      <c r="L18" s="49" t="str">
        <f t="shared" si="4"/>
        <v/>
      </c>
      <c r="M18" s="49" t="str">
        <f t="shared" si="5"/>
        <v/>
      </c>
      <c r="N18" s="49" t="str">
        <f t="shared" si="6"/>
        <v>Out of Tolerance</v>
      </c>
    </row>
    <row r="19" spans="1:14" s="43" customFormat="1" hidden="1" x14ac:dyDescent="0.3">
      <c r="A19" s="169">
        <v>46144</v>
      </c>
      <c r="B19" s="64">
        <v>46144.166666666701</v>
      </c>
      <c r="C19" s="142">
        <f t="shared" si="0"/>
        <v>46144.166666666701</v>
      </c>
      <c r="D19" s="19" t="s">
        <v>29</v>
      </c>
      <c r="E19" s="7" t="s">
        <v>15</v>
      </c>
      <c r="F19" s="114" t="s">
        <v>93</v>
      </c>
      <c r="G19" s="115">
        <v>0.53</v>
      </c>
      <c r="H19" s="116">
        <v>0.53</v>
      </c>
      <c r="I19" s="46" t="str">
        <f t="shared" si="1"/>
        <v/>
      </c>
      <c r="J19" s="46" t="str">
        <f t="shared" si="2"/>
        <v/>
      </c>
      <c r="K19" s="46">
        <f t="shared" si="3"/>
        <v>0</v>
      </c>
      <c r="L19" s="49" t="str">
        <f t="shared" si="4"/>
        <v/>
      </c>
      <c r="M19" s="49" t="str">
        <f t="shared" si="5"/>
        <v/>
      </c>
      <c r="N19" s="49" t="str">
        <f t="shared" si="6"/>
        <v>Within Tolerance</v>
      </c>
    </row>
    <row r="20" spans="1:14" s="43" customFormat="1" hidden="1" x14ac:dyDescent="0.3">
      <c r="A20" s="168">
        <v>46144</v>
      </c>
      <c r="B20" s="64">
        <v>46144.222222222197</v>
      </c>
      <c r="C20" s="142">
        <f t="shared" si="0"/>
        <v>46144.222222222197</v>
      </c>
      <c r="D20" s="7" t="s">
        <v>28</v>
      </c>
      <c r="E20" s="7" t="s">
        <v>15</v>
      </c>
      <c r="F20" s="114" t="s">
        <v>93</v>
      </c>
      <c r="G20" s="115">
        <v>0.56000000000000005</v>
      </c>
      <c r="H20" s="116">
        <v>0.53</v>
      </c>
      <c r="I20" s="46" t="str">
        <f t="shared" si="1"/>
        <v/>
      </c>
      <c r="J20" s="46" t="str">
        <f t="shared" si="2"/>
        <v/>
      </c>
      <c r="K20" s="46">
        <f t="shared" si="3"/>
        <v>-3.0000000000000027E-2</v>
      </c>
      <c r="L20" s="49" t="str">
        <f t="shared" si="4"/>
        <v/>
      </c>
      <c r="M20" s="49" t="str">
        <f t="shared" si="5"/>
        <v/>
      </c>
      <c r="N20" s="49" t="str">
        <f t="shared" si="6"/>
        <v>Out of Tolerance</v>
      </c>
    </row>
    <row r="21" spans="1:14" s="43" customFormat="1" hidden="1" x14ac:dyDescent="0.3">
      <c r="A21" s="169">
        <v>46144</v>
      </c>
      <c r="B21" s="64">
        <v>46144.270833333299</v>
      </c>
      <c r="C21" s="142">
        <f t="shared" si="0"/>
        <v>46144.270833333299</v>
      </c>
      <c r="D21" s="7" t="s">
        <v>28</v>
      </c>
      <c r="E21" s="7" t="s">
        <v>15</v>
      </c>
      <c r="F21" s="114" t="s">
        <v>93</v>
      </c>
      <c r="G21" s="115">
        <v>0.54</v>
      </c>
      <c r="H21" s="116">
        <v>0.53</v>
      </c>
      <c r="I21" s="46" t="str">
        <f t="shared" si="1"/>
        <v/>
      </c>
      <c r="J21" s="46" t="str">
        <f t="shared" si="2"/>
        <v/>
      </c>
      <c r="K21" s="46">
        <f t="shared" si="3"/>
        <v>-1.0000000000000009E-2</v>
      </c>
      <c r="L21" s="49" t="str">
        <f t="shared" si="4"/>
        <v/>
      </c>
      <c r="M21" s="49" t="str">
        <f t="shared" si="5"/>
        <v/>
      </c>
      <c r="N21" s="49" t="str">
        <f t="shared" si="6"/>
        <v>Within Tolerance</v>
      </c>
    </row>
    <row r="22" spans="1:14" s="43" customFormat="1" hidden="1" x14ac:dyDescent="0.3">
      <c r="A22" s="170">
        <v>46143</v>
      </c>
      <c r="B22" s="64">
        <v>46143.399305555598</v>
      </c>
      <c r="C22" s="217">
        <f t="shared" si="0"/>
        <v>46143.399305555598</v>
      </c>
      <c r="D22" s="24" t="s">
        <v>21</v>
      </c>
      <c r="E22" s="7" t="s">
        <v>19</v>
      </c>
      <c r="F22" s="116">
        <v>0.56999999999999995</v>
      </c>
      <c r="G22" s="115">
        <v>0.56000000000000005</v>
      </c>
      <c r="H22" s="116">
        <v>0.56000000000000005</v>
      </c>
      <c r="I22" s="46">
        <f t="shared" si="1"/>
        <v>-9.9999999999998979E-3</v>
      </c>
      <c r="J22" s="46">
        <f t="shared" si="2"/>
        <v>-9.9999999999998979E-3</v>
      </c>
      <c r="K22" s="46">
        <f t="shared" si="3"/>
        <v>0</v>
      </c>
      <c r="L22" s="49" t="str">
        <f t="shared" si="4"/>
        <v>Within Tolerance</v>
      </c>
      <c r="M22" s="49" t="str">
        <f t="shared" si="5"/>
        <v>Within Tolerance</v>
      </c>
      <c r="N22" s="49" t="str">
        <f t="shared" si="6"/>
        <v>Within Tolerance</v>
      </c>
    </row>
    <row r="23" spans="1:14" s="43" customFormat="1" hidden="1" x14ac:dyDescent="0.3">
      <c r="A23" s="169">
        <v>46143</v>
      </c>
      <c r="B23" s="64">
        <v>46143.444444444402</v>
      </c>
      <c r="C23" s="142">
        <f t="shared" si="0"/>
        <v>46143.444444444402</v>
      </c>
      <c r="D23" s="7" t="s">
        <v>26</v>
      </c>
      <c r="E23" s="7" t="s">
        <v>24</v>
      </c>
      <c r="F23" s="116">
        <v>0.67</v>
      </c>
      <c r="G23" s="115">
        <v>0.65</v>
      </c>
      <c r="H23" s="116">
        <v>0.64</v>
      </c>
      <c r="I23" s="46">
        <f t="shared" si="1"/>
        <v>-2.0000000000000018E-2</v>
      </c>
      <c r="J23" s="46">
        <f t="shared" si="2"/>
        <v>-3.0000000000000027E-2</v>
      </c>
      <c r="K23" s="46">
        <f t="shared" si="3"/>
        <v>-1.0000000000000009E-2</v>
      </c>
      <c r="L23" s="49" t="str">
        <f t="shared" si="4"/>
        <v>Within Tolerance</v>
      </c>
      <c r="M23" s="49" t="str">
        <f t="shared" si="5"/>
        <v>Out of Tolerance</v>
      </c>
      <c r="N23" s="49" t="str">
        <f t="shared" si="6"/>
        <v>Within Tolerance</v>
      </c>
    </row>
    <row r="24" spans="1:14" s="43" customFormat="1" hidden="1" x14ac:dyDescent="0.3">
      <c r="A24" s="168">
        <v>46143</v>
      </c>
      <c r="B24" s="64">
        <v>46143.486111111102</v>
      </c>
      <c r="C24" s="142">
        <f t="shared" si="0"/>
        <v>46143.486111111102</v>
      </c>
      <c r="D24" s="7" t="s">
        <v>25</v>
      </c>
      <c r="E24" s="7" t="s">
        <v>24</v>
      </c>
      <c r="F24" s="116">
        <v>0.59</v>
      </c>
      <c r="G24" s="115">
        <v>0.59</v>
      </c>
      <c r="H24" s="116">
        <v>0.59</v>
      </c>
      <c r="I24" s="46">
        <f t="shared" si="1"/>
        <v>0</v>
      </c>
      <c r="J24" s="46">
        <f t="shared" si="2"/>
        <v>0</v>
      </c>
      <c r="K24" s="46">
        <f t="shared" si="3"/>
        <v>0</v>
      </c>
      <c r="L24" s="49" t="str">
        <f t="shared" si="4"/>
        <v>Within Tolerance</v>
      </c>
      <c r="M24" s="49" t="str">
        <f t="shared" si="5"/>
        <v>Within Tolerance</v>
      </c>
      <c r="N24" s="49" t="str">
        <f t="shared" si="6"/>
        <v>Within Tolerance</v>
      </c>
    </row>
    <row r="25" spans="1:14" s="43" customFormat="1" x14ac:dyDescent="0.3">
      <c r="A25" s="171">
        <v>46143</v>
      </c>
      <c r="B25" s="64">
        <v>46143.715277777803</v>
      </c>
      <c r="C25" s="217">
        <f t="shared" si="0"/>
        <v>46143.715277777803</v>
      </c>
      <c r="D25" s="23" t="s">
        <v>33</v>
      </c>
      <c r="E25" s="7" t="s">
        <v>24</v>
      </c>
      <c r="F25" s="114" t="s">
        <v>93</v>
      </c>
      <c r="G25" s="117" t="s">
        <v>93</v>
      </c>
      <c r="H25" s="114" t="s">
        <v>93</v>
      </c>
      <c r="I25" s="46" t="str">
        <f t="shared" si="1"/>
        <v/>
      </c>
      <c r="J25" s="46" t="str">
        <f t="shared" si="2"/>
        <v/>
      </c>
      <c r="K25" s="46" t="str">
        <f t="shared" si="3"/>
        <v/>
      </c>
      <c r="L25" s="49" t="str">
        <f t="shared" si="4"/>
        <v/>
      </c>
      <c r="M25" s="49" t="str">
        <f t="shared" si="5"/>
        <v/>
      </c>
      <c r="N25" s="49" t="str">
        <f t="shared" si="6"/>
        <v/>
      </c>
    </row>
    <row r="26" spans="1:14" s="43" customFormat="1" hidden="1" x14ac:dyDescent="0.3">
      <c r="A26" s="168">
        <v>46143</v>
      </c>
      <c r="B26" s="64">
        <v>46143.833333333299</v>
      </c>
      <c r="C26" s="142">
        <f t="shared" si="0"/>
        <v>46143.833333333299</v>
      </c>
      <c r="D26" s="7" t="s">
        <v>26</v>
      </c>
      <c r="E26" s="7" t="s">
        <v>24</v>
      </c>
      <c r="F26" s="114" t="s">
        <v>93</v>
      </c>
      <c r="G26" s="115">
        <v>0.67</v>
      </c>
      <c r="H26" s="116">
        <v>0.64</v>
      </c>
      <c r="I26" s="46" t="str">
        <f t="shared" si="1"/>
        <v/>
      </c>
      <c r="J26" s="46" t="str">
        <f t="shared" si="2"/>
        <v/>
      </c>
      <c r="K26" s="46">
        <f t="shared" si="3"/>
        <v>-3.0000000000000027E-2</v>
      </c>
      <c r="L26" s="49" t="str">
        <f t="shared" si="4"/>
        <v/>
      </c>
      <c r="M26" s="49" t="str">
        <f t="shared" si="5"/>
        <v/>
      </c>
      <c r="N26" s="49" t="str">
        <f t="shared" si="6"/>
        <v>Out of Tolerance</v>
      </c>
    </row>
    <row r="27" spans="1:14" s="43" customFormat="1" hidden="1" x14ac:dyDescent="0.3">
      <c r="A27" s="169">
        <v>46144</v>
      </c>
      <c r="B27" s="64">
        <v>46144.333333333299</v>
      </c>
      <c r="C27" s="142">
        <f t="shared" si="0"/>
        <v>46144.333333333299</v>
      </c>
      <c r="D27" s="19" t="s">
        <v>18</v>
      </c>
      <c r="E27" s="7" t="s">
        <v>11</v>
      </c>
      <c r="F27" s="116">
        <v>0.47</v>
      </c>
      <c r="G27" s="115">
        <v>0.5</v>
      </c>
      <c r="H27" s="116">
        <v>0.49</v>
      </c>
      <c r="I27" s="46">
        <f t="shared" si="1"/>
        <v>3.0000000000000027E-2</v>
      </c>
      <c r="J27" s="46">
        <f t="shared" si="2"/>
        <v>2.0000000000000018E-2</v>
      </c>
      <c r="K27" s="46">
        <f t="shared" si="3"/>
        <v>-1.0000000000000009E-2</v>
      </c>
      <c r="L27" s="49" t="str">
        <f t="shared" si="4"/>
        <v>Out of Tolerance</v>
      </c>
      <c r="M27" s="49" t="str">
        <f t="shared" si="5"/>
        <v>Within Tolerance</v>
      </c>
      <c r="N27" s="49" t="str">
        <f t="shared" si="6"/>
        <v>Within Tolerance</v>
      </c>
    </row>
    <row r="28" spans="1:14" s="43" customFormat="1" x14ac:dyDescent="0.3">
      <c r="A28" s="168">
        <v>46144</v>
      </c>
      <c r="B28" s="64">
        <v>46144.416666666701</v>
      </c>
      <c r="C28" s="142">
        <f t="shared" si="0"/>
        <v>46144.416666666701</v>
      </c>
      <c r="D28" s="19" t="s">
        <v>18</v>
      </c>
      <c r="E28" s="7" t="s">
        <v>11</v>
      </c>
      <c r="F28" s="114" t="s">
        <v>93</v>
      </c>
      <c r="G28" s="115">
        <v>0.5</v>
      </c>
      <c r="H28" s="114" t="s">
        <v>93</v>
      </c>
      <c r="I28" s="46" t="str">
        <f t="shared" si="1"/>
        <v/>
      </c>
      <c r="J28" s="46" t="str">
        <f t="shared" si="2"/>
        <v/>
      </c>
      <c r="K28" s="46" t="str">
        <f t="shared" si="3"/>
        <v/>
      </c>
      <c r="L28" s="49" t="str">
        <f t="shared" si="4"/>
        <v/>
      </c>
      <c r="M28" s="49" t="str">
        <f t="shared" si="5"/>
        <v/>
      </c>
      <c r="N28" s="49" t="str">
        <f t="shared" si="6"/>
        <v/>
      </c>
    </row>
    <row r="29" spans="1:14" s="43" customFormat="1" hidden="1" x14ac:dyDescent="0.3">
      <c r="A29" s="169">
        <v>46144</v>
      </c>
      <c r="B29" s="64">
        <v>46144.5</v>
      </c>
      <c r="C29" s="142">
        <f t="shared" si="0"/>
        <v>46144.5</v>
      </c>
      <c r="D29" s="19" t="s">
        <v>18</v>
      </c>
      <c r="E29" s="7" t="s">
        <v>11</v>
      </c>
      <c r="F29" s="114" t="s">
        <v>93</v>
      </c>
      <c r="G29" s="115">
        <v>0.51</v>
      </c>
      <c r="H29" s="116">
        <v>0.51</v>
      </c>
      <c r="I29" s="46" t="str">
        <f t="shared" si="1"/>
        <v/>
      </c>
      <c r="J29" s="46" t="str">
        <f t="shared" si="2"/>
        <v/>
      </c>
      <c r="K29" s="46">
        <f t="shared" si="3"/>
        <v>0</v>
      </c>
      <c r="L29" s="49" t="str">
        <f t="shared" si="4"/>
        <v/>
      </c>
      <c r="M29" s="49" t="str">
        <f t="shared" si="5"/>
        <v/>
      </c>
      <c r="N29" s="49" t="str">
        <f t="shared" si="6"/>
        <v>Within Tolerance</v>
      </c>
    </row>
    <row r="30" spans="1:14" s="43" customFormat="1" hidden="1" x14ac:dyDescent="0.3">
      <c r="A30" s="168">
        <v>46144</v>
      </c>
      <c r="B30" s="64">
        <v>46144.583333333299</v>
      </c>
      <c r="C30" s="142">
        <f t="shared" si="0"/>
        <v>46144.583333333299</v>
      </c>
      <c r="D30" s="19" t="s">
        <v>18</v>
      </c>
      <c r="E30" s="7" t="s">
        <v>11</v>
      </c>
      <c r="F30" s="114" t="s">
        <v>93</v>
      </c>
      <c r="G30" s="115">
        <v>0.52</v>
      </c>
      <c r="H30" s="116">
        <v>0.52</v>
      </c>
      <c r="I30" s="46" t="str">
        <f t="shared" si="1"/>
        <v/>
      </c>
      <c r="J30" s="46" t="str">
        <f t="shared" si="2"/>
        <v/>
      </c>
      <c r="K30" s="46">
        <f t="shared" si="3"/>
        <v>0</v>
      </c>
      <c r="L30" s="49" t="str">
        <f t="shared" si="4"/>
        <v/>
      </c>
      <c r="M30" s="49" t="str">
        <f t="shared" si="5"/>
        <v/>
      </c>
      <c r="N30" s="49" t="str">
        <f t="shared" si="6"/>
        <v>Within Tolerance</v>
      </c>
    </row>
    <row r="31" spans="1:14" s="43" customFormat="1" hidden="1" x14ac:dyDescent="0.3">
      <c r="A31" s="169">
        <v>46144</v>
      </c>
      <c r="B31" s="64">
        <v>46144.673611111102</v>
      </c>
      <c r="C31" s="142">
        <f t="shared" si="0"/>
        <v>46144.673611111102</v>
      </c>
      <c r="D31" s="19" t="s">
        <v>18</v>
      </c>
      <c r="E31" s="7" t="s">
        <v>11</v>
      </c>
      <c r="F31" s="116">
        <v>0.5</v>
      </c>
      <c r="G31" s="115">
        <v>0.53</v>
      </c>
      <c r="H31" s="116">
        <v>0.51</v>
      </c>
      <c r="I31" s="46">
        <f t="shared" si="1"/>
        <v>3.0000000000000027E-2</v>
      </c>
      <c r="J31" s="46">
        <f t="shared" si="2"/>
        <v>1.0000000000000009E-2</v>
      </c>
      <c r="K31" s="46">
        <f t="shared" si="3"/>
        <v>-2.0000000000000018E-2</v>
      </c>
      <c r="L31" s="49" t="str">
        <f t="shared" si="4"/>
        <v>Out of Tolerance</v>
      </c>
      <c r="M31" s="49" t="str">
        <f t="shared" si="5"/>
        <v>Within Tolerance</v>
      </c>
      <c r="N31" s="49" t="str">
        <f t="shared" si="6"/>
        <v>Within Tolerance</v>
      </c>
    </row>
    <row r="32" spans="1:14" hidden="1" x14ac:dyDescent="0.3">
      <c r="A32" s="168">
        <v>46144</v>
      </c>
      <c r="B32" s="64">
        <v>46144.75</v>
      </c>
      <c r="C32" s="142">
        <f t="shared" si="0"/>
        <v>46144.75</v>
      </c>
      <c r="D32" s="19" t="s">
        <v>18</v>
      </c>
      <c r="E32" s="7" t="s">
        <v>11</v>
      </c>
      <c r="F32" s="114" t="s">
        <v>93</v>
      </c>
      <c r="G32" s="115">
        <v>0.5</v>
      </c>
      <c r="H32" s="116">
        <v>0.5</v>
      </c>
      <c r="I32" s="46" t="str">
        <f t="shared" si="1"/>
        <v/>
      </c>
      <c r="J32" s="46" t="str">
        <f t="shared" si="2"/>
        <v/>
      </c>
      <c r="K32" s="46">
        <f t="shared" si="3"/>
        <v>0</v>
      </c>
      <c r="L32" s="49" t="str">
        <f t="shared" si="4"/>
        <v/>
      </c>
      <c r="M32" s="49" t="str">
        <f t="shared" si="5"/>
        <v/>
      </c>
      <c r="N32" s="49" t="str">
        <f t="shared" si="6"/>
        <v>Within Tolerance</v>
      </c>
    </row>
    <row r="33" spans="1:14" hidden="1" x14ac:dyDescent="0.3">
      <c r="A33" s="169">
        <v>46144</v>
      </c>
      <c r="B33" s="64">
        <v>46144.833333333299</v>
      </c>
      <c r="C33" s="142">
        <f t="shared" si="0"/>
        <v>46144.833333333299</v>
      </c>
      <c r="D33" s="19" t="s">
        <v>18</v>
      </c>
      <c r="E33" s="7" t="s">
        <v>11</v>
      </c>
      <c r="F33" s="114" t="s">
        <v>93</v>
      </c>
      <c r="G33" s="115">
        <v>0.53</v>
      </c>
      <c r="H33" s="116">
        <v>0.53</v>
      </c>
      <c r="I33" s="46" t="str">
        <f t="shared" si="1"/>
        <v/>
      </c>
      <c r="J33" s="46" t="str">
        <f t="shared" si="2"/>
        <v/>
      </c>
      <c r="K33" s="46">
        <f t="shared" si="3"/>
        <v>0</v>
      </c>
      <c r="L33" s="49" t="str">
        <f t="shared" si="4"/>
        <v/>
      </c>
      <c r="M33" s="49" t="str">
        <f t="shared" si="5"/>
        <v/>
      </c>
      <c r="N33" s="49" t="str">
        <f t="shared" si="6"/>
        <v>Within Tolerance</v>
      </c>
    </row>
    <row r="34" spans="1:14" x14ac:dyDescent="0.3">
      <c r="A34" s="168">
        <v>46144</v>
      </c>
      <c r="B34" s="64">
        <v>46144.909722222197</v>
      </c>
      <c r="C34" s="142">
        <f t="shared" si="0"/>
        <v>46144.909722222197</v>
      </c>
      <c r="D34" s="19" t="s">
        <v>41</v>
      </c>
      <c r="E34" s="7" t="s">
        <v>11</v>
      </c>
      <c r="F34" s="114" t="s">
        <v>93</v>
      </c>
      <c r="G34" s="115">
        <v>0.56000000000000005</v>
      </c>
      <c r="H34" s="114" t="s">
        <v>93</v>
      </c>
      <c r="I34" s="46" t="str">
        <f t="shared" si="1"/>
        <v/>
      </c>
      <c r="J34" s="46" t="str">
        <f t="shared" si="2"/>
        <v/>
      </c>
      <c r="K34" s="46" t="str">
        <f t="shared" si="3"/>
        <v/>
      </c>
      <c r="L34" s="49" t="str">
        <f t="shared" si="4"/>
        <v/>
      </c>
      <c r="M34" s="49" t="str">
        <f t="shared" si="5"/>
        <v/>
      </c>
      <c r="N34" s="49" t="str">
        <f t="shared" si="6"/>
        <v/>
      </c>
    </row>
    <row r="35" spans="1:14" hidden="1" x14ac:dyDescent="0.3">
      <c r="A35" s="169">
        <v>46145</v>
      </c>
      <c r="B35" s="64">
        <v>46145</v>
      </c>
      <c r="C35" s="142">
        <f t="shared" si="0"/>
        <v>46145</v>
      </c>
      <c r="D35" s="19" t="s">
        <v>41</v>
      </c>
      <c r="E35" s="7" t="s">
        <v>11</v>
      </c>
      <c r="F35" s="116">
        <v>0.49</v>
      </c>
      <c r="G35" s="115">
        <v>0.5</v>
      </c>
      <c r="H35" s="116">
        <v>0.53</v>
      </c>
      <c r="I35" s="46">
        <f t="shared" si="1"/>
        <v>1.0000000000000009E-2</v>
      </c>
      <c r="J35" s="46">
        <f t="shared" si="2"/>
        <v>4.0000000000000036E-2</v>
      </c>
      <c r="K35" s="46">
        <f t="shared" si="3"/>
        <v>3.0000000000000027E-2</v>
      </c>
      <c r="L35" s="49" t="str">
        <f t="shared" si="4"/>
        <v>Within Tolerance</v>
      </c>
      <c r="M35" s="49" t="str">
        <f t="shared" si="5"/>
        <v>Out of Tolerance</v>
      </c>
      <c r="N35" s="49" t="str">
        <f t="shared" si="6"/>
        <v>Out of Tolerance</v>
      </c>
    </row>
    <row r="36" spans="1:14" x14ac:dyDescent="0.3">
      <c r="A36" s="168">
        <v>46145</v>
      </c>
      <c r="B36" s="64">
        <v>46145.083333333299</v>
      </c>
      <c r="C36" s="142">
        <f t="shared" si="0"/>
        <v>46145.083333333299</v>
      </c>
      <c r="D36" s="19" t="s">
        <v>41</v>
      </c>
      <c r="E36" s="7" t="s">
        <v>11</v>
      </c>
      <c r="F36" s="114" t="s">
        <v>93</v>
      </c>
      <c r="G36" s="115">
        <v>0.52</v>
      </c>
      <c r="H36" s="114" t="s">
        <v>93</v>
      </c>
      <c r="I36" s="46" t="str">
        <f t="shared" si="1"/>
        <v/>
      </c>
      <c r="J36" s="46" t="str">
        <f t="shared" si="2"/>
        <v/>
      </c>
      <c r="K36" s="46" t="str">
        <f t="shared" si="3"/>
        <v/>
      </c>
      <c r="L36" s="49" t="str">
        <f t="shared" si="4"/>
        <v/>
      </c>
      <c r="M36" s="49" t="str">
        <f t="shared" si="5"/>
        <v/>
      </c>
      <c r="N36" s="49" t="str">
        <f t="shared" si="6"/>
        <v/>
      </c>
    </row>
    <row r="37" spans="1:14" hidden="1" x14ac:dyDescent="0.3">
      <c r="A37" s="169">
        <v>46145</v>
      </c>
      <c r="B37" s="64">
        <v>46145.166666666701</v>
      </c>
      <c r="C37" s="142">
        <f t="shared" si="0"/>
        <v>46145.166666666701</v>
      </c>
      <c r="D37" s="19" t="s">
        <v>41</v>
      </c>
      <c r="E37" s="7" t="s">
        <v>11</v>
      </c>
      <c r="F37" s="114" t="s">
        <v>93</v>
      </c>
      <c r="G37" s="115">
        <v>0.52</v>
      </c>
      <c r="H37" s="116">
        <v>0.54</v>
      </c>
      <c r="I37" s="46" t="str">
        <f t="shared" si="1"/>
        <v/>
      </c>
      <c r="J37" s="46" t="str">
        <f t="shared" si="2"/>
        <v/>
      </c>
      <c r="K37" s="46">
        <f t="shared" si="3"/>
        <v>2.0000000000000018E-2</v>
      </c>
      <c r="L37" s="49" t="str">
        <f t="shared" si="4"/>
        <v/>
      </c>
      <c r="M37" s="49" t="str">
        <f t="shared" si="5"/>
        <v/>
      </c>
      <c r="N37" s="49" t="str">
        <f t="shared" si="6"/>
        <v>Within Tolerance</v>
      </c>
    </row>
    <row r="38" spans="1:14" hidden="1" x14ac:dyDescent="0.3">
      <c r="A38" s="168">
        <v>46145</v>
      </c>
      <c r="B38" s="64">
        <v>46145.25</v>
      </c>
      <c r="C38" s="142">
        <f t="shared" si="0"/>
        <v>46145.25</v>
      </c>
      <c r="D38" s="19" t="s">
        <v>41</v>
      </c>
      <c r="E38" s="7" t="s">
        <v>11</v>
      </c>
      <c r="F38" s="114" t="s">
        <v>93</v>
      </c>
      <c r="G38" s="115">
        <v>0.53</v>
      </c>
      <c r="H38" s="116">
        <v>0.55000000000000004</v>
      </c>
      <c r="I38" s="46" t="str">
        <f t="shared" si="1"/>
        <v/>
      </c>
      <c r="J38" s="46" t="str">
        <f t="shared" si="2"/>
        <v/>
      </c>
      <c r="K38" s="46">
        <f t="shared" si="3"/>
        <v>2.0000000000000018E-2</v>
      </c>
      <c r="L38" s="49" t="str">
        <f t="shared" si="4"/>
        <v/>
      </c>
      <c r="M38" s="49" t="str">
        <f t="shared" si="5"/>
        <v/>
      </c>
      <c r="N38" s="49" t="str">
        <f t="shared" si="6"/>
        <v>Within Tolerance</v>
      </c>
    </row>
    <row r="39" spans="1:14" hidden="1" x14ac:dyDescent="0.3">
      <c r="A39" s="169">
        <v>46144</v>
      </c>
      <c r="B39" s="64">
        <v>46144.333333333299</v>
      </c>
      <c r="C39" s="142">
        <f t="shared" si="0"/>
        <v>46144.333333333299</v>
      </c>
      <c r="D39" s="7" t="s">
        <v>28</v>
      </c>
      <c r="E39" s="7" t="s">
        <v>15</v>
      </c>
      <c r="F39" s="116">
        <v>0.51</v>
      </c>
      <c r="G39" s="115">
        <v>0.55000000000000004</v>
      </c>
      <c r="H39" s="116">
        <v>0.55000000000000004</v>
      </c>
      <c r="I39" s="46">
        <f t="shared" si="1"/>
        <v>4.0000000000000036E-2</v>
      </c>
      <c r="J39" s="46">
        <f t="shared" si="2"/>
        <v>4.0000000000000036E-2</v>
      </c>
      <c r="K39" s="46">
        <f t="shared" si="3"/>
        <v>0</v>
      </c>
      <c r="L39" s="49" t="str">
        <f t="shared" si="4"/>
        <v>Out of Tolerance</v>
      </c>
      <c r="M39" s="49" t="str">
        <f t="shared" si="5"/>
        <v>Out of Tolerance</v>
      </c>
      <c r="N39" s="49" t="str">
        <f t="shared" si="6"/>
        <v>Within Tolerance</v>
      </c>
    </row>
    <row r="40" spans="1:14" hidden="1" x14ac:dyDescent="0.3">
      <c r="A40" s="168">
        <v>46144</v>
      </c>
      <c r="B40" s="64">
        <v>46144.388888888898</v>
      </c>
      <c r="C40" s="142">
        <f t="shared" si="0"/>
        <v>46144.388888888898</v>
      </c>
      <c r="D40" s="19" t="s">
        <v>41</v>
      </c>
      <c r="E40" s="7" t="s">
        <v>15</v>
      </c>
      <c r="F40" s="114" t="s">
        <v>93</v>
      </c>
      <c r="G40" s="115">
        <v>0.51</v>
      </c>
      <c r="H40" s="116">
        <v>0.53</v>
      </c>
      <c r="I40" s="46" t="str">
        <f t="shared" si="1"/>
        <v/>
      </c>
      <c r="J40" s="46" t="str">
        <f t="shared" si="2"/>
        <v/>
      </c>
      <c r="K40" s="46">
        <f t="shared" si="3"/>
        <v>2.0000000000000018E-2</v>
      </c>
      <c r="L40" s="49" t="str">
        <f t="shared" si="4"/>
        <v/>
      </c>
      <c r="M40" s="49" t="str">
        <f t="shared" si="5"/>
        <v/>
      </c>
      <c r="N40" s="49" t="str">
        <f t="shared" si="6"/>
        <v>Within Tolerance</v>
      </c>
    </row>
    <row r="41" spans="1:14" hidden="1" x14ac:dyDescent="0.3">
      <c r="A41" s="169">
        <v>46144</v>
      </c>
      <c r="B41" s="64">
        <v>46144.479166666701</v>
      </c>
      <c r="C41" s="142">
        <f t="shared" si="0"/>
        <v>46144.479166666701</v>
      </c>
      <c r="D41" s="19" t="s">
        <v>41</v>
      </c>
      <c r="E41" s="7" t="s">
        <v>15</v>
      </c>
      <c r="F41" s="114" t="s">
        <v>93</v>
      </c>
      <c r="G41" s="115">
        <v>0.52</v>
      </c>
      <c r="H41" s="116">
        <v>0.53</v>
      </c>
      <c r="I41" s="46" t="str">
        <f t="shared" si="1"/>
        <v/>
      </c>
      <c r="J41" s="46" t="str">
        <f t="shared" si="2"/>
        <v/>
      </c>
      <c r="K41" s="46">
        <f t="shared" si="3"/>
        <v>1.0000000000000009E-2</v>
      </c>
      <c r="L41" s="49" t="str">
        <f t="shared" si="4"/>
        <v/>
      </c>
      <c r="M41" s="49" t="str">
        <f t="shared" si="5"/>
        <v/>
      </c>
      <c r="N41" s="49" t="str">
        <f t="shared" si="6"/>
        <v>Within Tolerance</v>
      </c>
    </row>
    <row r="42" spans="1:14" hidden="1" x14ac:dyDescent="0.3">
      <c r="A42" s="168">
        <v>46144</v>
      </c>
      <c r="B42" s="64">
        <v>46144.5625</v>
      </c>
      <c r="C42" s="142">
        <f t="shared" si="0"/>
        <v>46144.5625</v>
      </c>
      <c r="D42" s="19" t="s">
        <v>41</v>
      </c>
      <c r="E42" s="7" t="s">
        <v>15</v>
      </c>
      <c r="F42" s="114" t="s">
        <v>93</v>
      </c>
      <c r="G42" s="115">
        <v>0.54</v>
      </c>
      <c r="H42" s="116">
        <v>0.54</v>
      </c>
      <c r="I42" s="46" t="str">
        <f t="shared" si="1"/>
        <v/>
      </c>
      <c r="J42" s="46" t="str">
        <f t="shared" si="2"/>
        <v/>
      </c>
      <c r="K42" s="46">
        <f t="shared" si="3"/>
        <v>0</v>
      </c>
      <c r="L42" s="49" t="str">
        <f t="shared" si="4"/>
        <v/>
      </c>
      <c r="M42" s="49" t="str">
        <f t="shared" si="5"/>
        <v/>
      </c>
      <c r="N42" s="49" t="str">
        <f t="shared" si="6"/>
        <v>Within Tolerance</v>
      </c>
    </row>
    <row r="43" spans="1:14" hidden="1" x14ac:dyDescent="0.3">
      <c r="A43" s="169">
        <v>46144</v>
      </c>
      <c r="B43" s="64">
        <v>46144.666666666701</v>
      </c>
      <c r="C43" s="142">
        <f t="shared" si="0"/>
        <v>46144.666666666701</v>
      </c>
      <c r="D43" s="19" t="s">
        <v>41</v>
      </c>
      <c r="E43" s="7" t="s">
        <v>15</v>
      </c>
      <c r="F43" s="116">
        <v>0.53</v>
      </c>
      <c r="G43" s="115">
        <v>0.51</v>
      </c>
      <c r="H43" s="116">
        <v>0.53</v>
      </c>
      <c r="I43" s="46">
        <f t="shared" si="1"/>
        <v>-2.0000000000000018E-2</v>
      </c>
      <c r="J43" s="46">
        <f t="shared" si="2"/>
        <v>0</v>
      </c>
      <c r="K43" s="46">
        <f t="shared" si="3"/>
        <v>2.0000000000000018E-2</v>
      </c>
      <c r="L43" s="49" t="str">
        <f t="shared" si="4"/>
        <v>Within Tolerance</v>
      </c>
      <c r="M43" s="49" t="str">
        <f t="shared" si="5"/>
        <v>Within Tolerance</v>
      </c>
      <c r="N43" s="49" t="str">
        <f t="shared" si="6"/>
        <v>Within Tolerance</v>
      </c>
    </row>
    <row r="44" spans="1:14" hidden="1" x14ac:dyDescent="0.3">
      <c r="A44" s="168">
        <v>46144</v>
      </c>
      <c r="B44" s="64">
        <v>46144.75</v>
      </c>
      <c r="C44" s="142">
        <f t="shared" si="0"/>
        <v>46144.75</v>
      </c>
      <c r="D44" s="19" t="s">
        <v>41</v>
      </c>
      <c r="E44" s="7" t="s">
        <v>15</v>
      </c>
      <c r="F44" s="114" t="s">
        <v>93</v>
      </c>
      <c r="G44" s="115">
        <v>0.52</v>
      </c>
      <c r="H44" s="116">
        <v>0.53</v>
      </c>
      <c r="I44" s="46" t="str">
        <f t="shared" si="1"/>
        <v/>
      </c>
      <c r="J44" s="46" t="str">
        <f t="shared" si="2"/>
        <v/>
      </c>
      <c r="K44" s="46">
        <f t="shared" si="3"/>
        <v>1.0000000000000009E-2</v>
      </c>
      <c r="L44" s="49" t="str">
        <f t="shared" si="4"/>
        <v/>
      </c>
      <c r="M44" s="49" t="str">
        <f t="shared" si="5"/>
        <v/>
      </c>
      <c r="N44" s="49" t="str">
        <f t="shared" si="6"/>
        <v>Within Tolerance</v>
      </c>
    </row>
    <row r="45" spans="1:14" hidden="1" x14ac:dyDescent="0.3">
      <c r="A45" s="169">
        <v>46144</v>
      </c>
      <c r="B45" s="64">
        <v>46144.829861111102</v>
      </c>
      <c r="C45" s="142">
        <f t="shared" si="0"/>
        <v>46144.829861111102</v>
      </c>
      <c r="D45" s="19" t="s">
        <v>29</v>
      </c>
      <c r="E45" s="7" t="s">
        <v>15</v>
      </c>
      <c r="F45" s="114" t="s">
        <v>93</v>
      </c>
      <c r="G45" s="115">
        <v>0.5</v>
      </c>
      <c r="H45" s="116">
        <v>0.49</v>
      </c>
      <c r="I45" s="46" t="str">
        <f t="shared" si="1"/>
        <v/>
      </c>
      <c r="J45" s="46" t="str">
        <f t="shared" si="2"/>
        <v/>
      </c>
      <c r="K45" s="46">
        <f t="shared" si="3"/>
        <v>-1.0000000000000009E-2</v>
      </c>
      <c r="L45" s="49" t="str">
        <f t="shared" si="4"/>
        <v/>
      </c>
      <c r="M45" s="49" t="str">
        <f t="shared" si="5"/>
        <v/>
      </c>
      <c r="N45" s="49" t="str">
        <f t="shared" si="6"/>
        <v>Within Tolerance</v>
      </c>
    </row>
    <row r="46" spans="1:14" hidden="1" x14ac:dyDescent="0.3">
      <c r="A46" s="168">
        <v>46144</v>
      </c>
      <c r="B46" s="64">
        <v>46144.916666666701</v>
      </c>
      <c r="C46" s="142">
        <f t="shared" si="0"/>
        <v>46144.916666666701</v>
      </c>
      <c r="D46" s="19" t="s">
        <v>29</v>
      </c>
      <c r="E46" s="7" t="s">
        <v>15</v>
      </c>
      <c r="F46" s="114" t="s">
        <v>93</v>
      </c>
      <c r="G46" s="115">
        <v>0.5</v>
      </c>
      <c r="H46" s="116">
        <v>0.51</v>
      </c>
      <c r="I46" s="46" t="str">
        <f t="shared" si="1"/>
        <v/>
      </c>
      <c r="J46" s="46" t="str">
        <f t="shared" si="2"/>
        <v/>
      </c>
      <c r="K46" s="46">
        <f t="shared" si="3"/>
        <v>1.0000000000000009E-2</v>
      </c>
      <c r="L46" s="49" t="str">
        <f t="shared" si="4"/>
        <v/>
      </c>
      <c r="M46" s="49" t="str">
        <f t="shared" si="5"/>
        <v/>
      </c>
      <c r="N46" s="49" t="str">
        <f t="shared" si="6"/>
        <v>Within Tolerance</v>
      </c>
    </row>
    <row r="47" spans="1:14" hidden="1" x14ac:dyDescent="0.3">
      <c r="A47" s="169">
        <v>46145</v>
      </c>
      <c r="B47" s="64">
        <v>46145</v>
      </c>
      <c r="C47" s="142">
        <f t="shared" si="0"/>
        <v>46145</v>
      </c>
      <c r="D47" s="19" t="s">
        <v>29</v>
      </c>
      <c r="E47" s="7" t="s">
        <v>15</v>
      </c>
      <c r="F47" s="116">
        <v>0.54</v>
      </c>
      <c r="G47" s="115">
        <v>0.52</v>
      </c>
      <c r="H47" s="116">
        <v>0.52</v>
      </c>
      <c r="I47" s="46">
        <f t="shared" si="1"/>
        <v>-2.0000000000000018E-2</v>
      </c>
      <c r="J47" s="46">
        <f t="shared" si="2"/>
        <v>-2.0000000000000018E-2</v>
      </c>
      <c r="K47" s="46">
        <f t="shared" si="3"/>
        <v>0</v>
      </c>
      <c r="L47" s="49" t="str">
        <f t="shared" si="4"/>
        <v>Within Tolerance</v>
      </c>
      <c r="M47" s="49" t="str">
        <f t="shared" si="5"/>
        <v>Within Tolerance</v>
      </c>
      <c r="N47" s="49" t="str">
        <f t="shared" si="6"/>
        <v>Within Tolerance</v>
      </c>
    </row>
    <row r="48" spans="1:14" s="43" customFormat="1" hidden="1" x14ac:dyDescent="0.3">
      <c r="A48" s="168">
        <v>46145</v>
      </c>
      <c r="B48" s="64">
        <v>46145.083333333299</v>
      </c>
      <c r="C48" s="142">
        <f t="shared" si="0"/>
        <v>46145.083333333299</v>
      </c>
      <c r="D48" s="19" t="s">
        <v>29</v>
      </c>
      <c r="E48" s="7" t="s">
        <v>15</v>
      </c>
      <c r="F48" s="116">
        <v>0.55000000000000004</v>
      </c>
      <c r="G48" s="115">
        <v>0.54</v>
      </c>
      <c r="H48" s="116">
        <v>0.54</v>
      </c>
      <c r="I48" s="46">
        <f t="shared" si="1"/>
        <v>-1.0000000000000009E-2</v>
      </c>
      <c r="J48" s="46">
        <f t="shared" si="2"/>
        <v>-1.0000000000000009E-2</v>
      </c>
      <c r="K48" s="46">
        <f t="shared" si="3"/>
        <v>0</v>
      </c>
      <c r="L48" s="49" t="str">
        <f t="shared" si="4"/>
        <v>Within Tolerance</v>
      </c>
      <c r="M48" s="49" t="str">
        <f t="shared" si="5"/>
        <v>Within Tolerance</v>
      </c>
      <c r="N48" s="49" t="str">
        <f t="shared" si="6"/>
        <v>Within Tolerance</v>
      </c>
    </row>
    <row r="49" spans="1:14" s="43" customFormat="1" hidden="1" x14ac:dyDescent="0.3">
      <c r="A49" s="169">
        <v>46145</v>
      </c>
      <c r="B49" s="64">
        <v>46145.166666666701</v>
      </c>
      <c r="C49" s="142">
        <f t="shared" si="0"/>
        <v>46145.166666666701</v>
      </c>
      <c r="D49" s="19" t="s">
        <v>29</v>
      </c>
      <c r="E49" s="7" t="s">
        <v>15</v>
      </c>
      <c r="F49" s="114" t="s">
        <v>93</v>
      </c>
      <c r="G49" s="115">
        <v>0.53</v>
      </c>
      <c r="H49" s="116">
        <v>0.54</v>
      </c>
      <c r="I49" s="46" t="str">
        <f t="shared" si="1"/>
        <v/>
      </c>
      <c r="J49" s="46" t="str">
        <f t="shared" si="2"/>
        <v/>
      </c>
      <c r="K49" s="46">
        <f t="shared" si="3"/>
        <v>1.0000000000000009E-2</v>
      </c>
      <c r="L49" s="49" t="str">
        <f t="shared" si="4"/>
        <v/>
      </c>
      <c r="M49" s="49" t="str">
        <f t="shared" si="5"/>
        <v/>
      </c>
      <c r="N49" s="49" t="str">
        <f t="shared" si="6"/>
        <v>Within Tolerance</v>
      </c>
    </row>
    <row r="50" spans="1:14" s="43" customFormat="1" hidden="1" x14ac:dyDescent="0.3">
      <c r="A50" s="168">
        <v>46145</v>
      </c>
      <c r="B50" s="64">
        <v>46145.25</v>
      </c>
      <c r="C50" s="142">
        <f t="shared" si="0"/>
        <v>46145.25</v>
      </c>
      <c r="D50" s="19" t="s">
        <v>29</v>
      </c>
      <c r="E50" s="7" t="s">
        <v>15</v>
      </c>
      <c r="F50" s="116">
        <v>0.54</v>
      </c>
      <c r="G50" s="115">
        <v>0.55000000000000004</v>
      </c>
      <c r="H50" s="116">
        <v>0.54</v>
      </c>
      <c r="I50" s="46">
        <f t="shared" si="1"/>
        <v>1.0000000000000009E-2</v>
      </c>
      <c r="J50" s="46">
        <f t="shared" si="2"/>
        <v>0</v>
      </c>
      <c r="K50" s="46">
        <f t="shared" si="3"/>
        <v>-1.0000000000000009E-2</v>
      </c>
      <c r="L50" s="49" t="str">
        <f t="shared" si="4"/>
        <v>Within Tolerance</v>
      </c>
      <c r="M50" s="49" t="str">
        <f t="shared" si="5"/>
        <v>Within Tolerance</v>
      </c>
      <c r="N50" s="49" t="str">
        <f t="shared" si="6"/>
        <v>Within Tolerance</v>
      </c>
    </row>
    <row r="51" spans="1:14" s="43" customFormat="1" hidden="1" x14ac:dyDescent="0.3">
      <c r="A51" s="169">
        <v>46144</v>
      </c>
      <c r="B51" s="64">
        <v>46144.423611111102</v>
      </c>
      <c r="C51" s="142">
        <f t="shared" si="0"/>
        <v>46144.423611111102</v>
      </c>
      <c r="D51" s="19" t="s">
        <v>20</v>
      </c>
      <c r="E51" s="7" t="s">
        <v>19</v>
      </c>
      <c r="F51" s="116">
        <v>0.53</v>
      </c>
      <c r="G51" s="115">
        <v>0.55000000000000004</v>
      </c>
      <c r="H51" s="116">
        <v>0.55000000000000004</v>
      </c>
      <c r="I51" s="46">
        <f t="shared" si="1"/>
        <v>2.0000000000000018E-2</v>
      </c>
      <c r="J51" s="46">
        <f t="shared" si="2"/>
        <v>2.0000000000000018E-2</v>
      </c>
      <c r="K51" s="46">
        <f t="shared" si="3"/>
        <v>0</v>
      </c>
      <c r="L51" s="49" t="str">
        <f t="shared" si="4"/>
        <v>Within Tolerance</v>
      </c>
      <c r="M51" s="49" t="str">
        <f t="shared" si="5"/>
        <v>Within Tolerance</v>
      </c>
      <c r="N51" s="49" t="str">
        <f t="shared" si="6"/>
        <v>Within Tolerance</v>
      </c>
    </row>
    <row r="52" spans="1:14" s="43" customFormat="1" hidden="1" x14ac:dyDescent="0.3">
      <c r="A52" s="168">
        <v>46144</v>
      </c>
      <c r="B52" s="64">
        <v>46144.458333333299</v>
      </c>
      <c r="C52" s="142">
        <f t="shared" si="0"/>
        <v>46144.458333333299</v>
      </c>
      <c r="D52" s="19" t="s">
        <v>21</v>
      </c>
      <c r="E52" s="7" t="s">
        <v>19</v>
      </c>
      <c r="F52" s="116">
        <v>0.53</v>
      </c>
      <c r="G52" s="115">
        <v>0.55000000000000004</v>
      </c>
      <c r="H52" s="116">
        <v>0.54</v>
      </c>
      <c r="I52" s="46">
        <f t="shared" si="1"/>
        <v>2.0000000000000018E-2</v>
      </c>
      <c r="J52" s="46">
        <f t="shared" si="2"/>
        <v>1.0000000000000009E-2</v>
      </c>
      <c r="K52" s="46">
        <f t="shared" si="3"/>
        <v>-1.0000000000000009E-2</v>
      </c>
      <c r="L52" s="49" t="str">
        <f t="shared" si="4"/>
        <v>Within Tolerance</v>
      </c>
      <c r="M52" s="49" t="str">
        <f t="shared" si="5"/>
        <v>Within Tolerance</v>
      </c>
      <c r="N52" s="49" t="str">
        <f t="shared" si="6"/>
        <v>Within Tolerance</v>
      </c>
    </row>
    <row r="53" spans="1:14" s="43" customFormat="1" hidden="1" x14ac:dyDescent="0.3">
      <c r="A53" s="169">
        <v>46144</v>
      </c>
      <c r="B53" s="64">
        <v>46144.760416666701</v>
      </c>
      <c r="C53" s="142">
        <f t="shared" si="0"/>
        <v>46144.760416666701</v>
      </c>
      <c r="D53" s="7" t="s">
        <v>31</v>
      </c>
      <c r="E53" s="7" t="s">
        <v>19</v>
      </c>
      <c r="F53" s="116">
        <v>0.56000000000000005</v>
      </c>
      <c r="G53" s="115">
        <v>0.59</v>
      </c>
      <c r="H53" s="116">
        <v>0.56000000000000005</v>
      </c>
      <c r="I53" s="46">
        <f t="shared" si="1"/>
        <v>2.9999999999999916E-2</v>
      </c>
      <c r="J53" s="46">
        <f t="shared" si="2"/>
        <v>0</v>
      </c>
      <c r="K53" s="46">
        <f t="shared" si="3"/>
        <v>-2.9999999999999916E-2</v>
      </c>
      <c r="L53" s="49" t="str">
        <f t="shared" si="4"/>
        <v>Out of Tolerance</v>
      </c>
      <c r="M53" s="49" t="str">
        <f t="shared" si="5"/>
        <v>Within Tolerance</v>
      </c>
      <c r="N53" s="49" t="str">
        <f t="shared" si="6"/>
        <v>Out of Tolerance</v>
      </c>
    </row>
    <row r="54" spans="1:14" s="43" customFormat="1" hidden="1" x14ac:dyDescent="0.3">
      <c r="A54" s="168">
        <v>46144</v>
      </c>
      <c r="B54" s="64">
        <v>46144.454861111102</v>
      </c>
      <c r="C54" s="142">
        <f t="shared" si="0"/>
        <v>46144.454861111102</v>
      </c>
      <c r="D54" s="7" t="s">
        <v>26</v>
      </c>
      <c r="E54" s="7" t="s">
        <v>24</v>
      </c>
      <c r="F54" s="116">
        <v>0.64</v>
      </c>
      <c r="G54" s="115">
        <v>0.65</v>
      </c>
      <c r="H54" s="116">
        <v>0.64</v>
      </c>
      <c r="I54" s="46">
        <f t="shared" si="1"/>
        <v>1.0000000000000009E-2</v>
      </c>
      <c r="J54" s="46">
        <f t="shared" si="2"/>
        <v>0</v>
      </c>
      <c r="K54" s="46">
        <f t="shared" si="3"/>
        <v>-1.0000000000000009E-2</v>
      </c>
      <c r="L54" s="49" t="str">
        <f t="shared" si="4"/>
        <v>Within Tolerance</v>
      </c>
      <c r="M54" s="49" t="str">
        <f t="shared" si="5"/>
        <v>Within Tolerance</v>
      </c>
      <c r="N54" s="49" t="str">
        <f t="shared" si="6"/>
        <v>Within Tolerance</v>
      </c>
    </row>
    <row r="55" spans="1:14" s="43" customFormat="1" hidden="1" x14ac:dyDescent="0.3">
      <c r="A55" s="169">
        <v>46144</v>
      </c>
      <c r="B55" s="64">
        <v>46144.555555555598</v>
      </c>
      <c r="C55" s="142">
        <f t="shared" si="0"/>
        <v>46144.555555555598</v>
      </c>
      <c r="D55" s="7" t="s">
        <v>25</v>
      </c>
      <c r="E55" s="7" t="s">
        <v>24</v>
      </c>
      <c r="F55" s="116">
        <v>0.61</v>
      </c>
      <c r="G55" s="115">
        <v>0.62</v>
      </c>
      <c r="H55" s="116">
        <v>0.57999999999999996</v>
      </c>
      <c r="I55" s="46">
        <f t="shared" si="1"/>
        <v>1.0000000000000009E-2</v>
      </c>
      <c r="J55" s="46">
        <f t="shared" si="2"/>
        <v>-3.0000000000000027E-2</v>
      </c>
      <c r="K55" s="46">
        <f t="shared" si="3"/>
        <v>-4.0000000000000036E-2</v>
      </c>
      <c r="L55" s="49" t="str">
        <f t="shared" si="4"/>
        <v>Within Tolerance</v>
      </c>
      <c r="M55" s="49" t="str">
        <f t="shared" si="5"/>
        <v>Out of Tolerance</v>
      </c>
      <c r="N55" s="49" t="str">
        <f t="shared" si="6"/>
        <v>Out of Tolerance</v>
      </c>
    </row>
    <row r="56" spans="1:14" s="43" customFormat="1" hidden="1" x14ac:dyDescent="0.3">
      <c r="A56" s="168">
        <v>46144</v>
      </c>
      <c r="B56" s="64">
        <v>46144.666666666701</v>
      </c>
      <c r="C56" s="142">
        <f t="shared" si="0"/>
        <v>46144.666666666701</v>
      </c>
      <c r="D56" s="7" t="s">
        <v>27</v>
      </c>
      <c r="E56" s="7" t="s">
        <v>24</v>
      </c>
      <c r="F56" s="116">
        <v>0.55000000000000004</v>
      </c>
      <c r="G56" s="115">
        <v>0.53</v>
      </c>
      <c r="H56" s="116">
        <v>0.52</v>
      </c>
      <c r="I56" s="46">
        <f t="shared" si="1"/>
        <v>-2.0000000000000018E-2</v>
      </c>
      <c r="J56" s="46">
        <f t="shared" si="2"/>
        <v>-3.0000000000000027E-2</v>
      </c>
      <c r="K56" s="46">
        <f t="shared" si="3"/>
        <v>-1.0000000000000009E-2</v>
      </c>
      <c r="L56" s="49" t="str">
        <f t="shared" si="4"/>
        <v>Within Tolerance</v>
      </c>
      <c r="M56" s="49" t="str">
        <f t="shared" si="5"/>
        <v>Out of Tolerance</v>
      </c>
      <c r="N56" s="49" t="str">
        <f t="shared" si="6"/>
        <v>Within Tolerance</v>
      </c>
    </row>
    <row r="57" spans="1:14" s="43" customFormat="1" x14ac:dyDescent="0.3">
      <c r="A57" s="169">
        <v>46144</v>
      </c>
      <c r="B57" s="64">
        <v>7.1</v>
      </c>
      <c r="C57" s="142">
        <f>A57+MOD(B57,1)</f>
        <v>46144.1</v>
      </c>
      <c r="D57" s="19" t="s">
        <v>39</v>
      </c>
      <c r="E57" s="7" t="s">
        <v>24</v>
      </c>
      <c r="F57" s="116">
        <v>0.48</v>
      </c>
      <c r="G57" s="115">
        <v>0.49</v>
      </c>
      <c r="H57" s="114" t="s">
        <v>93</v>
      </c>
      <c r="I57" s="46">
        <f t="shared" si="1"/>
        <v>1.0000000000000009E-2</v>
      </c>
      <c r="J57" s="46" t="str">
        <f t="shared" si="2"/>
        <v/>
      </c>
      <c r="K57" s="46" t="str">
        <f t="shared" si="3"/>
        <v/>
      </c>
      <c r="L57" s="49" t="str">
        <f t="shared" si="4"/>
        <v>Within Tolerance</v>
      </c>
      <c r="M57" s="49" t="str">
        <f t="shared" si="5"/>
        <v/>
      </c>
      <c r="N57" s="49" t="str">
        <f t="shared" si="6"/>
        <v/>
      </c>
    </row>
    <row r="58" spans="1:14" s="43" customFormat="1" hidden="1" x14ac:dyDescent="0.3">
      <c r="A58" s="168">
        <v>46145</v>
      </c>
      <c r="B58" s="64">
        <v>46145.333333333299</v>
      </c>
      <c r="C58" s="142">
        <f t="shared" si="0"/>
        <v>46145.333333333299</v>
      </c>
      <c r="D58" s="19" t="s">
        <v>41</v>
      </c>
      <c r="E58" s="7" t="s">
        <v>11</v>
      </c>
      <c r="F58" s="116">
        <v>0.49</v>
      </c>
      <c r="G58" s="115">
        <v>0.52</v>
      </c>
      <c r="H58" s="116">
        <v>0.54</v>
      </c>
      <c r="I58" s="46">
        <f t="shared" si="1"/>
        <v>3.0000000000000027E-2</v>
      </c>
      <c r="J58" s="46">
        <f t="shared" si="2"/>
        <v>5.0000000000000044E-2</v>
      </c>
      <c r="K58" s="46">
        <f t="shared" si="3"/>
        <v>2.0000000000000018E-2</v>
      </c>
      <c r="L58" s="49" t="str">
        <f t="shared" si="4"/>
        <v>Out of Tolerance</v>
      </c>
      <c r="M58" s="49" t="str">
        <f t="shared" si="5"/>
        <v>Out of Tolerance</v>
      </c>
      <c r="N58" s="49" t="str">
        <f t="shared" si="6"/>
        <v>Within Tolerance</v>
      </c>
    </row>
    <row r="59" spans="1:14" s="43" customFormat="1" hidden="1" x14ac:dyDescent="0.3">
      <c r="A59" s="169">
        <v>46145</v>
      </c>
      <c r="B59" s="64">
        <v>46145.40625</v>
      </c>
      <c r="C59" s="142">
        <f t="shared" si="0"/>
        <v>46145.40625</v>
      </c>
      <c r="D59" s="19" t="s">
        <v>35</v>
      </c>
      <c r="E59" s="7" t="s">
        <v>11</v>
      </c>
      <c r="F59" s="114" t="s">
        <v>93</v>
      </c>
      <c r="G59" s="115">
        <v>0.56999999999999995</v>
      </c>
      <c r="H59" s="116">
        <v>0.55000000000000004</v>
      </c>
      <c r="I59" s="46" t="str">
        <f t="shared" si="1"/>
        <v/>
      </c>
      <c r="J59" s="46" t="str">
        <f t="shared" si="2"/>
        <v/>
      </c>
      <c r="K59" s="46">
        <f t="shared" si="3"/>
        <v>-1.9999999999999907E-2</v>
      </c>
      <c r="L59" s="49" t="str">
        <f t="shared" si="4"/>
        <v/>
      </c>
      <c r="M59" s="49" t="str">
        <f t="shared" si="5"/>
        <v/>
      </c>
      <c r="N59" s="49" t="str">
        <f t="shared" si="6"/>
        <v>Within Tolerance</v>
      </c>
    </row>
    <row r="60" spans="1:14" s="43" customFormat="1" hidden="1" x14ac:dyDescent="0.3">
      <c r="A60" s="168">
        <v>46145</v>
      </c>
      <c r="B60" s="64">
        <v>46145.479166666701</v>
      </c>
      <c r="C60" s="142">
        <f t="shared" si="0"/>
        <v>46145.479166666701</v>
      </c>
      <c r="D60" s="19" t="s">
        <v>35</v>
      </c>
      <c r="E60" s="7" t="s">
        <v>11</v>
      </c>
      <c r="F60" s="114" t="s">
        <v>93</v>
      </c>
      <c r="G60" s="115">
        <v>0.57999999999999996</v>
      </c>
      <c r="H60" s="116">
        <v>0.56000000000000005</v>
      </c>
      <c r="I60" s="46" t="str">
        <f t="shared" si="1"/>
        <v/>
      </c>
      <c r="J60" s="46" t="str">
        <f t="shared" si="2"/>
        <v/>
      </c>
      <c r="K60" s="46">
        <f t="shared" si="3"/>
        <v>-1.9999999999999907E-2</v>
      </c>
      <c r="L60" s="49" t="str">
        <f t="shared" si="4"/>
        <v/>
      </c>
      <c r="M60" s="49" t="str">
        <f t="shared" si="5"/>
        <v/>
      </c>
      <c r="N60" s="49" t="str">
        <f t="shared" si="6"/>
        <v>Within Tolerance</v>
      </c>
    </row>
    <row r="61" spans="1:14" s="43" customFormat="1" hidden="1" x14ac:dyDescent="0.3">
      <c r="A61" s="169">
        <v>46145</v>
      </c>
      <c r="B61" s="64">
        <v>46145.583333333299</v>
      </c>
      <c r="C61" s="142">
        <f t="shared" si="0"/>
        <v>46145.583333333299</v>
      </c>
      <c r="D61" s="19" t="s">
        <v>35</v>
      </c>
      <c r="E61" s="7" t="s">
        <v>11</v>
      </c>
      <c r="F61" s="114" t="s">
        <v>93</v>
      </c>
      <c r="G61" s="115">
        <v>0.56999999999999995</v>
      </c>
      <c r="H61" s="116">
        <v>0.56999999999999995</v>
      </c>
      <c r="I61" s="46" t="str">
        <f t="shared" si="1"/>
        <v/>
      </c>
      <c r="J61" s="46" t="str">
        <f t="shared" si="2"/>
        <v/>
      </c>
      <c r="K61" s="46">
        <f t="shared" si="3"/>
        <v>0</v>
      </c>
      <c r="L61" s="49" t="str">
        <f t="shared" si="4"/>
        <v/>
      </c>
      <c r="M61" s="49" t="str">
        <f t="shared" si="5"/>
        <v/>
      </c>
      <c r="N61" s="49" t="str">
        <f t="shared" si="6"/>
        <v>Within Tolerance</v>
      </c>
    </row>
    <row r="62" spans="1:14" s="43" customFormat="1" hidden="1" x14ac:dyDescent="0.3">
      <c r="A62" s="168">
        <v>46145</v>
      </c>
      <c r="B62" s="64">
        <v>46145.666666666701</v>
      </c>
      <c r="C62" s="142">
        <f t="shared" si="0"/>
        <v>46145.666666666701</v>
      </c>
      <c r="D62" s="19" t="s">
        <v>35</v>
      </c>
      <c r="E62" s="7" t="s">
        <v>11</v>
      </c>
      <c r="F62" s="116">
        <v>0.56999999999999995</v>
      </c>
      <c r="G62" s="115">
        <v>0.59</v>
      </c>
      <c r="H62" s="116">
        <v>0.56000000000000005</v>
      </c>
      <c r="I62" s="46">
        <f t="shared" si="1"/>
        <v>2.0000000000000018E-2</v>
      </c>
      <c r="J62" s="46">
        <f t="shared" si="2"/>
        <v>-9.9999999999998979E-3</v>
      </c>
      <c r="K62" s="46">
        <f t="shared" si="3"/>
        <v>-2.9999999999999916E-2</v>
      </c>
      <c r="L62" s="49" t="str">
        <f t="shared" si="4"/>
        <v>Within Tolerance</v>
      </c>
      <c r="M62" s="49" t="str">
        <f t="shared" si="5"/>
        <v>Within Tolerance</v>
      </c>
      <c r="N62" s="49" t="str">
        <f t="shared" si="6"/>
        <v>Out of Tolerance</v>
      </c>
    </row>
    <row r="63" spans="1:14" s="43" customFormat="1" hidden="1" x14ac:dyDescent="0.3">
      <c r="A63" s="169">
        <v>46145</v>
      </c>
      <c r="B63" s="64">
        <v>46145.75</v>
      </c>
      <c r="C63" s="142">
        <f t="shared" si="0"/>
        <v>46145.75</v>
      </c>
      <c r="D63" s="19" t="s">
        <v>35</v>
      </c>
      <c r="E63" s="7" t="s">
        <v>11</v>
      </c>
      <c r="F63" s="114" t="s">
        <v>93</v>
      </c>
      <c r="G63" s="115">
        <v>0.56999999999999995</v>
      </c>
      <c r="H63" s="116">
        <v>0.56999999999999995</v>
      </c>
      <c r="I63" s="46" t="str">
        <f t="shared" si="1"/>
        <v/>
      </c>
      <c r="J63" s="46" t="str">
        <f t="shared" si="2"/>
        <v/>
      </c>
      <c r="K63" s="46">
        <f t="shared" si="3"/>
        <v>0</v>
      </c>
      <c r="L63" s="49" t="str">
        <f t="shared" si="4"/>
        <v/>
      </c>
      <c r="M63" s="49" t="str">
        <f t="shared" si="5"/>
        <v/>
      </c>
      <c r="N63" s="49" t="str">
        <f t="shared" si="6"/>
        <v>Within Tolerance</v>
      </c>
    </row>
    <row r="64" spans="1:14" s="43" customFormat="1" hidden="1" x14ac:dyDescent="0.3">
      <c r="A64" s="168">
        <v>46145</v>
      </c>
      <c r="B64" s="64">
        <v>46145.333333333299</v>
      </c>
      <c r="C64" s="142">
        <f t="shared" si="0"/>
        <v>46145.333333333299</v>
      </c>
      <c r="D64" s="19" t="s">
        <v>29</v>
      </c>
      <c r="E64" s="7" t="s">
        <v>15</v>
      </c>
      <c r="F64" s="116">
        <v>0.53</v>
      </c>
      <c r="G64" s="115">
        <v>0.54</v>
      </c>
      <c r="H64" s="116">
        <v>0.54</v>
      </c>
      <c r="I64" s="46">
        <f t="shared" si="1"/>
        <v>1.0000000000000009E-2</v>
      </c>
      <c r="J64" s="46">
        <f t="shared" si="2"/>
        <v>1.0000000000000009E-2</v>
      </c>
      <c r="K64" s="46">
        <f t="shared" si="3"/>
        <v>0</v>
      </c>
      <c r="L64" s="49" t="str">
        <f t="shared" si="4"/>
        <v>Within Tolerance</v>
      </c>
      <c r="M64" s="49" t="str">
        <f t="shared" si="5"/>
        <v>Within Tolerance</v>
      </c>
      <c r="N64" s="49" t="str">
        <f t="shared" si="6"/>
        <v>Within Tolerance</v>
      </c>
    </row>
    <row r="65" spans="1:14" s="43" customFormat="1" hidden="1" x14ac:dyDescent="0.3">
      <c r="A65" s="169">
        <v>46145</v>
      </c>
      <c r="B65" s="64">
        <v>46145.416666666701</v>
      </c>
      <c r="C65" s="142">
        <f t="shared" si="0"/>
        <v>46145.416666666701</v>
      </c>
      <c r="D65" s="19" t="s">
        <v>29</v>
      </c>
      <c r="E65" s="7" t="s">
        <v>15</v>
      </c>
      <c r="F65" s="114" t="s">
        <v>93</v>
      </c>
      <c r="G65" s="115">
        <v>0.54</v>
      </c>
      <c r="H65" s="116">
        <v>0.54</v>
      </c>
      <c r="I65" s="46" t="str">
        <f t="shared" si="1"/>
        <v/>
      </c>
      <c r="J65" s="46" t="str">
        <f t="shared" si="2"/>
        <v/>
      </c>
      <c r="K65" s="46">
        <f t="shared" si="3"/>
        <v>0</v>
      </c>
      <c r="L65" s="49" t="str">
        <f t="shared" si="4"/>
        <v/>
      </c>
      <c r="M65" s="49" t="str">
        <f t="shared" si="5"/>
        <v/>
      </c>
      <c r="N65" s="49" t="str">
        <f t="shared" si="6"/>
        <v>Within Tolerance</v>
      </c>
    </row>
    <row r="66" spans="1:14" s="43" customFormat="1" hidden="1" x14ac:dyDescent="0.3">
      <c r="A66" s="168">
        <v>46145</v>
      </c>
      <c r="B66" s="64">
        <v>46145.5</v>
      </c>
      <c r="C66" s="142">
        <f t="shared" ref="C66:C129" si="7">A66+MOD(B66,1)</f>
        <v>46145.5</v>
      </c>
      <c r="D66" s="19" t="s">
        <v>29</v>
      </c>
      <c r="E66" s="7" t="s">
        <v>15</v>
      </c>
      <c r="F66" s="114" t="s">
        <v>93</v>
      </c>
      <c r="G66" s="115">
        <v>0.55000000000000004</v>
      </c>
      <c r="H66" s="116">
        <v>0.54</v>
      </c>
      <c r="I66" s="46" t="str">
        <f t="shared" si="1"/>
        <v/>
      </c>
      <c r="J66" s="46" t="str">
        <f t="shared" si="2"/>
        <v/>
      </c>
      <c r="K66" s="46">
        <f t="shared" si="3"/>
        <v>-1.0000000000000009E-2</v>
      </c>
      <c r="L66" s="49" t="str">
        <f t="shared" si="4"/>
        <v/>
      </c>
      <c r="M66" s="49" t="str">
        <f t="shared" si="5"/>
        <v/>
      </c>
      <c r="N66" s="49" t="str">
        <f t="shared" si="6"/>
        <v>Within Tolerance</v>
      </c>
    </row>
    <row r="67" spans="1:14" s="43" customFormat="1" hidden="1" x14ac:dyDescent="0.3">
      <c r="A67" s="169">
        <v>46145</v>
      </c>
      <c r="B67" s="64">
        <v>46145.583333333299</v>
      </c>
      <c r="C67" s="142">
        <f t="shared" si="7"/>
        <v>46145.583333333299</v>
      </c>
      <c r="D67" s="19" t="s">
        <v>29</v>
      </c>
      <c r="E67" s="7" t="s">
        <v>15</v>
      </c>
      <c r="F67" s="114" t="s">
        <v>93</v>
      </c>
      <c r="G67" s="115">
        <v>0.55000000000000004</v>
      </c>
      <c r="H67" s="116">
        <v>0.54</v>
      </c>
      <c r="I67" s="46" t="str">
        <f t="shared" ref="I67:I130" si="8">IF(OR(TRIM(F67&amp;"")="",TRIM(G67&amp;"")="",F67="-",G67="-"),"",G67-F67)</f>
        <v/>
      </c>
      <c r="J67" s="46" t="str">
        <f t="shared" ref="J67:J130" si="9">IF(OR(TRIM(F67&amp;"")="",TRIM(H67&amp;"")="",F67="-",H67="-"),"",H67-F67)</f>
        <v/>
      </c>
      <c r="K67" s="46">
        <f t="shared" ref="K67:K130" si="10">IF(OR(TRIM(G67&amp;"")="",TRIM(H67&amp;"")="",G67="-",H67="-"),"",H67-G67)</f>
        <v>-1.0000000000000009E-2</v>
      </c>
      <c r="L67" s="49" t="str">
        <f t="shared" ref="L67:N130" si="11">IF(ISNUMBER(I67),IF(ABS(I67)&lt;=0.02,"Within Tolerance","Out of Tolerance"),"")</f>
        <v/>
      </c>
      <c r="M67" s="49" t="str">
        <f t="shared" si="11"/>
        <v/>
      </c>
      <c r="N67" s="49" t="str">
        <f t="shared" si="11"/>
        <v>Within Tolerance</v>
      </c>
    </row>
    <row r="68" spans="1:14" s="43" customFormat="1" hidden="1" x14ac:dyDescent="0.3">
      <c r="A68" s="168">
        <v>46145</v>
      </c>
      <c r="B68" s="64">
        <v>46145.420138888898</v>
      </c>
      <c r="C68" s="142">
        <f t="shared" si="7"/>
        <v>46145.420138888898</v>
      </c>
      <c r="D68" s="19" t="s">
        <v>37</v>
      </c>
      <c r="E68" s="7" t="s">
        <v>19</v>
      </c>
      <c r="F68" s="116">
        <v>0.42</v>
      </c>
      <c r="G68" s="115">
        <v>0.44</v>
      </c>
      <c r="H68" s="116">
        <v>0.45</v>
      </c>
      <c r="I68" s="46">
        <f t="shared" si="8"/>
        <v>2.0000000000000018E-2</v>
      </c>
      <c r="J68" s="46">
        <f t="shared" si="9"/>
        <v>3.0000000000000027E-2</v>
      </c>
      <c r="K68" s="46">
        <f t="shared" si="10"/>
        <v>1.0000000000000009E-2</v>
      </c>
      <c r="L68" s="49" t="str">
        <f t="shared" si="11"/>
        <v>Within Tolerance</v>
      </c>
      <c r="M68" s="49" t="str">
        <f t="shared" si="11"/>
        <v>Out of Tolerance</v>
      </c>
      <c r="N68" s="49" t="str">
        <f t="shared" si="11"/>
        <v>Within Tolerance</v>
      </c>
    </row>
    <row r="69" spans="1:14" s="43" customFormat="1" hidden="1" x14ac:dyDescent="0.3">
      <c r="A69" s="169">
        <v>46145</v>
      </c>
      <c r="B69" s="64">
        <v>46145.494444444397</v>
      </c>
      <c r="C69" s="142">
        <f t="shared" si="7"/>
        <v>46145.494444444397</v>
      </c>
      <c r="D69" s="19" t="s">
        <v>20</v>
      </c>
      <c r="E69" s="7" t="s">
        <v>19</v>
      </c>
      <c r="F69" s="116">
        <v>0.56000000000000005</v>
      </c>
      <c r="G69" s="115">
        <v>0.57999999999999996</v>
      </c>
      <c r="H69" s="116">
        <v>0.57999999999999996</v>
      </c>
      <c r="I69" s="46">
        <f t="shared" si="8"/>
        <v>1.9999999999999907E-2</v>
      </c>
      <c r="J69" s="46">
        <f t="shared" si="9"/>
        <v>1.9999999999999907E-2</v>
      </c>
      <c r="K69" s="46">
        <f t="shared" si="10"/>
        <v>0</v>
      </c>
      <c r="L69" s="49" t="str">
        <f t="shared" si="11"/>
        <v>Within Tolerance</v>
      </c>
      <c r="M69" s="49" t="str">
        <f t="shared" si="11"/>
        <v>Within Tolerance</v>
      </c>
      <c r="N69" s="49" t="str">
        <f t="shared" si="11"/>
        <v>Within Tolerance</v>
      </c>
    </row>
    <row r="70" spans="1:14" s="43" customFormat="1" hidden="1" x14ac:dyDescent="0.3">
      <c r="A70" s="168">
        <v>46145</v>
      </c>
      <c r="B70" s="64">
        <v>46145.600694444402</v>
      </c>
      <c r="C70" s="142">
        <f t="shared" si="7"/>
        <v>46145.600694444402</v>
      </c>
      <c r="D70" s="19" t="s">
        <v>18</v>
      </c>
      <c r="E70" s="7" t="s">
        <v>19</v>
      </c>
      <c r="F70" s="116">
        <v>0.51</v>
      </c>
      <c r="G70" s="115">
        <v>0.53</v>
      </c>
      <c r="H70" s="116">
        <v>0.55000000000000004</v>
      </c>
      <c r="I70" s="46">
        <f t="shared" si="8"/>
        <v>2.0000000000000018E-2</v>
      </c>
      <c r="J70" s="46">
        <f t="shared" si="9"/>
        <v>4.0000000000000036E-2</v>
      </c>
      <c r="K70" s="46">
        <f t="shared" si="10"/>
        <v>2.0000000000000018E-2</v>
      </c>
      <c r="L70" s="49" t="str">
        <f t="shared" si="11"/>
        <v>Within Tolerance</v>
      </c>
      <c r="M70" s="49" t="str">
        <f t="shared" si="11"/>
        <v>Out of Tolerance</v>
      </c>
      <c r="N70" s="49" t="str">
        <f t="shared" si="11"/>
        <v>Within Tolerance</v>
      </c>
    </row>
    <row r="71" spans="1:14" s="43" customFormat="1" hidden="1" x14ac:dyDescent="0.3">
      <c r="A71" s="169">
        <v>46145</v>
      </c>
      <c r="B71" s="64">
        <v>46145.402777777803</v>
      </c>
      <c r="C71" s="142">
        <f t="shared" si="7"/>
        <v>46145.402777777803</v>
      </c>
      <c r="D71" s="7" t="s">
        <v>25</v>
      </c>
      <c r="E71" s="7" t="s">
        <v>24</v>
      </c>
      <c r="F71" s="116">
        <v>0.57999999999999996</v>
      </c>
      <c r="G71" s="115">
        <v>0.59</v>
      </c>
      <c r="H71" s="116">
        <v>0.59</v>
      </c>
      <c r="I71" s="46">
        <f t="shared" si="8"/>
        <v>1.0000000000000009E-2</v>
      </c>
      <c r="J71" s="46">
        <f t="shared" si="9"/>
        <v>1.0000000000000009E-2</v>
      </c>
      <c r="K71" s="46">
        <f t="shared" si="10"/>
        <v>0</v>
      </c>
      <c r="L71" s="49" t="str">
        <f t="shared" si="11"/>
        <v>Within Tolerance</v>
      </c>
      <c r="M71" s="49" t="str">
        <f t="shared" si="11"/>
        <v>Within Tolerance</v>
      </c>
      <c r="N71" s="49" t="str">
        <f t="shared" si="11"/>
        <v>Within Tolerance</v>
      </c>
    </row>
    <row r="72" spans="1:14" s="43" customFormat="1" hidden="1" x14ac:dyDescent="0.3">
      <c r="A72" s="168">
        <v>46145</v>
      </c>
      <c r="B72" s="64">
        <v>46145.479166666701</v>
      </c>
      <c r="C72" s="142">
        <f t="shared" si="7"/>
        <v>46145.479166666701</v>
      </c>
      <c r="D72" s="7" t="s">
        <v>26</v>
      </c>
      <c r="E72" s="7" t="s">
        <v>24</v>
      </c>
      <c r="F72" s="116">
        <v>0.62</v>
      </c>
      <c r="G72" s="115">
        <v>0.61</v>
      </c>
      <c r="H72" s="116">
        <v>0.61</v>
      </c>
      <c r="I72" s="46">
        <f t="shared" si="8"/>
        <v>-1.0000000000000009E-2</v>
      </c>
      <c r="J72" s="46">
        <f t="shared" si="9"/>
        <v>-1.0000000000000009E-2</v>
      </c>
      <c r="K72" s="46">
        <f t="shared" si="10"/>
        <v>0</v>
      </c>
      <c r="L72" s="49" t="str">
        <f t="shared" si="11"/>
        <v>Within Tolerance</v>
      </c>
      <c r="M72" s="49" t="str">
        <f t="shared" si="11"/>
        <v>Within Tolerance</v>
      </c>
      <c r="N72" s="49" t="str">
        <f t="shared" si="11"/>
        <v>Within Tolerance</v>
      </c>
    </row>
    <row r="73" spans="1:14" s="43" customFormat="1" hidden="1" x14ac:dyDescent="0.3">
      <c r="A73" s="169">
        <v>46146</v>
      </c>
      <c r="B73" s="64">
        <v>46146.763888888898</v>
      </c>
      <c r="C73" s="142">
        <f t="shared" si="7"/>
        <v>46146.763888888898</v>
      </c>
      <c r="D73" s="19" t="s">
        <v>41</v>
      </c>
      <c r="E73" s="7" t="s">
        <v>11</v>
      </c>
      <c r="F73" s="114" t="s">
        <v>93</v>
      </c>
      <c r="G73" s="115">
        <v>0.54</v>
      </c>
      <c r="H73" s="116">
        <v>0.55000000000000004</v>
      </c>
      <c r="I73" s="46" t="str">
        <f t="shared" si="8"/>
        <v/>
      </c>
      <c r="J73" s="46" t="str">
        <f t="shared" si="9"/>
        <v/>
      </c>
      <c r="K73" s="46">
        <f t="shared" si="10"/>
        <v>1.0000000000000009E-2</v>
      </c>
      <c r="L73" s="49" t="str">
        <f t="shared" si="11"/>
        <v/>
      </c>
      <c r="M73" s="49" t="str">
        <f t="shared" si="11"/>
        <v/>
      </c>
      <c r="N73" s="49" t="str">
        <f t="shared" si="11"/>
        <v>Within Tolerance</v>
      </c>
    </row>
    <row r="74" spans="1:14" s="43" customFormat="1" hidden="1" x14ac:dyDescent="0.3">
      <c r="A74" s="168">
        <v>46146</v>
      </c>
      <c r="B74" s="64">
        <v>46146.777777777803</v>
      </c>
      <c r="C74" s="142">
        <f t="shared" si="7"/>
        <v>46146.777777777803</v>
      </c>
      <c r="D74" s="19" t="s">
        <v>41</v>
      </c>
      <c r="E74" s="7" t="s">
        <v>11</v>
      </c>
      <c r="F74" s="114" t="s">
        <v>93</v>
      </c>
      <c r="G74" s="115">
        <v>0.52</v>
      </c>
      <c r="H74" s="116">
        <v>0.54</v>
      </c>
      <c r="I74" s="46" t="str">
        <f t="shared" si="8"/>
        <v/>
      </c>
      <c r="J74" s="46" t="str">
        <f t="shared" si="9"/>
        <v/>
      </c>
      <c r="K74" s="46">
        <f t="shared" si="10"/>
        <v>2.0000000000000018E-2</v>
      </c>
      <c r="L74" s="49" t="str">
        <f t="shared" si="11"/>
        <v/>
      </c>
      <c r="M74" s="49" t="str">
        <f t="shared" si="11"/>
        <v/>
      </c>
      <c r="N74" s="49" t="str">
        <f t="shared" si="11"/>
        <v>Within Tolerance</v>
      </c>
    </row>
    <row r="75" spans="1:14" s="43" customFormat="1" hidden="1" x14ac:dyDescent="0.3">
      <c r="A75" s="169">
        <v>46146</v>
      </c>
      <c r="B75" s="64">
        <v>46146.833333333299</v>
      </c>
      <c r="C75" s="142">
        <f t="shared" si="7"/>
        <v>46146.833333333299</v>
      </c>
      <c r="D75" s="19" t="s">
        <v>41</v>
      </c>
      <c r="E75" s="7" t="s">
        <v>11</v>
      </c>
      <c r="F75" s="116">
        <v>0.53</v>
      </c>
      <c r="G75" s="115">
        <v>0.53</v>
      </c>
      <c r="H75" s="116">
        <v>0.53</v>
      </c>
      <c r="I75" s="46">
        <f t="shared" si="8"/>
        <v>0</v>
      </c>
      <c r="J75" s="46">
        <f t="shared" si="9"/>
        <v>0</v>
      </c>
      <c r="K75" s="46">
        <f t="shared" si="10"/>
        <v>0</v>
      </c>
      <c r="L75" s="49" t="str">
        <f t="shared" si="11"/>
        <v>Within Tolerance</v>
      </c>
      <c r="M75" s="49" t="str">
        <f t="shared" si="11"/>
        <v>Within Tolerance</v>
      </c>
      <c r="N75" s="49" t="str">
        <f t="shared" si="11"/>
        <v>Within Tolerance</v>
      </c>
    </row>
    <row r="76" spans="1:14" s="43" customFormat="1" x14ac:dyDescent="0.3">
      <c r="A76" s="168">
        <v>46146</v>
      </c>
      <c r="B76" s="64">
        <v>46146.965277777803</v>
      </c>
      <c r="C76" s="142">
        <f t="shared" si="7"/>
        <v>46146.965277777803</v>
      </c>
      <c r="D76" s="19" t="s">
        <v>41</v>
      </c>
      <c r="E76" s="7" t="s">
        <v>11</v>
      </c>
      <c r="F76" s="114" t="s">
        <v>93</v>
      </c>
      <c r="G76" s="115">
        <v>0.52</v>
      </c>
      <c r="H76" s="114" t="s">
        <v>93</v>
      </c>
      <c r="I76" s="46" t="str">
        <f t="shared" si="8"/>
        <v/>
      </c>
      <c r="J76" s="46" t="str">
        <f t="shared" si="9"/>
        <v/>
      </c>
      <c r="K76" s="46" t="str">
        <f t="shared" si="10"/>
        <v/>
      </c>
      <c r="L76" s="49" t="str">
        <f t="shared" si="11"/>
        <v/>
      </c>
      <c r="M76" s="49" t="str">
        <f t="shared" si="11"/>
        <v/>
      </c>
      <c r="N76" s="49" t="str">
        <f t="shared" si="11"/>
        <v/>
      </c>
    </row>
    <row r="77" spans="1:14" s="43" customFormat="1" hidden="1" x14ac:dyDescent="0.3">
      <c r="A77" s="169">
        <v>46147</v>
      </c>
      <c r="B77" s="64">
        <v>46147</v>
      </c>
      <c r="C77" s="142">
        <f t="shared" si="7"/>
        <v>46147</v>
      </c>
      <c r="D77" s="19" t="s">
        <v>41</v>
      </c>
      <c r="E77" s="7" t="s">
        <v>11</v>
      </c>
      <c r="F77" s="116">
        <v>0.55000000000000004</v>
      </c>
      <c r="G77" s="115">
        <v>0.54</v>
      </c>
      <c r="H77" s="116">
        <v>0.54</v>
      </c>
      <c r="I77" s="46">
        <f t="shared" si="8"/>
        <v>-1.0000000000000009E-2</v>
      </c>
      <c r="J77" s="46">
        <f t="shared" si="9"/>
        <v>-1.0000000000000009E-2</v>
      </c>
      <c r="K77" s="46">
        <f t="shared" si="10"/>
        <v>0</v>
      </c>
      <c r="L77" s="49" t="str">
        <f t="shared" si="11"/>
        <v>Within Tolerance</v>
      </c>
      <c r="M77" s="49" t="str">
        <f t="shared" si="11"/>
        <v>Within Tolerance</v>
      </c>
      <c r="N77" s="49" t="str">
        <f t="shared" si="11"/>
        <v>Within Tolerance</v>
      </c>
    </row>
    <row r="78" spans="1:14" s="43" customFormat="1" hidden="1" x14ac:dyDescent="0.3">
      <c r="A78" s="168">
        <v>46147</v>
      </c>
      <c r="B78" s="64">
        <v>46147.083333333299</v>
      </c>
      <c r="C78" s="142">
        <f t="shared" si="7"/>
        <v>46147.083333333299</v>
      </c>
      <c r="D78" s="19" t="s">
        <v>41</v>
      </c>
      <c r="E78" s="7" t="s">
        <v>11</v>
      </c>
      <c r="F78" s="114" t="s">
        <v>93</v>
      </c>
      <c r="G78" s="115">
        <v>0.55000000000000004</v>
      </c>
      <c r="H78" s="116">
        <v>0.55000000000000004</v>
      </c>
      <c r="I78" s="46" t="str">
        <f t="shared" si="8"/>
        <v/>
      </c>
      <c r="J78" s="46" t="str">
        <f t="shared" si="9"/>
        <v/>
      </c>
      <c r="K78" s="46">
        <f t="shared" si="10"/>
        <v>0</v>
      </c>
      <c r="L78" s="49" t="str">
        <f t="shared" si="11"/>
        <v/>
      </c>
      <c r="M78" s="49" t="str">
        <f t="shared" si="11"/>
        <v/>
      </c>
      <c r="N78" s="49" t="str">
        <f t="shared" si="11"/>
        <v>Within Tolerance</v>
      </c>
    </row>
    <row r="79" spans="1:14" s="43" customFormat="1" hidden="1" x14ac:dyDescent="0.3">
      <c r="A79" s="169">
        <v>46147</v>
      </c>
      <c r="B79" s="64">
        <v>46147.166666666701</v>
      </c>
      <c r="C79" s="142">
        <f t="shared" si="7"/>
        <v>46147.166666666701</v>
      </c>
      <c r="D79" s="19" t="s">
        <v>41</v>
      </c>
      <c r="E79" s="7" t="s">
        <v>11</v>
      </c>
      <c r="F79" s="114" t="s">
        <v>93</v>
      </c>
      <c r="G79" s="115">
        <v>0.55000000000000004</v>
      </c>
      <c r="H79" s="116">
        <v>0.55000000000000004</v>
      </c>
      <c r="I79" s="46" t="str">
        <f t="shared" si="8"/>
        <v/>
      </c>
      <c r="J79" s="46" t="str">
        <f t="shared" si="9"/>
        <v/>
      </c>
      <c r="K79" s="46">
        <f t="shared" si="10"/>
        <v>0</v>
      </c>
      <c r="L79" s="49" t="str">
        <f t="shared" si="11"/>
        <v/>
      </c>
      <c r="M79" s="49" t="str">
        <f t="shared" si="11"/>
        <v/>
      </c>
      <c r="N79" s="49" t="str">
        <f t="shared" si="11"/>
        <v>Within Tolerance</v>
      </c>
    </row>
    <row r="80" spans="1:14" s="43" customFormat="1" hidden="1" x14ac:dyDescent="0.3">
      <c r="A80" s="168">
        <v>46147</v>
      </c>
      <c r="B80" s="64">
        <v>46147.25</v>
      </c>
      <c r="C80" s="142">
        <f t="shared" si="7"/>
        <v>46147.25</v>
      </c>
      <c r="D80" s="19" t="s">
        <v>41</v>
      </c>
      <c r="E80" s="7" t="s">
        <v>11</v>
      </c>
      <c r="F80" s="114" t="s">
        <v>93</v>
      </c>
      <c r="G80" s="115">
        <v>0.53</v>
      </c>
      <c r="H80" s="116">
        <v>0.55000000000000004</v>
      </c>
      <c r="I80" s="46" t="str">
        <f t="shared" si="8"/>
        <v/>
      </c>
      <c r="J80" s="46" t="str">
        <f t="shared" si="9"/>
        <v/>
      </c>
      <c r="K80" s="46">
        <f t="shared" si="10"/>
        <v>2.0000000000000018E-2</v>
      </c>
      <c r="L80" s="49" t="str">
        <f t="shared" si="11"/>
        <v/>
      </c>
      <c r="M80" s="49" t="str">
        <f t="shared" si="11"/>
        <v/>
      </c>
      <c r="N80" s="49" t="str">
        <f t="shared" si="11"/>
        <v>Within Tolerance</v>
      </c>
    </row>
    <row r="81" spans="1:14" s="43" customFormat="1" x14ac:dyDescent="0.3">
      <c r="A81" s="169">
        <v>46146</v>
      </c>
      <c r="B81" s="64">
        <v>46146.357638888898</v>
      </c>
      <c r="C81" s="142">
        <f t="shared" si="7"/>
        <v>46146.357638888898</v>
      </c>
      <c r="D81" s="19" t="s">
        <v>29</v>
      </c>
      <c r="E81" s="7" t="s">
        <v>15</v>
      </c>
      <c r="F81" s="114" t="s">
        <v>93</v>
      </c>
      <c r="G81" s="115">
        <v>0.56000000000000005</v>
      </c>
      <c r="H81" s="114" t="s">
        <v>93</v>
      </c>
      <c r="I81" s="46" t="str">
        <f t="shared" si="8"/>
        <v/>
      </c>
      <c r="J81" s="46" t="str">
        <f t="shared" si="9"/>
        <v/>
      </c>
      <c r="K81" s="46" t="str">
        <f t="shared" si="10"/>
        <v/>
      </c>
      <c r="L81" s="49" t="str">
        <f t="shared" si="11"/>
        <v/>
      </c>
      <c r="M81" s="49" t="str">
        <f t="shared" si="11"/>
        <v/>
      </c>
      <c r="N81" s="49" t="str">
        <f t="shared" si="11"/>
        <v/>
      </c>
    </row>
    <row r="82" spans="1:14" s="43" customFormat="1" hidden="1" x14ac:dyDescent="0.3">
      <c r="A82" s="168">
        <v>46146</v>
      </c>
      <c r="B82" s="64">
        <v>46146.386805555601</v>
      </c>
      <c r="C82" s="142">
        <f t="shared" si="7"/>
        <v>46146.386805555601</v>
      </c>
      <c r="D82" s="19" t="s">
        <v>29</v>
      </c>
      <c r="E82" s="7" t="s">
        <v>15</v>
      </c>
      <c r="F82" s="114" t="s">
        <v>93</v>
      </c>
      <c r="G82" s="115">
        <v>0.53</v>
      </c>
      <c r="H82" s="116">
        <v>0.54</v>
      </c>
      <c r="I82" s="46" t="str">
        <f t="shared" si="8"/>
        <v/>
      </c>
      <c r="J82" s="46" t="str">
        <f t="shared" si="9"/>
        <v/>
      </c>
      <c r="K82" s="46">
        <f t="shared" si="10"/>
        <v>1.0000000000000009E-2</v>
      </c>
      <c r="L82" s="49" t="str">
        <f t="shared" si="11"/>
        <v/>
      </c>
      <c r="M82" s="49" t="str">
        <f t="shared" si="11"/>
        <v/>
      </c>
      <c r="N82" s="49" t="str">
        <f t="shared" si="11"/>
        <v>Within Tolerance</v>
      </c>
    </row>
    <row r="83" spans="1:14" s="43" customFormat="1" hidden="1" x14ac:dyDescent="0.3">
      <c r="A83" s="169">
        <v>46146</v>
      </c>
      <c r="B83" s="64">
        <v>46146.4375</v>
      </c>
      <c r="C83" s="142">
        <f t="shared" si="7"/>
        <v>46146.4375</v>
      </c>
      <c r="D83" s="19" t="s">
        <v>29</v>
      </c>
      <c r="E83" s="7" t="s">
        <v>15</v>
      </c>
      <c r="F83" s="116">
        <v>0.54</v>
      </c>
      <c r="G83" s="115">
        <v>0.54</v>
      </c>
      <c r="H83" s="116">
        <v>0.52</v>
      </c>
      <c r="I83" s="46">
        <f t="shared" si="8"/>
        <v>0</v>
      </c>
      <c r="J83" s="46">
        <f t="shared" si="9"/>
        <v>-2.0000000000000018E-2</v>
      </c>
      <c r="K83" s="46">
        <f t="shared" si="10"/>
        <v>-2.0000000000000018E-2</v>
      </c>
      <c r="L83" s="49" t="str">
        <f t="shared" si="11"/>
        <v>Within Tolerance</v>
      </c>
      <c r="M83" s="49" t="str">
        <f t="shared" si="11"/>
        <v>Within Tolerance</v>
      </c>
      <c r="N83" s="49" t="str">
        <f t="shared" si="11"/>
        <v>Within Tolerance</v>
      </c>
    </row>
    <row r="84" spans="1:14" s="43" customFormat="1" hidden="1" x14ac:dyDescent="0.3">
      <c r="A84" s="168">
        <v>46146</v>
      </c>
      <c r="B84" s="64">
        <v>46146.520833333299</v>
      </c>
      <c r="C84" s="142">
        <f t="shared" si="7"/>
        <v>46146.520833333299</v>
      </c>
      <c r="D84" s="19" t="s">
        <v>29</v>
      </c>
      <c r="E84" s="7" t="s">
        <v>15</v>
      </c>
      <c r="F84" s="114" t="s">
        <v>93</v>
      </c>
      <c r="G84" s="115">
        <v>0.53</v>
      </c>
      <c r="H84" s="116">
        <v>0.52</v>
      </c>
      <c r="I84" s="46" t="str">
        <f t="shared" si="8"/>
        <v/>
      </c>
      <c r="J84" s="46" t="str">
        <f t="shared" si="9"/>
        <v/>
      </c>
      <c r="K84" s="46">
        <f t="shared" si="10"/>
        <v>-1.0000000000000009E-2</v>
      </c>
      <c r="L84" s="49" t="str">
        <f t="shared" si="11"/>
        <v/>
      </c>
      <c r="M84" s="49" t="str">
        <f t="shared" si="11"/>
        <v/>
      </c>
      <c r="N84" s="49" t="str">
        <f t="shared" si="11"/>
        <v>Within Tolerance</v>
      </c>
    </row>
    <row r="85" spans="1:14" s="43" customFormat="1" hidden="1" x14ac:dyDescent="0.3">
      <c r="A85" s="169">
        <v>46146</v>
      </c>
      <c r="B85" s="64">
        <v>46146.604166666701</v>
      </c>
      <c r="C85" s="142">
        <f t="shared" si="7"/>
        <v>46146.604166666701</v>
      </c>
      <c r="D85" s="19" t="s">
        <v>29</v>
      </c>
      <c r="E85" s="7" t="s">
        <v>15</v>
      </c>
      <c r="F85" s="114" t="s">
        <v>93</v>
      </c>
      <c r="G85" s="115">
        <v>0.52</v>
      </c>
      <c r="H85" s="116">
        <v>0.52</v>
      </c>
      <c r="I85" s="46" t="str">
        <f t="shared" si="8"/>
        <v/>
      </c>
      <c r="J85" s="46" t="str">
        <f t="shared" si="9"/>
        <v/>
      </c>
      <c r="K85" s="46">
        <f t="shared" si="10"/>
        <v>0</v>
      </c>
      <c r="L85" s="49" t="str">
        <f t="shared" si="11"/>
        <v/>
      </c>
      <c r="M85" s="49" t="str">
        <f t="shared" si="11"/>
        <v/>
      </c>
      <c r="N85" s="49" t="str">
        <f t="shared" si="11"/>
        <v>Within Tolerance</v>
      </c>
    </row>
    <row r="86" spans="1:14" s="43" customFormat="1" hidden="1" x14ac:dyDescent="0.3">
      <c r="A86" s="168">
        <v>46146</v>
      </c>
      <c r="B86" s="64">
        <v>46146.666666666701</v>
      </c>
      <c r="C86" s="142">
        <f t="shared" si="7"/>
        <v>46146.666666666701</v>
      </c>
      <c r="D86" s="19" t="s">
        <v>29</v>
      </c>
      <c r="E86" s="7" t="s">
        <v>15</v>
      </c>
      <c r="F86" s="116">
        <v>0.56999999999999995</v>
      </c>
      <c r="G86" s="115">
        <v>0.52</v>
      </c>
      <c r="H86" s="116">
        <v>0.53</v>
      </c>
      <c r="I86" s="46">
        <f t="shared" si="8"/>
        <v>-4.9999999999999933E-2</v>
      </c>
      <c r="J86" s="46">
        <f t="shared" si="9"/>
        <v>-3.9999999999999925E-2</v>
      </c>
      <c r="K86" s="46">
        <f t="shared" si="10"/>
        <v>1.0000000000000009E-2</v>
      </c>
      <c r="L86" s="49" t="str">
        <f t="shared" si="11"/>
        <v>Out of Tolerance</v>
      </c>
      <c r="M86" s="49" t="str">
        <f t="shared" si="11"/>
        <v>Out of Tolerance</v>
      </c>
      <c r="N86" s="49" t="str">
        <f t="shared" si="11"/>
        <v>Within Tolerance</v>
      </c>
    </row>
    <row r="87" spans="1:14" s="43" customFormat="1" hidden="1" x14ac:dyDescent="0.3">
      <c r="A87" s="169">
        <v>46146</v>
      </c>
      <c r="B87" s="64">
        <v>46146.75</v>
      </c>
      <c r="C87" s="142">
        <f t="shared" si="7"/>
        <v>46146.75</v>
      </c>
      <c r="D87" s="19" t="s">
        <v>29</v>
      </c>
      <c r="E87" s="7" t="s">
        <v>15</v>
      </c>
      <c r="F87" s="114" t="s">
        <v>93</v>
      </c>
      <c r="G87" s="115">
        <v>0.54</v>
      </c>
      <c r="H87" s="116">
        <v>0.53</v>
      </c>
      <c r="I87" s="46" t="str">
        <f t="shared" si="8"/>
        <v/>
      </c>
      <c r="J87" s="46" t="str">
        <f t="shared" si="9"/>
        <v/>
      </c>
      <c r="K87" s="46">
        <f t="shared" si="10"/>
        <v>-1.0000000000000009E-2</v>
      </c>
      <c r="L87" s="49" t="str">
        <f t="shared" si="11"/>
        <v/>
      </c>
      <c r="M87" s="49" t="str">
        <f t="shared" si="11"/>
        <v/>
      </c>
      <c r="N87" s="49" t="str">
        <f t="shared" si="11"/>
        <v>Within Tolerance</v>
      </c>
    </row>
    <row r="88" spans="1:14" s="43" customFormat="1" hidden="1" x14ac:dyDescent="0.3">
      <c r="A88" s="168">
        <v>46146</v>
      </c>
      <c r="B88" s="64">
        <v>46146.833333333299</v>
      </c>
      <c r="C88" s="142">
        <f t="shared" si="7"/>
        <v>46146.833333333299</v>
      </c>
      <c r="D88" s="19" t="s">
        <v>29</v>
      </c>
      <c r="E88" s="7" t="s">
        <v>15</v>
      </c>
      <c r="F88" s="114" t="s">
        <v>93</v>
      </c>
      <c r="G88" s="115">
        <v>0.54</v>
      </c>
      <c r="H88" s="116">
        <v>0.53</v>
      </c>
      <c r="I88" s="46" t="str">
        <f t="shared" si="8"/>
        <v/>
      </c>
      <c r="J88" s="46" t="str">
        <f t="shared" si="9"/>
        <v/>
      </c>
      <c r="K88" s="46">
        <f t="shared" si="10"/>
        <v>-1.0000000000000009E-2</v>
      </c>
      <c r="L88" s="49" t="str">
        <f t="shared" si="11"/>
        <v/>
      </c>
      <c r="M88" s="49" t="str">
        <f t="shared" si="11"/>
        <v/>
      </c>
      <c r="N88" s="49" t="str">
        <f t="shared" si="11"/>
        <v>Within Tolerance</v>
      </c>
    </row>
    <row r="89" spans="1:14" s="43" customFormat="1" x14ac:dyDescent="0.3">
      <c r="A89" s="169">
        <v>46146</v>
      </c>
      <c r="B89" s="64">
        <v>46146.899305555598</v>
      </c>
      <c r="C89" s="142">
        <f t="shared" si="7"/>
        <v>46146.899305555598</v>
      </c>
      <c r="D89" s="19" t="s">
        <v>16</v>
      </c>
      <c r="E89" s="7" t="s">
        <v>15</v>
      </c>
      <c r="F89" s="114" t="s">
        <v>93</v>
      </c>
      <c r="G89" s="115">
        <v>0.44</v>
      </c>
      <c r="H89" s="114" t="s">
        <v>93</v>
      </c>
      <c r="I89" s="46" t="str">
        <f t="shared" si="8"/>
        <v/>
      </c>
      <c r="J89" s="46" t="str">
        <f t="shared" si="9"/>
        <v/>
      </c>
      <c r="K89" s="46" t="str">
        <f t="shared" si="10"/>
        <v/>
      </c>
      <c r="L89" s="49" t="str">
        <f t="shared" si="11"/>
        <v/>
      </c>
      <c r="M89" s="49" t="str">
        <f t="shared" si="11"/>
        <v/>
      </c>
      <c r="N89" s="49" t="str">
        <f t="shared" si="11"/>
        <v/>
      </c>
    </row>
    <row r="90" spans="1:14" s="43" customFormat="1" hidden="1" x14ac:dyDescent="0.3">
      <c r="A90" s="168">
        <v>46147</v>
      </c>
      <c r="B90" s="64">
        <v>46147</v>
      </c>
      <c r="C90" s="142">
        <f t="shared" si="7"/>
        <v>46147</v>
      </c>
      <c r="D90" s="19" t="s">
        <v>16</v>
      </c>
      <c r="E90" s="7" t="s">
        <v>15</v>
      </c>
      <c r="F90" s="116">
        <v>0.47</v>
      </c>
      <c r="G90" s="115">
        <v>0.46</v>
      </c>
      <c r="H90" s="116">
        <v>0.51</v>
      </c>
      <c r="I90" s="46">
        <f t="shared" si="8"/>
        <v>-9.9999999999999534E-3</v>
      </c>
      <c r="J90" s="46">
        <f t="shared" si="9"/>
        <v>4.0000000000000036E-2</v>
      </c>
      <c r="K90" s="46">
        <f t="shared" si="10"/>
        <v>4.9999999999999989E-2</v>
      </c>
      <c r="L90" s="49" t="str">
        <f t="shared" si="11"/>
        <v>Within Tolerance</v>
      </c>
      <c r="M90" s="49" t="str">
        <f t="shared" si="11"/>
        <v>Out of Tolerance</v>
      </c>
      <c r="N90" s="49" t="str">
        <f t="shared" si="11"/>
        <v>Out of Tolerance</v>
      </c>
    </row>
    <row r="91" spans="1:14" s="43" customFormat="1" hidden="1" x14ac:dyDescent="0.3">
      <c r="A91" s="169">
        <v>46147</v>
      </c>
      <c r="B91" s="64">
        <v>46147.145833333299</v>
      </c>
      <c r="C91" s="142">
        <f t="shared" si="7"/>
        <v>46147.145833333299</v>
      </c>
      <c r="D91" s="19" t="s">
        <v>16</v>
      </c>
      <c r="E91" s="7" t="s">
        <v>15</v>
      </c>
      <c r="F91" s="114" t="s">
        <v>93</v>
      </c>
      <c r="G91" s="115">
        <v>0.48</v>
      </c>
      <c r="H91" s="116">
        <v>0.5</v>
      </c>
      <c r="I91" s="46" t="str">
        <f t="shared" si="8"/>
        <v/>
      </c>
      <c r="J91" s="46" t="str">
        <f t="shared" si="9"/>
        <v/>
      </c>
      <c r="K91" s="46">
        <f t="shared" si="10"/>
        <v>2.0000000000000018E-2</v>
      </c>
      <c r="L91" s="49" t="str">
        <f t="shared" si="11"/>
        <v/>
      </c>
      <c r="M91" s="49" t="str">
        <f t="shared" si="11"/>
        <v/>
      </c>
      <c r="N91" s="49" t="str">
        <f t="shared" si="11"/>
        <v>Within Tolerance</v>
      </c>
    </row>
    <row r="92" spans="1:14" s="43" customFormat="1" hidden="1" x14ac:dyDescent="0.3">
      <c r="A92" s="168">
        <v>46147</v>
      </c>
      <c r="B92" s="64">
        <v>46147.25</v>
      </c>
      <c r="C92" s="142">
        <f t="shared" si="7"/>
        <v>46147.25</v>
      </c>
      <c r="D92" s="19" t="s">
        <v>16</v>
      </c>
      <c r="E92" s="7" t="s">
        <v>15</v>
      </c>
      <c r="F92" s="114" t="s">
        <v>93</v>
      </c>
      <c r="G92" s="115">
        <v>0.46</v>
      </c>
      <c r="H92" s="116">
        <v>0.5</v>
      </c>
      <c r="I92" s="46" t="str">
        <f t="shared" si="8"/>
        <v/>
      </c>
      <c r="J92" s="46" t="str">
        <f t="shared" si="9"/>
        <v/>
      </c>
      <c r="K92" s="46">
        <f t="shared" si="10"/>
        <v>3.999999999999998E-2</v>
      </c>
      <c r="L92" s="49" t="str">
        <f t="shared" si="11"/>
        <v/>
      </c>
      <c r="M92" s="49" t="str">
        <f t="shared" si="11"/>
        <v/>
      </c>
      <c r="N92" s="49" t="str">
        <f t="shared" si="11"/>
        <v>Out of Tolerance</v>
      </c>
    </row>
    <row r="93" spans="1:14" s="43" customFormat="1" hidden="1" x14ac:dyDescent="0.3">
      <c r="A93" s="169">
        <v>46146</v>
      </c>
      <c r="B93" s="64">
        <v>46146.434027777803</v>
      </c>
      <c r="C93" s="142">
        <f t="shared" si="7"/>
        <v>46146.434027777803</v>
      </c>
      <c r="D93" s="19" t="s">
        <v>34</v>
      </c>
      <c r="E93" s="7" t="s">
        <v>19</v>
      </c>
      <c r="F93" s="116">
        <v>0.54</v>
      </c>
      <c r="G93" s="115">
        <v>0.56000000000000005</v>
      </c>
      <c r="H93" s="116">
        <v>0.54</v>
      </c>
      <c r="I93" s="46">
        <f t="shared" si="8"/>
        <v>2.0000000000000018E-2</v>
      </c>
      <c r="J93" s="46">
        <f t="shared" si="9"/>
        <v>0</v>
      </c>
      <c r="K93" s="46">
        <f t="shared" si="10"/>
        <v>-2.0000000000000018E-2</v>
      </c>
      <c r="L93" s="49" t="str">
        <f t="shared" si="11"/>
        <v>Within Tolerance</v>
      </c>
      <c r="M93" s="49" t="str">
        <f t="shared" si="11"/>
        <v>Within Tolerance</v>
      </c>
      <c r="N93" s="49" t="str">
        <f t="shared" si="11"/>
        <v>Within Tolerance</v>
      </c>
    </row>
    <row r="94" spans="1:14" s="43" customFormat="1" hidden="1" x14ac:dyDescent="0.3">
      <c r="A94" s="168">
        <v>46146</v>
      </c>
      <c r="B94" s="64">
        <v>46146.541666666701</v>
      </c>
      <c r="C94" s="142">
        <f t="shared" si="7"/>
        <v>46146.541666666701</v>
      </c>
      <c r="D94" s="19" t="s">
        <v>21</v>
      </c>
      <c r="E94" s="7" t="s">
        <v>19</v>
      </c>
      <c r="F94" s="116">
        <v>0.55000000000000004</v>
      </c>
      <c r="G94" s="115">
        <v>0.56000000000000005</v>
      </c>
      <c r="H94" s="116">
        <v>0.55000000000000004</v>
      </c>
      <c r="I94" s="46">
        <f t="shared" si="8"/>
        <v>1.0000000000000009E-2</v>
      </c>
      <c r="J94" s="46">
        <f t="shared" si="9"/>
        <v>0</v>
      </c>
      <c r="K94" s="46">
        <f t="shared" si="10"/>
        <v>-1.0000000000000009E-2</v>
      </c>
      <c r="L94" s="49" t="str">
        <f t="shared" si="11"/>
        <v>Within Tolerance</v>
      </c>
      <c r="M94" s="49" t="str">
        <f t="shared" si="11"/>
        <v>Within Tolerance</v>
      </c>
      <c r="N94" s="49" t="str">
        <f t="shared" si="11"/>
        <v>Within Tolerance</v>
      </c>
    </row>
    <row r="95" spans="1:14" s="43" customFormat="1" hidden="1" x14ac:dyDescent="0.3">
      <c r="A95" s="169">
        <v>46146</v>
      </c>
      <c r="B95" s="64">
        <v>46146.659722222197</v>
      </c>
      <c r="C95" s="142">
        <f t="shared" si="7"/>
        <v>46146.659722222197</v>
      </c>
      <c r="D95" s="7" t="s">
        <v>31</v>
      </c>
      <c r="E95" s="7" t="s">
        <v>19</v>
      </c>
      <c r="F95" s="116">
        <v>0.57999999999999996</v>
      </c>
      <c r="G95" s="115">
        <v>0.59</v>
      </c>
      <c r="H95" s="116">
        <v>0.56999999999999995</v>
      </c>
      <c r="I95" s="46">
        <f t="shared" si="8"/>
        <v>1.0000000000000009E-2</v>
      </c>
      <c r="J95" s="46">
        <f t="shared" si="9"/>
        <v>-1.0000000000000009E-2</v>
      </c>
      <c r="K95" s="46">
        <f t="shared" si="10"/>
        <v>-2.0000000000000018E-2</v>
      </c>
      <c r="L95" s="49" t="str">
        <f t="shared" si="11"/>
        <v>Within Tolerance</v>
      </c>
      <c r="M95" s="49" t="str">
        <f t="shared" si="11"/>
        <v>Within Tolerance</v>
      </c>
      <c r="N95" s="49" t="str">
        <f t="shared" si="11"/>
        <v>Within Tolerance</v>
      </c>
    </row>
    <row r="96" spans="1:14" s="43" customFormat="1" hidden="1" x14ac:dyDescent="0.3">
      <c r="A96" s="168">
        <v>46146</v>
      </c>
      <c r="B96" s="64">
        <v>46146.802083333299</v>
      </c>
      <c r="C96" s="142">
        <f t="shared" si="7"/>
        <v>46146.802083333299</v>
      </c>
      <c r="D96" s="19" t="s">
        <v>36</v>
      </c>
      <c r="E96" s="7" t="s">
        <v>19</v>
      </c>
      <c r="F96" s="116">
        <v>0.41</v>
      </c>
      <c r="G96" s="115">
        <v>0.41</v>
      </c>
      <c r="H96" s="116">
        <v>0.4</v>
      </c>
      <c r="I96" s="46">
        <f t="shared" si="8"/>
        <v>0</v>
      </c>
      <c r="J96" s="46">
        <f t="shared" si="9"/>
        <v>-9.9999999999999534E-3</v>
      </c>
      <c r="K96" s="46">
        <f t="shared" si="10"/>
        <v>-9.9999999999999534E-3</v>
      </c>
      <c r="L96" s="49" t="str">
        <f t="shared" si="11"/>
        <v>Within Tolerance</v>
      </c>
      <c r="M96" s="49" t="str">
        <f t="shared" si="11"/>
        <v>Within Tolerance</v>
      </c>
      <c r="N96" s="49" t="str">
        <f t="shared" si="11"/>
        <v>Within Tolerance</v>
      </c>
    </row>
    <row r="97" spans="1:14" s="43" customFormat="1" x14ac:dyDescent="0.3">
      <c r="A97" s="169">
        <v>46146</v>
      </c>
      <c r="B97" s="64">
        <v>46146.461805555598</v>
      </c>
      <c r="C97" s="142">
        <f t="shared" si="7"/>
        <v>46146.461805555598</v>
      </c>
      <c r="D97" s="19" t="s">
        <v>45</v>
      </c>
      <c r="E97" s="7" t="s">
        <v>24</v>
      </c>
      <c r="F97" s="114" t="s">
        <v>93</v>
      </c>
      <c r="G97" s="117" t="s">
        <v>93</v>
      </c>
      <c r="H97" s="114" t="s">
        <v>93</v>
      </c>
      <c r="I97" s="46" t="str">
        <f t="shared" si="8"/>
        <v/>
      </c>
      <c r="J97" s="46" t="str">
        <f t="shared" si="9"/>
        <v/>
      </c>
      <c r="K97" s="46" t="str">
        <f t="shared" si="10"/>
        <v/>
      </c>
      <c r="L97" s="49" t="str">
        <f t="shared" si="11"/>
        <v/>
      </c>
      <c r="M97" s="49" t="str">
        <f t="shared" si="11"/>
        <v/>
      </c>
      <c r="N97" s="49" t="str">
        <f t="shared" si="11"/>
        <v/>
      </c>
    </row>
    <row r="98" spans="1:14" s="43" customFormat="1" hidden="1" x14ac:dyDescent="0.3">
      <c r="A98" s="168">
        <v>46146</v>
      </c>
      <c r="B98" s="64">
        <v>46146.506944444402</v>
      </c>
      <c r="C98" s="142">
        <f t="shared" si="7"/>
        <v>46146.506944444402</v>
      </c>
      <c r="D98" s="7" t="s">
        <v>25</v>
      </c>
      <c r="E98" s="7" t="s">
        <v>24</v>
      </c>
      <c r="F98" s="116">
        <v>0.57999999999999996</v>
      </c>
      <c r="G98" s="115">
        <v>0.56000000000000005</v>
      </c>
      <c r="H98" s="116">
        <v>0.56999999999999995</v>
      </c>
      <c r="I98" s="46">
        <f t="shared" si="8"/>
        <v>-1.9999999999999907E-2</v>
      </c>
      <c r="J98" s="46">
        <f t="shared" si="9"/>
        <v>-1.0000000000000009E-2</v>
      </c>
      <c r="K98" s="46">
        <f t="shared" si="10"/>
        <v>9.9999999999998979E-3</v>
      </c>
      <c r="L98" s="49" t="str">
        <f t="shared" si="11"/>
        <v>Within Tolerance</v>
      </c>
      <c r="M98" s="49" t="str">
        <f t="shared" si="11"/>
        <v>Within Tolerance</v>
      </c>
      <c r="N98" s="49" t="str">
        <f t="shared" si="11"/>
        <v>Within Tolerance</v>
      </c>
    </row>
    <row r="99" spans="1:14" s="43" customFormat="1" hidden="1" x14ac:dyDescent="0.3">
      <c r="A99" s="169">
        <v>46146</v>
      </c>
      <c r="B99" s="64">
        <v>46146.576388888898</v>
      </c>
      <c r="C99" s="142">
        <f t="shared" si="7"/>
        <v>46146.576388888898</v>
      </c>
      <c r="D99" s="19" t="s">
        <v>23</v>
      </c>
      <c r="E99" s="7" t="s">
        <v>24</v>
      </c>
      <c r="F99" s="116">
        <v>0.56000000000000005</v>
      </c>
      <c r="G99" s="115">
        <v>0.56000000000000005</v>
      </c>
      <c r="H99" s="116">
        <v>0.56999999999999995</v>
      </c>
      <c r="I99" s="46">
        <f t="shared" si="8"/>
        <v>0</v>
      </c>
      <c r="J99" s="46">
        <f t="shared" si="9"/>
        <v>9.9999999999998979E-3</v>
      </c>
      <c r="K99" s="46">
        <f t="shared" si="10"/>
        <v>9.9999999999998979E-3</v>
      </c>
      <c r="L99" s="49" t="str">
        <f t="shared" si="11"/>
        <v>Within Tolerance</v>
      </c>
      <c r="M99" s="49" t="str">
        <f t="shared" si="11"/>
        <v>Within Tolerance</v>
      </c>
      <c r="N99" s="49" t="str">
        <f t="shared" si="11"/>
        <v>Within Tolerance</v>
      </c>
    </row>
    <row r="100" spans="1:14" s="43" customFormat="1" hidden="1" x14ac:dyDescent="0.3">
      <c r="A100" s="168">
        <v>46146</v>
      </c>
      <c r="B100" s="64">
        <v>46146.659722222197</v>
      </c>
      <c r="C100" s="142">
        <f t="shared" si="7"/>
        <v>46146.659722222197</v>
      </c>
      <c r="D100" s="7" t="s">
        <v>26</v>
      </c>
      <c r="E100" s="7" t="s">
        <v>24</v>
      </c>
      <c r="F100" s="116">
        <v>0.64</v>
      </c>
      <c r="G100" s="115">
        <v>0.6</v>
      </c>
      <c r="H100" s="116">
        <v>0.64</v>
      </c>
      <c r="I100" s="46">
        <f t="shared" si="8"/>
        <v>-4.0000000000000036E-2</v>
      </c>
      <c r="J100" s="46">
        <f t="shared" si="9"/>
        <v>0</v>
      </c>
      <c r="K100" s="46">
        <f t="shared" si="10"/>
        <v>4.0000000000000036E-2</v>
      </c>
      <c r="L100" s="49" t="str">
        <f t="shared" si="11"/>
        <v>Out of Tolerance</v>
      </c>
      <c r="M100" s="49" t="str">
        <f t="shared" si="11"/>
        <v>Within Tolerance</v>
      </c>
      <c r="N100" s="49" t="str">
        <f t="shared" si="11"/>
        <v>Out of Tolerance</v>
      </c>
    </row>
    <row r="101" spans="1:14" s="43" customFormat="1" hidden="1" x14ac:dyDescent="0.3">
      <c r="A101" s="169">
        <v>46147</v>
      </c>
      <c r="B101" s="64">
        <v>46147.347222222197</v>
      </c>
      <c r="C101" s="142">
        <f t="shared" si="7"/>
        <v>46147.347222222197</v>
      </c>
      <c r="D101" s="7" t="s">
        <v>28</v>
      </c>
      <c r="E101" s="7" t="s">
        <v>15</v>
      </c>
      <c r="F101" s="114" t="s">
        <v>93</v>
      </c>
      <c r="G101" s="115">
        <v>0.54</v>
      </c>
      <c r="H101" s="116">
        <v>0.54</v>
      </c>
      <c r="I101" s="46" t="str">
        <f t="shared" si="8"/>
        <v/>
      </c>
      <c r="J101" s="46" t="str">
        <f t="shared" si="9"/>
        <v/>
      </c>
      <c r="K101" s="46">
        <f t="shared" si="10"/>
        <v>0</v>
      </c>
      <c r="L101" s="49" t="str">
        <f t="shared" si="11"/>
        <v/>
      </c>
      <c r="M101" s="49" t="str">
        <f t="shared" si="11"/>
        <v/>
      </c>
      <c r="N101" s="49" t="str">
        <f t="shared" si="11"/>
        <v>Within Tolerance</v>
      </c>
    </row>
    <row r="102" spans="1:14" s="43" customFormat="1" hidden="1" x14ac:dyDescent="0.3">
      <c r="A102" s="168">
        <v>46147</v>
      </c>
      <c r="B102" s="64">
        <v>46147.395833333299</v>
      </c>
      <c r="C102" s="142">
        <f t="shared" si="7"/>
        <v>46147.395833333299</v>
      </c>
      <c r="D102" s="7" t="s">
        <v>28</v>
      </c>
      <c r="E102" s="7" t="s">
        <v>15</v>
      </c>
      <c r="F102" s="116">
        <v>0.52</v>
      </c>
      <c r="G102" s="115">
        <v>0.55000000000000004</v>
      </c>
      <c r="H102" s="116">
        <v>0.52</v>
      </c>
      <c r="I102" s="46">
        <f t="shared" si="8"/>
        <v>3.0000000000000027E-2</v>
      </c>
      <c r="J102" s="46">
        <f t="shared" si="9"/>
        <v>0</v>
      </c>
      <c r="K102" s="46">
        <f t="shared" si="10"/>
        <v>-3.0000000000000027E-2</v>
      </c>
      <c r="L102" s="49" t="str">
        <f t="shared" si="11"/>
        <v>Out of Tolerance</v>
      </c>
      <c r="M102" s="49" t="str">
        <f t="shared" si="11"/>
        <v>Within Tolerance</v>
      </c>
      <c r="N102" s="49" t="str">
        <f t="shared" si="11"/>
        <v>Out of Tolerance</v>
      </c>
    </row>
    <row r="103" spans="1:14" s="43" customFormat="1" hidden="1" x14ac:dyDescent="0.3">
      <c r="A103" s="169">
        <v>46147</v>
      </c>
      <c r="B103" s="64">
        <v>46147.447916666701</v>
      </c>
      <c r="C103" s="142">
        <f t="shared" si="7"/>
        <v>46147.447916666701</v>
      </c>
      <c r="D103" s="7" t="s">
        <v>28</v>
      </c>
      <c r="E103" s="7" t="s">
        <v>15</v>
      </c>
      <c r="F103" s="114" t="s">
        <v>93</v>
      </c>
      <c r="G103" s="115">
        <v>0.54</v>
      </c>
      <c r="H103" s="116">
        <v>0.56000000000000005</v>
      </c>
      <c r="I103" s="46" t="str">
        <f t="shared" si="8"/>
        <v/>
      </c>
      <c r="J103" s="46" t="str">
        <f t="shared" si="9"/>
        <v/>
      </c>
      <c r="K103" s="46">
        <f t="shared" si="10"/>
        <v>2.0000000000000018E-2</v>
      </c>
      <c r="L103" s="49" t="str">
        <f t="shared" si="11"/>
        <v/>
      </c>
      <c r="M103" s="49" t="str">
        <f t="shared" si="11"/>
        <v/>
      </c>
      <c r="N103" s="49" t="str">
        <f t="shared" si="11"/>
        <v>Within Tolerance</v>
      </c>
    </row>
    <row r="104" spans="1:14" s="43" customFormat="1" hidden="1" x14ac:dyDescent="0.3">
      <c r="A104" s="168">
        <v>46147</v>
      </c>
      <c r="B104" s="64">
        <v>46147.46875</v>
      </c>
      <c r="C104" s="142">
        <f t="shared" si="7"/>
        <v>46147.46875</v>
      </c>
      <c r="D104" s="19" t="s">
        <v>40</v>
      </c>
      <c r="E104" s="7" t="s">
        <v>15</v>
      </c>
      <c r="F104" s="114" t="s">
        <v>93</v>
      </c>
      <c r="G104" s="115">
        <v>0.54</v>
      </c>
      <c r="H104" s="116">
        <v>0.54</v>
      </c>
      <c r="I104" s="46" t="str">
        <f t="shared" si="8"/>
        <v/>
      </c>
      <c r="J104" s="46" t="str">
        <f t="shared" si="9"/>
        <v/>
      </c>
      <c r="K104" s="46">
        <f t="shared" si="10"/>
        <v>0</v>
      </c>
      <c r="L104" s="49" t="str">
        <f t="shared" si="11"/>
        <v/>
      </c>
      <c r="M104" s="49" t="str">
        <f t="shared" si="11"/>
        <v/>
      </c>
      <c r="N104" s="49" t="str">
        <f t="shared" si="11"/>
        <v>Within Tolerance</v>
      </c>
    </row>
    <row r="105" spans="1:14" s="43" customFormat="1" x14ac:dyDescent="0.3">
      <c r="A105" s="169">
        <v>46147</v>
      </c>
      <c r="B105" s="64">
        <v>46147.520833333299</v>
      </c>
      <c r="C105" s="142">
        <f t="shared" si="7"/>
        <v>46147.520833333299</v>
      </c>
      <c r="D105" s="19" t="s">
        <v>40</v>
      </c>
      <c r="E105" s="7" t="s">
        <v>15</v>
      </c>
      <c r="F105" s="114" t="s">
        <v>93</v>
      </c>
      <c r="G105" s="115">
        <v>0.53</v>
      </c>
      <c r="H105" s="116"/>
      <c r="I105" s="46" t="str">
        <f t="shared" si="8"/>
        <v/>
      </c>
      <c r="J105" s="46" t="str">
        <f t="shared" si="9"/>
        <v/>
      </c>
      <c r="K105" s="46" t="str">
        <f t="shared" si="10"/>
        <v/>
      </c>
      <c r="L105" s="49" t="str">
        <f t="shared" si="11"/>
        <v/>
      </c>
      <c r="M105" s="49" t="str">
        <f t="shared" si="11"/>
        <v/>
      </c>
      <c r="N105" s="49" t="str">
        <f t="shared" si="11"/>
        <v/>
      </c>
    </row>
    <row r="106" spans="1:14" s="43" customFormat="1" hidden="1" x14ac:dyDescent="0.3">
      <c r="A106" s="168">
        <v>46147</v>
      </c>
      <c r="B106" s="64">
        <v>46147.583333333299</v>
      </c>
      <c r="C106" s="142">
        <f t="shared" si="7"/>
        <v>46147.583333333299</v>
      </c>
      <c r="D106" s="19" t="s">
        <v>40</v>
      </c>
      <c r="E106" s="7" t="s">
        <v>15</v>
      </c>
      <c r="F106" s="114" t="s">
        <v>93</v>
      </c>
      <c r="G106" s="115">
        <v>0.53</v>
      </c>
      <c r="H106" s="116">
        <v>0.54</v>
      </c>
      <c r="I106" s="46" t="str">
        <f t="shared" si="8"/>
        <v/>
      </c>
      <c r="J106" s="46" t="str">
        <f t="shared" si="9"/>
        <v/>
      </c>
      <c r="K106" s="46">
        <f t="shared" si="10"/>
        <v>1.0000000000000009E-2</v>
      </c>
      <c r="L106" s="49" t="str">
        <f t="shared" si="11"/>
        <v/>
      </c>
      <c r="M106" s="49" t="str">
        <f t="shared" si="11"/>
        <v/>
      </c>
      <c r="N106" s="49" t="str">
        <f t="shared" si="11"/>
        <v>Within Tolerance</v>
      </c>
    </row>
    <row r="107" spans="1:14" s="43" customFormat="1" hidden="1" x14ac:dyDescent="0.3">
      <c r="A107" s="169">
        <v>46147</v>
      </c>
      <c r="B107" s="64">
        <v>46147.666666666701</v>
      </c>
      <c r="C107" s="142">
        <f t="shared" si="7"/>
        <v>46147.666666666701</v>
      </c>
      <c r="D107" s="19" t="s">
        <v>40</v>
      </c>
      <c r="E107" s="7" t="s">
        <v>15</v>
      </c>
      <c r="F107" s="116">
        <v>0.52</v>
      </c>
      <c r="G107" s="115">
        <v>0.56999999999999995</v>
      </c>
      <c r="H107" s="116">
        <v>0.55000000000000004</v>
      </c>
      <c r="I107" s="46">
        <f t="shared" si="8"/>
        <v>4.9999999999999933E-2</v>
      </c>
      <c r="J107" s="46">
        <f t="shared" si="9"/>
        <v>3.0000000000000027E-2</v>
      </c>
      <c r="K107" s="46">
        <f t="shared" si="10"/>
        <v>-1.9999999999999907E-2</v>
      </c>
      <c r="L107" s="49" t="str">
        <f t="shared" si="11"/>
        <v>Out of Tolerance</v>
      </c>
      <c r="M107" s="49" t="str">
        <f t="shared" si="11"/>
        <v>Out of Tolerance</v>
      </c>
      <c r="N107" s="49" t="str">
        <f t="shared" si="11"/>
        <v>Within Tolerance</v>
      </c>
    </row>
    <row r="108" spans="1:14" s="43" customFormat="1" hidden="1" x14ac:dyDescent="0.3">
      <c r="A108" s="168">
        <v>46147</v>
      </c>
      <c r="B108" s="64">
        <v>46147.75</v>
      </c>
      <c r="C108" s="142">
        <f t="shared" si="7"/>
        <v>46147.75</v>
      </c>
      <c r="D108" s="19" t="s">
        <v>40</v>
      </c>
      <c r="E108" s="7" t="s">
        <v>15</v>
      </c>
      <c r="F108" s="114" t="s">
        <v>93</v>
      </c>
      <c r="G108" s="115">
        <v>0.56000000000000005</v>
      </c>
      <c r="H108" s="116">
        <v>0.54</v>
      </c>
      <c r="I108" s="46" t="str">
        <f t="shared" si="8"/>
        <v/>
      </c>
      <c r="J108" s="46" t="str">
        <f t="shared" si="9"/>
        <v/>
      </c>
      <c r="K108" s="46">
        <f t="shared" si="10"/>
        <v>-2.0000000000000018E-2</v>
      </c>
      <c r="L108" s="49" t="str">
        <f t="shared" si="11"/>
        <v/>
      </c>
      <c r="M108" s="49" t="str">
        <f t="shared" si="11"/>
        <v/>
      </c>
      <c r="N108" s="49" t="str">
        <f t="shared" si="11"/>
        <v>Within Tolerance</v>
      </c>
    </row>
    <row r="109" spans="1:14" s="43" customFormat="1" hidden="1" x14ac:dyDescent="0.3">
      <c r="A109" s="169">
        <v>46147</v>
      </c>
      <c r="B109" s="64">
        <v>46147.833333333299</v>
      </c>
      <c r="C109" s="142">
        <f t="shared" si="7"/>
        <v>46147.833333333299</v>
      </c>
      <c r="D109" s="19" t="s">
        <v>40</v>
      </c>
      <c r="E109" s="7" t="s">
        <v>15</v>
      </c>
      <c r="F109" s="114" t="s">
        <v>93</v>
      </c>
      <c r="G109" s="115">
        <v>0.54</v>
      </c>
      <c r="H109" s="116">
        <v>0.54</v>
      </c>
      <c r="I109" s="46" t="str">
        <f t="shared" si="8"/>
        <v/>
      </c>
      <c r="J109" s="46" t="str">
        <f t="shared" si="9"/>
        <v/>
      </c>
      <c r="K109" s="46">
        <f t="shared" si="10"/>
        <v>0</v>
      </c>
      <c r="L109" s="49" t="str">
        <f t="shared" si="11"/>
        <v/>
      </c>
      <c r="M109" s="49" t="str">
        <f t="shared" si="11"/>
        <v/>
      </c>
      <c r="N109" s="49" t="str">
        <f t="shared" si="11"/>
        <v>Within Tolerance</v>
      </c>
    </row>
    <row r="110" spans="1:14" s="43" customFormat="1" hidden="1" x14ac:dyDescent="0.3">
      <c r="A110" s="168">
        <v>46147</v>
      </c>
      <c r="B110" s="64">
        <v>46147.916666666701</v>
      </c>
      <c r="C110" s="142">
        <f t="shared" si="7"/>
        <v>46147.916666666701</v>
      </c>
      <c r="D110" s="19" t="s">
        <v>40</v>
      </c>
      <c r="E110" s="7" t="s">
        <v>15</v>
      </c>
      <c r="F110" s="114" t="s">
        <v>93</v>
      </c>
      <c r="G110" s="115">
        <v>0.51</v>
      </c>
      <c r="H110" s="116">
        <v>0.53</v>
      </c>
      <c r="I110" s="46" t="str">
        <f t="shared" si="8"/>
        <v/>
      </c>
      <c r="J110" s="46" t="str">
        <f t="shared" si="9"/>
        <v/>
      </c>
      <c r="K110" s="46">
        <f t="shared" si="10"/>
        <v>2.0000000000000018E-2</v>
      </c>
      <c r="L110" s="49" t="str">
        <f t="shared" si="11"/>
        <v/>
      </c>
      <c r="M110" s="49" t="str">
        <f t="shared" si="11"/>
        <v/>
      </c>
      <c r="N110" s="49" t="str">
        <f t="shared" si="11"/>
        <v>Within Tolerance</v>
      </c>
    </row>
    <row r="111" spans="1:14" s="43" customFormat="1" hidden="1" x14ac:dyDescent="0.3">
      <c r="A111" s="169">
        <v>46148</v>
      </c>
      <c r="B111" s="64">
        <v>46148</v>
      </c>
      <c r="C111" s="142">
        <f t="shared" si="7"/>
        <v>46148</v>
      </c>
      <c r="D111" s="19" t="s">
        <v>40</v>
      </c>
      <c r="E111" s="7" t="s">
        <v>15</v>
      </c>
      <c r="F111" s="116">
        <v>0.53</v>
      </c>
      <c r="G111" s="115">
        <v>0.53</v>
      </c>
      <c r="H111" s="116">
        <v>0.56000000000000005</v>
      </c>
      <c r="I111" s="46">
        <f t="shared" si="8"/>
        <v>0</v>
      </c>
      <c r="J111" s="46">
        <f t="shared" si="9"/>
        <v>3.0000000000000027E-2</v>
      </c>
      <c r="K111" s="46">
        <f t="shared" si="10"/>
        <v>3.0000000000000027E-2</v>
      </c>
      <c r="L111" s="49" t="str">
        <f t="shared" si="11"/>
        <v>Within Tolerance</v>
      </c>
      <c r="M111" s="49" t="str">
        <f t="shared" si="11"/>
        <v>Out of Tolerance</v>
      </c>
      <c r="N111" s="49" t="str">
        <f t="shared" si="11"/>
        <v>Out of Tolerance</v>
      </c>
    </row>
    <row r="112" spans="1:14" s="43" customFormat="1" hidden="1" x14ac:dyDescent="0.3">
      <c r="A112" s="168">
        <v>46148</v>
      </c>
      <c r="B112" s="64">
        <v>46148.152777777803</v>
      </c>
      <c r="C112" s="142">
        <f t="shared" si="7"/>
        <v>46148.152777777803</v>
      </c>
      <c r="D112" s="19" t="s">
        <v>29</v>
      </c>
      <c r="E112" s="7" t="s">
        <v>15</v>
      </c>
      <c r="F112" s="114" t="s">
        <v>93</v>
      </c>
      <c r="G112" s="115">
        <v>0.53</v>
      </c>
      <c r="H112" s="116">
        <v>0.53</v>
      </c>
      <c r="I112" s="46" t="str">
        <f t="shared" si="8"/>
        <v/>
      </c>
      <c r="J112" s="46" t="str">
        <f t="shared" si="9"/>
        <v/>
      </c>
      <c r="K112" s="46">
        <f t="shared" si="10"/>
        <v>0</v>
      </c>
      <c r="L112" s="49" t="str">
        <f t="shared" si="11"/>
        <v/>
      </c>
      <c r="M112" s="49" t="str">
        <f t="shared" si="11"/>
        <v/>
      </c>
      <c r="N112" s="49" t="str">
        <f t="shared" si="11"/>
        <v>Within Tolerance</v>
      </c>
    </row>
    <row r="113" spans="1:14" s="43" customFormat="1" hidden="1" x14ac:dyDescent="0.3">
      <c r="A113" s="169">
        <v>46148</v>
      </c>
      <c r="B113" s="64">
        <v>46148.208333333299</v>
      </c>
      <c r="C113" s="142">
        <f t="shared" si="7"/>
        <v>46148.208333333299</v>
      </c>
      <c r="D113" s="19" t="s">
        <v>29</v>
      </c>
      <c r="E113" s="7" t="s">
        <v>15</v>
      </c>
      <c r="F113" s="114" t="s">
        <v>93</v>
      </c>
      <c r="G113" s="115">
        <v>0.53</v>
      </c>
      <c r="H113" s="116">
        <v>0.54</v>
      </c>
      <c r="I113" s="46" t="str">
        <f t="shared" si="8"/>
        <v/>
      </c>
      <c r="J113" s="46" t="str">
        <f t="shared" si="9"/>
        <v/>
      </c>
      <c r="K113" s="46">
        <f t="shared" si="10"/>
        <v>1.0000000000000009E-2</v>
      </c>
      <c r="L113" s="49" t="str">
        <f t="shared" si="11"/>
        <v/>
      </c>
      <c r="M113" s="49" t="str">
        <f t="shared" si="11"/>
        <v/>
      </c>
      <c r="N113" s="49" t="str">
        <f t="shared" si="11"/>
        <v>Within Tolerance</v>
      </c>
    </row>
    <row r="114" spans="1:14" s="43" customFormat="1" hidden="1" x14ac:dyDescent="0.3">
      <c r="A114" s="168">
        <v>46148</v>
      </c>
      <c r="B114" s="64">
        <v>46148.291666666701</v>
      </c>
      <c r="C114" s="142">
        <f t="shared" si="7"/>
        <v>46148.291666666701</v>
      </c>
      <c r="D114" s="19" t="s">
        <v>29</v>
      </c>
      <c r="E114" s="7" t="s">
        <v>15</v>
      </c>
      <c r="F114" s="114" t="s">
        <v>93</v>
      </c>
      <c r="G114" s="115">
        <v>0.52</v>
      </c>
      <c r="H114" s="116">
        <v>0.54</v>
      </c>
      <c r="I114" s="46" t="str">
        <f t="shared" si="8"/>
        <v/>
      </c>
      <c r="J114" s="46" t="str">
        <f t="shared" si="9"/>
        <v/>
      </c>
      <c r="K114" s="46">
        <f t="shared" si="10"/>
        <v>2.0000000000000018E-2</v>
      </c>
      <c r="L114" s="49" t="str">
        <f t="shared" si="11"/>
        <v/>
      </c>
      <c r="M114" s="49" t="str">
        <f t="shared" si="11"/>
        <v/>
      </c>
      <c r="N114" s="49" t="str">
        <f t="shared" si="11"/>
        <v>Within Tolerance</v>
      </c>
    </row>
    <row r="115" spans="1:14" s="43" customFormat="1" hidden="1" x14ac:dyDescent="0.3">
      <c r="A115" s="169">
        <v>46147</v>
      </c>
      <c r="B115" s="64">
        <v>46147.614583333299</v>
      </c>
      <c r="C115" s="142">
        <f t="shared" si="7"/>
        <v>46147.614583333299</v>
      </c>
      <c r="D115" s="7" t="s">
        <v>27</v>
      </c>
      <c r="E115" s="8" t="s">
        <v>19</v>
      </c>
      <c r="F115" s="116">
        <v>0.51</v>
      </c>
      <c r="G115" s="115">
        <v>0.52</v>
      </c>
      <c r="H115" s="116">
        <v>0.51</v>
      </c>
      <c r="I115" s="46">
        <f t="shared" si="8"/>
        <v>1.0000000000000009E-2</v>
      </c>
      <c r="J115" s="46">
        <f t="shared" si="9"/>
        <v>0</v>
      </c>
      <c r="K115" s="46">
        <f t="shared" si="10"/>
        <v>-1.0000000000000009E-2</v>
      </c>
      <c r="L115" s="49" t="str">
        <f t="shared" si="11"/>
        <v>Within Tolerance</v>
      </c>
      <c r="M115" s="49" t="str">
        <f t="shared" si="11"/>
        <v>Within Tolerance</v>
      </c>
      <c r="N115" s="49" t="str">
        <f t="shared" si="11"/>
        <v>Within Tolerance</v>
      </c>
    </row>
    <row r="116" spans="1:14" s="43" customFormat="1" hidden="1" x14ac:dyDescent="0.3">
      <c r="A116" s="168">
        <v>46147</v>
      </c>
      <c r="B116" s="64">
        <v>46147.704861111102</v>
      </c>
      <c r="C116" s="142">
        <f t="shared" si="7"/>
        <v>46147.704861111102</v>
      </c>
      <c r="D116" s="19" t="s">
        <v>20</v>
      </c>
      <c r="E116" s="8" t="s">
        <v>19</v>
      </c>
      <c r="F116" s="116">
        <v>0.54</v>
      </c>
      <c r="G116" s="115">
        <v>0.56000000000000005</v>
      </c>
      <c r="H116" s="116">
        <v>0.54</v>
      </c>
      <c r="I116" s="46">
        <f t="shared" si="8"/>
        <v>2.0000000000000018E-2</v>
      </c>
      <c r="J116" s="46">
        <f t="shared" si="9"/>
        <v>0</v>
      </c>
      <c r="K116" s="46">
        <f t="shared" si="10"/>
        <v>-2.0000000000000018E-2</v>
      </c>
      <c r="L116" s="49" t="str">
        <f t="shared" si="11"/>
        <v>Within Tolerance</v>
      </c>
      <c r="M116" s="49" t="str">
        <f t="shared" si="11"/>
        <v>Within Tolerance</v>
      </c>
      <c r="N116" s="49" t="str">
        <f t="shared" si="11"/>
        <v>Within Tolerance</v>
      </c>
    </row>
    <row r="117" spans="1:14" s="43" customFormat="1" hidden="1" x14ac:dyDescent="0.3">
      <c r="A117" s="169">
        <v>46147</v>
      </c>
      <c r="B117" s="64">
        <v>46147.567361111098</v>
      </c>
      <c r="C117" s="142">
        <f t="shared" si="7"/>
        <v>46147.567361111098</v>
      </c>
      <c r="D117" s="19" t="s">
        <v>23</v>
      </c>
      <c r="E117" s="8" t="s">
        <v>24</v>
      </c>
      <c r="F117" s="116">
        <v>0.56999999999999995</v>
      </c>
      <c r="G117" s="115">
        <v>0.56999999999999995</v>
      </c>
      <c r="H117" s="116">
        <v>0.56999999999999995</v>
      </c>
      <c r="I117" s="46">
        <f t="shared" si="8"/>
        <v>0</v>
      </c>
      <c r="J117" s="46">
        <f t="shared" si="9"/>
        <v>0</v>
      </c>
      <c r="K117" s="46">
        <f t="shared" si="10"/>
        <v>0</v>
      </c>
      <c r="L117" s="49" t="str">
        <f t="shared" si="11"/>
        <v>Within Tolerance</v>
      </c>
      <c r="M117" s="49" t="str">
        <f t="shared" si="11"/>
        <v>Within Tolerance</v>
      </c>
      <c r="N117" s="49" t="str">
        <f t="shared" si="11"/>
        <v>Within Tolerance</v>
      </c>
    </row>
    <row r="118" spans="1:14" s="43" customFormat="1" hidden="1" x14ac:dyDescent="0.3">
      <c r="A118" s="168">
        <v>46147</v>
      </c>
      <c r="B118" s="64">
        <v>46147.944444444402</v>
      </c>
      <c r="C118" s="142">
        <f t="shared" si="7"/>
        <v>46147.944444444402</v>
      </c>
      <c r="D118" s="19" t="s">
        <v>23</v>
      </c>
      <c r="E118" s="8" t="s">
        <v>24</v>
      </c>
      <c r="F118" s="114" t="s">
        <v>93</v>
      </c>
      <c r="G118" s="115">
        <v>0.57999999999999996</v>
      </c>
      <c r="H118" s="116">
        <v>0.57999999999999996</v>
      </c>
      <c r="I118" s="46" t="str">
        <f t="shared" si="8"/>
        <v/>
      </c>
      <c r="J118" s="46" t="str">
        <f t="shared" si="9"/>
        <v/>
      </c>
      <c r="K118" s="46">
        <f t="shared" si="10"/>
        <v>0</v>
      </c>
      <c r="L118" s="49" t="str">
        <f t="shared" si="11"/>
        <v/>
      </c>
      <c r="M118" s="49" t="str">
        <f t="shared" si="11"/>
        <v/>
      </c>
      <c r="N118" s="49" t="str">
        <f t="shared" si="11"/>
        <v>Within Tolerance</v>
      </c>
    </row>
    <row r="119" spans="1:14" s="43" customFormat="1" x14ac:dyDescent="0.3">
      <c r="A119" s="169">
        <v>46148</v>
      </c>
      <c r="B119" s="64">
        <v>46148.375</v>
      </c>
      <c r="C119" s="142">
        <f t="shared" si="7"/>
        <v>46148.375</v>
      </c>
      <c r="D119" s="19" t="s">
        <v>41</v>
      </c>
      <c r="E119" s="7" t="s">
        <v>11</v>
      </c>
      <c r="F119" s="114" t="s">
        <v>93</v>
      </c>
      <c r="G119" s="115">
        <v>0.5</v>
      </c>
      <c r="H119" s="114" t="s">
        <v>93</v>
      </c>
      <c r="I119" s="46" t="str">
        <f t="shared" si="8"/>
        <v/>
      </c>
      <c r="J119" s="46" t="str">
        <f t="shared" si="9"/>
        <v/>
      </c>
      <c r="K119" s="46" t="str">
        <f t="shared" si="10"/>
        <v/>
      </c>
      <c r="L119" s="49" t="str">
        <f t="shared" si="11"/>
        <v/>
      </c>
      <c r="M119" s="49" t="str">
        <f t="shared" si="11"/>
        <v/>
      </c>
      <c r="N119" s="49" t="str">
        <f t="shared" si="11"/>
        <v/>
      </c>
    </row>
    <row r="120" spans="1:14" s="43" customFormat="1" x14ac:dyDescent="0.3">
      <c r="A120" s="168">
        <v>46148</v>
      </c>
      <c r="B120" s="64">
        <v>46148.395833333299</v>
      </c>
      <c r="C120" s="142">
        <f t="shared" si="7"/>
        <v>46148.395833333299</v>
      </c>
      <c r="D120" s="19" t="s">
        <v>41</v>
      </c>
      <c r="E120" s="7" t="s">
        <v>11</v>
      </c>
      <c r="F120" s="114" t="s">
        <v>93</v>
      </c>
      <c r="G120" s="115">
        <v>0.49</v>
      </c>
      <c r="H120" s="114" t="s">
        <v>93</v>
      </c>
      <c r="I120" s="46" t="str">
        <f t="shared" si="8"/>
        <v/>
      </c>
      <c r="J120" s="46" t="str">
        <f t="shared" si="9"/>
        <v/>
      </c>
      <c r="K120" s="46" t="str">
        <f t="shared" si="10"/>
        <v/>
      </c>
      <c r="L120" s="49" t="str">
        <f t="shared" si="11"/>
        <v/>
      </c>
      <c r="M120" s="49" t="str">
        <f t="shared" si="11"/>
        <v/>
      </c>
      <c r="N120" s="49" t="str">
        <f t="shared" si="11"/>
        <v/>
      </c>
    </row>
    <row r="121" spans="1:14" s="43" customFormat="1" x14ac:dyDescent="0.3">
      <c r="A121" s="169">
        <v>46148</v>
      </c>
      <c r="B121" s="64">
        <v>46148.756944444402</v>
      </c>
      <c r="C121" s="142">
        <f t="shared" si="7"/>
        <v>46148.756944444402</v>
      </c>
      <c r="D121" s="19" t="s">
        <v>41</v>
      </c>
      <c r="E121" s="7" t="s">
        <v>11</v>
      </c>
      <c r="F121" s="114" t="s">
        <v>93</v>
      </c>
      <c r="G121" s="115">
        <v>0.49</v>
      </c>
      <c r="H121" s="114" t="s">
        <v>93</v>
      </c>
      <c r="I121" s="46" t="str">
        <f t="shared" si="8"/>
        <v/>
      </c>
      <c r="J121" s="46" t="str">
        <f t="shared" si="9"/>
        <v/>
      </c>
      <c r="K121" s="46" t="str">
        <f t="shared" si="10"/>
        <v/>
      </c>
      <c r="L121" s="49" t="str">
        <f t="shared" si="11"/>
        <v/>
      </c>
      <c r="M121" s="49" t="str">
        <f t="shared" si="11"/>
        <v/>
      </c>
      <c r="N121" s="49" t="str">
        <f t="shared" si="11"/>
        <v/>
      </c>
    </row>
    <row r="122" spans="1:14" s="43" customFormat="1" x14ac:dyDescent="0.3">
      <c r="A122" s="168">
        <v>46148</v>
      </c>
      <c r="B122" s="64">
        <v>46148.767361111102</v>
      </c>
      <c r="C122" s="142">
        <f t="shared" si="7"/>
        <v>46148.767361111102</v>
      </c>
      <c r="D122" s="19" t="s">
        <v>41</v>
      </c>
      <c r="E122" s="7" t="s">
        <v>11</v>
      </c>
      <c r="F122" s="114" t="s">
        <v>93</v>
      </c>
      <c r="G122" s="115">
        <v>0.49</v>
      </c>
      <c r="H122" s="114" t="s">
        <v>93</v>
      </c>
      <c r="I122" s="46" t="str">
        <f t="shared" si="8"/>
        <v/>
      </c>
      <c r="J122" s="46" t="str">
        <f t="shared" si="9"/>
        <v/>
      </c>
      <c r="K122" s="46" t="str">
        <f t="shared" si="10"/>
        <v/>
      </c>
      <c r="L122" s="49" t="str">
        <f t="shared" si="11"/>
        <v/>
      </c>
      <c r="M122" s="49" t="str">
        <f t="shared" si="11"/>
        <v/>
      </c>
      <c r="N122" s="49" t="str">
        <f t="shared" si="11"/>
        <v/>
      </c>
    </row>
    <row r="123" spans="1:14" s="43" customFormat="1" x14ac:dyDescent="0.3">
      <c r="A123" s="169">
        <v>46148</v>
      </c>
      <c r="B123" s="64">
        <v>46148.84375</v>
      </c>
      <c r="C123" s="142">
        <f t="shared" si="7"/>
        <v>46148.84375</v>
      </c>
      <c r="D123" s="19" t="s">
        <v>41</v>
      </c>
      <c r="E123" s="7" t="s">
        <v>11</v>
      </c>
      <c r="F123" s="114" t="s">
        <v>93</v>
      </c>
      <c r="G123" s="115">
        <v>0.49</v>
      </c>
      <c r="H123" s="114" t="s">
        <v>93</v>
      </c>
      <c r="I123" s="46" t="str">
        <f t="shared" si="8"/>
        <v/>
      </c>
      <c r="J123" s="46" t="str">
        <f t="shared" si="9"/>
        <v/>
      </c>
      <c r="K123" s="46" t="str">
        <f t="shared" si="10"/>
        <v/>
      </c>
      <c r="L123" s="49" t="str">
        <f t="shared" si="11"/>
        <v/>
      </c>
      <c r="M123" s="49" t="str">
        <f t="shared" si="11"/>
        <v/>
      </c>
      <c r="N123" s="49" t="str">
        <f t="shared" si="11"/>
        <v/>
      </c>
    </row>
    <row r="124" spans="1:14" s="43" customFormat="1" hidden="1" x14ac:dyDescent="0.3">
      <c r="A124" s="168">
        <v>46148</v>
      </c>
      <c r="B124" s="64">
        <v>46148.864583333299</v>
      </c>
      <c r="C124" s="142">
        <f t="shared" si="7"/>
        <v>46148.864583333299</v>
      </c>
      <c r="D124" s="19" t="s">
        <v>41</v>
      </c>
      <c r="E124" s="7" t="s">
        <v>11</v>
      </c>
      <c r="F124" s="114" t="s">
        <v>93</v>
      </c>
      <c r="G124" s="115">
        <v>0.5</v>
      </c>
      <c r="H124" s="116">
        <v>0.54</v>
      </c>
      <c r="I124" s="46" t="str">
        <f t="shared" si="8"/>
        <v/>
      </c>
      <c r="J124" s="46" t="str">
        <f t="shared" si="9"/>
        <v/>
      </c>
      <c r="K124" s="46">
        <f t="shared" si="10"/>
        <v>4.0000000000000036E-2</v>
      </c>
      <c r="L124" s="49" t="str">
        <f t="shared" si="11"/>
        <v/>
      </c>
      <c r="M124" s="49" t="str">
        <f t="shared" si="11"/>
        <v/>
      </c>
      <c r="N124" s="49" t="str">
        <f t="shared" si="11"/>
        <v>Out of Tolerance</v>
      </c>
    </row>
    <row r="125" spans="1:14" s="43" customFormat="1" x14ac:dyDescent="0.3">
      <c r="A125" s="169">
        <v>46149</v>
      </c>
      <c r="B125" s="64">
        <v>46149.034722222197</v>
      </c>
      <c r="C125" s="142">
        <f t="shared" si="7"/>
        <v>46149.034722222197</v>
      </c>
      <c r="D125" s="19" t="s">
        <v>41</v>
      </c>
      <c r="E125" s="7" t="s">
        <v>11</v>
      </c>
      <c r="F125" s="114" t="s">
        <v>93</v>
      </c>
      <c r="G125" s="115">
        <v>0.52</v>
      </c>
      <c r="H125" s="114" t="s">
        <v>93</v>
      </c>
      <c r="I125" s="46" t="str">
        <f t="shared" si="8"/>
        <v/>
      </c>
      <c r="J125" s="46" t="str">
        <f t="shared" si="9"/>
        <v/>
      </c>
      <c r="K125" s="46" t="str">
        <f t="shared" si="10"/>
        <v/>
      </c>
      <c r="L125" s="49" t="str">
        <f t="shared" si="11"/>
        <v/>
      </c>
      <c r="M125" s="49" t="str">
        <f t="shared" si="11"/>
        <v/>
      </c>
      <c r="N125" s="49" t="str">
        <f t="shared" si="11"/>
        <v/>
      </c>
    </row>
    <row r="126" spans="1:14" s="43" customFormat="1" hidden="1" x14ac:dyDescent="0.3">
      <c r="A126" s="168">
        <v>46149</v>
      </c>
      <c r="B126" s="64">
        <v>46149.048611111102</v>
      </c>
      <c r="C126" s="142">
        <f t="shared" si="7"/>
        <v>46149.048611111102</v>
      </c>
      <c r="D126" s="19" t="s">
        <v>41</v>
      </c>
      <c r="E126" s="7" t="s">
        <v>11</v>
      </c>
      <c r="F126" s="114">
        <v>0.54</v>
      </c>
      <c r="G126" s="115">
        <v>0.53</v>
      </c>
      <c r="H126" s="116">
        <v>0.55000000000000004</v>
      </c>
      <c r="I126" s="46">
        <f t="shared" si="8"/>
        <v>-1.0000000000000009E-2</v>
      </c>
      <c r="J126" s="46">
        <f t="shared" si="9"/>
        <v>1.0000000000000009E-2</v>
      </c>
      <c r="K126" s="46">
        <f t="shared" si="10"/>
        <v>2.0000000000000018E-2</v>
      </c>
      <c r="L126" s="49" t="str">
        <f t="shared" si="11"/>
        <v>Within Tolerance</v>
      </c>
      <c r="M126" s="49" t="str">
        <f t="shared" si="11"/>
        <v>Within Tolerance</v>
      </c>
      <c r="N126" s="49" t="str">
        <f t="shared" si="11"/>
        <v>Within Tolerance</v>
      </c>
    </row>
    <row r="127" spans="1:14" s="43" customFormat="1" hidden="1" x14ac:dyDescent="0.3">
      <c r="A127" s="169">
        <v>46149</v>
      </c>
      <c r="B127" s="64">
        <v>46149.145833333299</v>
      </c>
      <c r="C127" s="142">
        <f t="shared" si="7"/>
        <v>46149.145833333299</v>
      </c>
      <c r="D127" s="19" t="s">
        <v>41</v>
      </c>
      <c r="E127" s="7" t="s">
        <v>11</v>
      </c>
      <c r="F127" s="114" t="s">
        <v>93</v>
      </c>
      <c r="G127" s="115">
        <v>0.5</v>
      </c>
      <c r="H127" s="116">
        <v>0.51</v>
      </c>
      <c r="I127" s="46" t="str">
        <f t="shared" si="8"/>
        <v/>
      </c>
      <c r="J127" s="46" t="str">
        <f t="shared" si="9"/>
        <v/>
      </c>
      <c r="K127" s="46">
        <f t="shared" si="10"/>
        <v>1.0000000000000009E-2</v>
      </c>
      <c r="L127" s="49" t="str">
        <f t="shared" si="11"/>
        <v/>
      </c>
      <c r="M127" s="49" t="str">
        <f t="shared" si="11"/>
        <v/>
      </c>
      <c r="N127" s="49" t="str">
        <f t="shared" si="11"/>
        <v>Within Tolerance</v>
      </c>
    </row>
    <row r="128" spans="1:14" s="43" customFormat="1" hidden="1" x14ac:dyDescent="0.3">
      <c r="A128" s="168">
        <v>46149</v>
      </c>
      <c r="B128" s="64">
        <v>46149.229166666701</v>
      </c>
      <c r="C128" s="142">
        <f t="shared" si="7"/>
        <v>46149.229166666701</v>
      </c>
      <c r="D128" s="19" t="s">
        <v>41</v>
      </c>
      <c r="E128" s="7" t="s">
        <v>11</v>
      </c>
      <c r="F128" s="114">
        <v>0.49</v>
      </c>
      <c r="G128" s="115">
        <v>0.51</v>
      </c>
      <c r="H128" s="116">
        <v>0.52</v>
      </c>
      <c r="I128" s="46">
        <f t="shared" si="8"/>
        <v>2.0000000000000018E-2</v>
      </c>
      <c r="J128" s="46">
        <f t="shared" si="9"/>
        <v>3.0000000000000027E-2</v>
      </c>
      <c r="K128" s="46">
        <f t="shared" si="10"/>
        <v>1.0000000000000009E-2</v>
      </c>
      <c r="L128" s="49" t="str">
        <f t="shared" si="11"/>
        <v>Within Tolerance</v>
      </c>
      <c r="M128" s="49" t="str">
        <f t="shared" si="11"/>
        <v>Out of Tolerance</v>
      </c>
      <c r="N128" s="49" t="str">
        <f t="shared" si="11"/>
        <v>Within Tolerance</v>
      </c>
    </row>
    <row r="129" spans="1:14" s="43" customFormat="1" hidden="1" x14ac:dyDescent="0.3">
      <c r="A129" s="169">
        <v>46148</v>
      </c>
      <c r="B129" s="64">
        <v>46148.333333333299</v>
      </c>
      <c r="C129" s="142">
        <f t="shared" si="7"/>
        <v>46148.333333333299</v>
      </c>
      <c r="D129" s="19" t="s">
        <v>29</v>
      </c>
      <c r="E129" s="7" t="s">
        <v>15</v>
      </c>
      <c r="F129" s="114">
        <v>0.52</v>
      </c>
      <c r="G129" s="115">
        <v>0.52</v>
      </c>
      <c r="H129" s="116">
        <v>0.53</v>
      </c>
      <c r="I129" s="46">
        <f t="shared" si="8"/>
        <v>0</v>
      </c>
      <c r="J129" s="46">
        <f t="shared" si="9"/>
        <v>1.0000000000000009E-2</v>
      </c>
      <c r="K129" s="46">
        <f t="shared" si="10"/>
        <v>1.0000000000000009E-2</v>
      </c>
      <c r="L129" s="49" t="str">
        <f t="shared" si="11"/>
        <v>Within Tolerance</v>
      </c>
      <c r="M129" s="49" t="str">
        <f t="shared" si="11"/>
        <v>Within Tolerance</v>
      </c>
      <c r="N129" s="49" t="str">
        <f t="shared" si="11"/>
        <v>Within Tolerance</v>
      </c>
    </row>
    <row r="130" spans="1:14" s="43" customFormat="1" hidden="1" x14ac:dyDescent="0.3">
      <c r="A130" s="168">
        <v>46148</v>
      </c>
      <c r="B130" s="64">
        <v>46148.416666666701</v>
      </c>
      <c r="C130" s="142">
        <f t="shared" ref="C130:C193" si="12">A130+MOD(B130,1)</f>
        <v>46148.416666666701</v>
      </c>
      <c r="D130" s="19" t="s">
        <v>29</v>
      </c>
      <c r="E130" s="7" t="s">
        <v>15</v>
      </c>
      <c r="F130" s="114" t="s">
        <v>93</v>
      </c>
      <c r="G130" s="115">
        <v>0.54</v>
      </c>
      <c r="H130" s="116">
        <v>0.55000000000000004</v>
      </c>
      <c r="I130" s="46" t="str">
        <f t="shared" si="8"/>
        <v/>
      </c>
      <c r="J130" s="46" t="str">
        <f t="shared" si="9"/>
        <v/>
      </c>
      <c r="K130" s="46">
        <f t="shared" si="10"/>
        <v>1.0000000000000009E-2</v>
      </c>
      <c r="L130" s="49" t="str">
        <f t="shared" si="11"/>
        <v/>
      </c>
      <c r="M130" s="49" t="str">
        <f t="shared" si="11"/>
        <v/>
      </c>
      <c r="N130" s="49" t="str">
        <f t="shared" si="11"/>
        <v>Within Tolerance</v>
      </c>
    </row>
    <row r="131" spans="1:14" s="43" customFormat="1" hidden="1" x14ac:dyDescent="0.3">
      <c r="A131" s="169">
        <v>46148</v>
      </c>
      <c r="B131" s="64">
        <v>46148.5</v>
      </c>
      <c r="C131" s="142">
        <f t="shared" si="12"/>
        <v>46148.5</v>
      </c>
      <c r="D131" s="19" t="s">
        <v>29</v>
      </c>
      <c r="E131" s="7" t="s">
        <v>15</v>
      </c>
      <c r="F131" s="114" t="s">
        <v>93</v>
      </c>
      <c r="G131" s="115">
        <v>0.53</v>
      </c>
      <c r="H131" s="116">
        <v>0.55000000000000004</v>
      </c>
      <c r="I131" s="46" t="str">
        <f t="shared" ref="I131:I194" si="13">IF(OR(TRIM(F131&amp;"")="",TRIM(G131&amp;"")="",F131="-",G131="-"),"",G131-F131)</f>
        <v/>
      </c>
      <c r="J131" s="46" t="str">
        <f t="shared" ref="J131:J194" si="14">IF(OR(TRIM(F131&amp;"")="",TRIM(H131&amp;"")="",F131="-",H131="-"),"",H131-F131)</f>
        <v/>
      </c>
      <c r="K131" s="46">
        <f t="shared" ref="K131:K194" si="15">IF(OR(TRIM(G131&amp;"")="",TRIM(H131&amp;"")="",G131="-",H131="-"),"",H131-G131)</f>
        <v>2.0000000000000018E-2</v>
      </c>
      <c r="L131" s="49" t="str">
        <f t="shared" ref="L131:N194" si="16">IF(ISNUMBER(I131),IF(ABS(I131)&lt;=0.02,"Within Tolerance","Out of Tolerance"),"")</f>
        <v/>
      </c>
      <c r="M131" s="49" t="str">
        <f t="shared" si="16"/>
        <v/>
      </c>
      <c r="N131" s="49" t="str">
        <f t="shared" si="16"/>
        <v>Within Tolerance</v>
      </c>
    </row>
    <row r="132" spans="1:14" s="43" customFormat="1" hidden="1" x14ac:dyDescent="0.3">
      <c r="A132" s="168">
        <v>46148</v>
      </c>
      <c r="B132" s="64">
        <v>46148.583333333299</v>
      </c>
      <c r="C132" s="142">
        <f t="shared" si="12"/>
        <v>46148.583333333299</v>
      </c>
      <c r="D132" s="19" t="s">
        <v>29</v>
      </c>
      <c r="E132" s="7" t="s">
        <v>15</v>
      </c>
      <c r="F132" s="114">
        <v>0.53</v>
      </c>
      <c r="G132" s="115">
        <v>0.53</v>
      </c>
      <c r="H132" s="116">
        <v>0.55000000000000004</v>
      </c>
      <c r="I132" s="46">
        <f t="shared" si="13"/>
        <v>0</v>
      </c>
      <c r="J132" s="46">
        <f t="shared" si="14"/>
        <v>2.0000000000000018E-2</v>
      </c>
      <c r="K132" s="46">
        <f t="shared" si="15"/>
        <v>2.0000000000000018E-2</v>
      </c>
      <c r="L132" s="49" t="str">
        <f t="shared" si="16"/>
        <v>Within Tolerance</v>
      </c>
      <c r="M132" s="49" t="str">
        <f t="shared" si="16"/>
        <v>Within Tolerance</v>
      </c>
      <c r="N132" s="49" t="str">
        <f t="shared" si="16"/>
        <v>Within Tolerance</v>
      </c>
    </row>
    <row r="133" spans="1:14" s="43" customFormat="1" hidden="1" x14ac:dyDescent="0.3">
      <c r="A133" s="169">
        <v>46148</v>
      </c>
      <c r="B133" s="64">
        <v>46148.666666666701</v>
      </c>
      <c r="C133" s="142">
        <f t="shared" si="12"/>
        <v>46148.666666666701</v>
      </c>
      <c r="D133" s="19" t="s">
        <v>29</v>
      </c>
      <c r="E133" s="7" t="s">
        <v>15</v>
      </c>
      <c r="F133" s="114">
        <v>0.52</v>
      </c>
      <c r="G133" s="115">
        <v>0.56000000000000005</v>
      </c>
      <c r="H133" s="116">
        <v>0.53</v>
      </c>
      <c r="I133" s="46">
        <f t="shared" si="13"/>
        <v>4.0000000000000036E-2</v>
      </c>
      <c r="J133" s="46">
        <f t="shared" si="14"/>
        <v>1.0000000000000009E-2</v>
      </c>
      <c r="K133" s="46">
        <f t="shared" si="15"/>
        <v>-3.0000000000000027E-2</v>
      </c>
      <c r="L133" s="49" t="str">
        <f t="shared" si="16"/>
        <v>Out of Tolerance</v>
      </c>
      <c r="M133" s="49" t="str">
        <f t="shared" si="16"/>
        <v>Within Tolerance</v>
      </c>
      <c r="N133" s="49" t="str">
        <f t="shared" si="16"/>
        <v>Out of Tolerance</v>
      </c>
    </row>
    <row r="134" spans="1:14" s="43" customFormat="1" x14ac:dyDescent="0.3">
      <c r="A134" s="168">
        <v>46148</v>
      </c>
      <c r="B134" s="64">
        <v>46148.729166666701</v>
      </c>
      <c r="C134" s="142">
        <f t="shared" si="12"/>
        <v>46148.729166666701</v>
      </c>
      <c r="D134" s="19" t="s">
        <v>29</v>
      </c>
      <c r="E134" s="7" t="s">
        <v>15</v>
      </c>
      <c r="F134" s="114" t="s">
        <v>93</v>
      </c>
      <c r="G134" s="115">
        <v>0.54</v>
      </c>
      <c r="H134" s="114" t="s">
        <v>93</v>
      </c>
      <c r="I134" s="46" t="str">
        <f t="shared" si="13"/>
        <v/>
      </c>
      <c r="J134" s="46" t="str">
        <f t="shared" si="14"/>
        <v/>
      </c>
      <c r="K134" s="46" t="str">
        <f t="shared" si="15"/>
        <v/>
      </c>
      <c r="L134" s="49" t="str">
        <f t="shared" si="16"/>
        <v/>
      </c>
      <c r="M134" s="49" t="str">
        <f t="shared" si="16"/>
        <v/>
      </c>
      <c r="N134" s="49" t="str">
        <f t="shared" si="16"/>
        <v/>
      </c>
    </row>
    <row r="135" spans="1:14" s="43" customFormat="1" x14ac:dyDescent="0.3">
      <c r="A135" s="169">
        <v>46148</v>
      </c>
      <c r="B135" s="64">
        <v>46148.770833333299</v>
      </c>
      <c r="C135" s="142">
        <f t="shared" si="12"/>
        <v>46148.770833333299</v>
      </c>
      <c r="D135" s="19" t="s">
        <v>41</v>
      </c>
      <c r="E135" s="7" t="s">
        <v>15</v>
      </c>
      <c r="F135" s="114" t="s">
        <v>93</v>
      </c>
      <c r="G135" s="115">
        <v>0.56000000000000005</v>
      </c>
      <c r="H135" s="114" t="s">
        <v>93</v>
      </c>
      <c r="I135" s="46" t="str">
        <f t="shared" si="13"/>
        <v/>
      </c>
      <c r="J135" s="46" t="str">
        <f t="shared" si="14"/>
        <v/>
      </c>
      <c r="K135" s="46" t="str">
        <f t="shared" si="15"/>
        <v/>
      </c>
      <c r="L135" s="49" t="str">
        <f t="shared" si="16"/>
        <v/>
      </c>
      <c r="M135" s="49" t="str">
        <f t="shared" si="16"/>
        <v/>
      </c>
      <c r="N135" s="49" t="str">
        <f t="shared" si="16"/>
        <v/>
      </c>
    </row>
    <row r="136" spans="1:14" s="43" customFormat="1" hidden="1" x14ac:dyDescent="0.3">
      <c r="A136" s="168">
        <v>46148</v>
      </c>
      <c r="B136" s="64">
        <v>46148.833333333299</v>
      </c>
      <c r="C136" s="142">
        <f t="shared" si="12"/>
        <v>46148.833333333299</v>
      </c>
      <c r="D136" s="19" t="s">
        <v>41</v>
      </c>
      <c r="E136" s="7" t="s">
        <v>15</v>
      </c>
      <c r="F136" s="114" t="s">
        <v>93</v>
      </c>
      <c r="G136" s="115">
        <v>0.59</v>
      </c>
      <c r="H136" s="116">
        <v>0.54</v>
      </c>
      <c r="I136" s="46" t="str">
        <f t="shared" si="13"/>
        <v/>
      </c>
      <c r="J136" s="46" t="str">
        <f t="shared" si="14"/>
        <v/>
      </c>
      <c r="K136" s="46">
        <f t="shared" si="15"/>
        <v>-4.9999999999999933E-2</v>
      </c>
      <c r="L136" s="49" t="str">
        <f t="shared" si="16"/>
        <v/>
      </c>
      <c r="M136" s="49" t="str">
        <f t="shared" si="16"/>
        <v/>
      </c>
      <c r="N136" s="49" t="str">
        <f t="shared" si="16"/>
        <v>Out of Tolerance</v>
      </c>
    </row>
    <row r="137" spans="1:14" s="43" customFormat="1" hidden="1" x14ac:dyDescent="0.3">
      <c r="A137" s="169">
        <v>46148</v>
      </c>
      <c r="B137" s="64">
        <v>46148.895833333299</v>
      </c>
      <c r="C137" s="142">
        <f t="shared" si="12"/>
        <v>46148.895833333299</v>
      </c>
      <c r="D137" s="19" t="s">
        <v>41</v>
      </c>
      <c r="E137" s="7" t="s">
        <v>15</v>
      </c>
      <c r="F137" s="114" t="s">
        <v>93</v>
      </c>
      <c r="G137" s="115">
        <v>0.56000000000000005</v>
      </c>
      <c r="H137" s="116">
        <v>0.55000000000000004</v>
      </c>
      <c r="I137" s="46" t="str">
        <f t="shared" si="13"/>
        <v/>
      </c>
      <c r="J137" s="46" t="str">
        <f t="shared" si="14"/>
        <v/>
      </c>
      <c r="K137" s="46">
        <f t="shared" si="15"/>
        <v>-1.0000000000000009E-2</v>
      </c>
      <c r="L137" s="49" t="str">
        <f t="shared" si="16"/>
        <v/>
      </c>
      <c r="M137" s="49" t="str">
        <f t="shared" si="16"/>
        <v/>
      </c>
      <c r="N137" s="49" t="str">
        <f t="shared" si="16"/>
        <v>Within Tolerance</v>
      </c>
    </row>
    <row r="138" spans="1:14" s="43" customFormat="1" hidden="1" x14ac:dyDescent="0.3">
      <c r="A138" s="168">
        <v>46149</v>
      </c>
      <c r="B138" s="64">
        <v>46149</v>
      </c>
      <c r="C138" s="142">
        <f t="shared" si="12"/>
        <v>46149</v>
      </c>
      <c r="D138" s="19" t="s">
        <v>41</v>
      </c>
      <c r="E138" s="7" t="s">
        <v>15</v>
      </c>
      <c r="F138" s="114">
        <v>0.57999999999999996</v>
      </c>
      <c r="G138" s="115">
        <v>0.56000000000000005</v>
      </c>
      <c r="H138" s="116">
        <v>0.54</v>
      </c>
      <c r="I138" s="46">
        <f t="shared" si="13"/>
        <v>-1.9999999999999907E-2</v>
      </c>
      <c r="J138" s="46">
        <f t="shared" si="14"/>
        <v>-3.9999999999999925E-2</v>
      </c>
      <c r="K138" s="46">
        <f t="shared" si="15"/>
        <v>-2.0000000000000018E-2</v>
      </c>
      <c r="L138" s="49" t="str">
        <f t="shared" si="16"/>
        <v>Within Tolerance</v>
      </c>
      <c r="M138" s="49" t="str">
        <f t="shared" si="16"/>
        <v>Out of Tolerance</v>
      </c>
      <c r="N138" s="49" t="str">
        <f t="shared" si="16"/>
        <v>Within Tolerance</v>
      </c>
    </row>
    <row r="139" spans="1:14" s="43" customFormat="1" hidden="1" x14ac:dyDescent="0.3">
      <c r="A139" s="169">
        <v>46149</v>
      </c>
      <c r="B139" s="64">
        <v>46149.083333333299</v>
      </c>
      <c r="C139" s="142">
        <f t="shared" si="12"/>
        <v>46149.083333333299</v>
      </c>
      <c r="D139" s="19" t="s">
        <v>41</v>
      </c>
      <c r="E139" s="7" t="s">
        <v>15</v>
      </c>
      <c r="F139" s="114" t="s">
        <v>93</v>
      </c>
      <c r="G139" s="115">
        <v>0.54</v>
      </c>
      <c r="H139" s="116">
        <v>0.55000000000000004</v>
      </c>
      <c r="I139" s="46" t="str">
        <f t="shared" si="13"/>
        <v/>
      </c>
      <c r="J139" s="46" t="str">
        <f t="shared" si="14"/>
        <v/>
      </c>
      <c r="K139" s="46">
        <f t="shared" si="15"/>
        <v>1.0000000000000009E-2</v>
      </c>
      <c r="L139" s="49" t="str">
        <f t="shared" si="16"/>
        <v/>
      </c>
      <c r="M139" s="49" t="str">
        <f t="shared" si="16"/>
        <v/>
      </c>
      <c r="N139" s="49" t="str">
        <f t="shared" si="16"/>
        <v>Within Tolerance</v>
      </c>
    </row>
    <row r="140" spans="1:14" s="43" customFormat="1" hidden="1" x14ac:dyDescent="0.3">
      <c r="A140" s="168">
        <v>46149</v>
      </c>
      <c r="B140" s="64">
        <v>46149.166666666701</v>
      </c>
      <c r="C140" s="142">
        <f t="shared" si="12"/>
        <v>46149.166666666701</v>
      </c>
      <c r="D140" s="19" t="s">
        <v>41</v>
      </c>
      <c r="E140" s="7" t="s">
        <v>15</v>
      </c>
      <c r="F140" s="114" t="s">
        <v>93</v>
      </c>
      <c r="G140" s="115">
        <v>0.54</v>
      </c>
      <c r="H140" s="116">
        <v>0.55000000000000004</v>
      </c>
      <c r="I140" s="46" t="str">
        <f t="shared" si="13"/>
        <v/>
      </c>
      <c r="J140" s="46" t="str">
        <f t="shared" si="14"/>
        <v/>
      </c>
      <c r="K140" s="46">
        <f t="shared" si="15"/>
        <v>1.0000000000000009E-2</v>
      </c>
      <c r="L140" s="49" t="str">
        <f t="shared" si="16"/>
        <v/>
      </c>
      <c r="M140" s="49" t="str">
        <f t="shared" si="16"/>
        <v/>
      </c>
      <c r="N140" s="49" t="str">
        <f t="shared" si="16"/>
        <v>Within Tolerance</v>
      </c>
    </row>
    <row r="141" spans="1:14" s="43" customFormat="1" hidden="1" x14ac:dyDescent="0.3">
      <c r="A141" s="169">
        <v>46149</v>
      </c>
      <c r="B141" s="64">
        <v>46149.25</v>
      </c>
      <c r="C141" s="142">
        <f t="shared" si="12"/>
        <v>46149.25</v>
      </c>
      <c r="D141" s="19" t="s">
        <v>41</v>
      </c>
      <c r="E141" s="7" t="s">
        <v>15</v>
      </c>
      <c r="F141" s="114" t="s">
        <v>93</v>
      </c>
      <c r="G141" s="115">
        <v>0.52</v>
      </c>
      <c r="H141" s="116">
        <v>0.54</v>
      </c>
      <c r="I141" s="46" t="str">
        <f t="shared" si="13"/>
        <v/>
      </c>
      <c r="J141" s="46" t="str">
        <f t="shared" si="14"/>
        <v/>
      </c>
      <c r="K141" s="46">
        <f t="shared" si="15"/>
        <v>2.0000000000000018E-2</v>
      </c>
      <c r="L141" s="49" t="str">
        <f t="shared" si="16"/>
        <v/>
      </c>
      <c r="M141" s="49" t="str">
        <f t="shared" si="16"/>
        <v/>
      </c>
      <c r="N141" s="49" t="str">
        <f t="shared" si="16"/>
        <v>Within Tolerance</v>
      </c>
    </row>
    <row r="142" spans="1:14" s="43" customFormat="1" hidden="1" x14ac:dyDescent="0.3">
      <c r="A142" s="168">
        <v>46148</v>
      </c>
      <c r="B142" s="64">
        <v>46148.416666666701</v>
      </c>
      <c r="C142" s="142">
        <f t="shared" si="12"/>
        <v>46148.416666666701</v>
      </c>
      <c r="D142" s="7" t="s">
        <v>31</v>
      </c>
      <c r="E142" s="7" t="s">
        <v>19</v>
      </c>
      <c r="F142" s="114">
        <v>0.55000000000000004</v>
      </c>
      <c r="G142" s="115">
        <v>0.56999999999999995</v>
      </c>
      <c r="H142" s="116">
        <v>0.56000000000000005</v>
      </c>
      <c r="I142" s="46">
        <f t="shared" si="13"/>
        <v>1.9999999999999907E-2</v>
      </c>
      <c r="J142" s="46">
        <f t="shared" si="14"/>
        <v>1.0000000000000009E-2</v>
      </c>
      <c r="K142" s="46">
        <f t="shared" si="15"/>
        <v>-9.9999999999998979E-3</v>
      </c>
      <c r="L142" s="49" t="str">
        <f t="shared" si="16"/>
        <v>Within Tolerance</v>
      </c>
      <c r="M142" s="49" t="str">
        <f t="shared" si="16"/>
        <v>Within Tolerance</v>
      </c>
      <c r="N142" s="49" t="str">
        <f t="shared" si="16"/>
        <v>Within Tolerance</v>
      </c>
    </row>
    <row r="143" spans="1:14" s="43" customFormat="1" hidden="1" x14ac:dyDescent="0.3">
      <c r="A143" s="169">
        <v>46148</v>
      </c>
      <c r="B143" s="64">
        <v>46148.472222222197</v>
      </c>
      <c r="C143" s="142">
        <f t="shared" si="12"/>
        <v>46148.472222222197</v>
      </c>
      <c r="D143" s="19" t="s">
        <v>20</v>
      </c>
      <c r="E143" s="7" t="s">
        <v>19</v>
      </c>
      <c r="F143" s="114">
        <v>0.51</v>
      </c>
      <c r="G143" s="115">
        <v>0.54</v>
      </c>
      <c r="H143" s="116">
        <v>0.53</v>
      </c>
      <c r="I143" s="46">
        <f t="shared" si="13"/>
        <v>3.0000000000000027E-2</v>
      </c>
      <c r="J143" s="46">
        <f t="shared" si="14"/>
        <v>2.0000000000000018E-2</v>
      </c>
      <c r="K143" s="46">
        <f t="shared" si="15"/>
        <v>-1.0000000000000009E-2</v>
      </c>
      <c r="L143" s="49" t="str">
        <f t="shared" si="16"/>
        <v>Out of Tolerance</v>
      </c>
      <c r="M143" s="49" t="str">
        <f t="shared" si="16"/>
        <v>Within Tolerance</v>
      </c>
      <c r="N143" s="49" t="str">
        <f t="shared" si="16"/>
        <v>Within Tolerance</v>
      </c>
    </row>
    <row r="144" spans="1:14" s="43" customFormat="1" hidden="1" x14ac:dyDescent="0.3">
      <c r="A144" s="168">
        <v>46148</v>
      </c>
      <c r="B144" s="64">
        <v>46148.5</v>
      </c>
      <c r="C144" s="142">
        <f t="shared" si="12"/>
        <v>46148.5</v>
      </c>
      <c r="D144" s="19" t="s">
        <v>21</v>
      </c>
      <c r="E144" s="7" t="s">
        <v>19</v>
      </c>
      <c r="F144" s="114">
        <v>0.52</v>
      </c>
      <c r="G144" s="115">
        <v>0.54</v>
      </c>
      <c r="H144" s="116">
        <v>0.54</v>
      </c>
      <c r="I144" s="46">
        <f t="shared" si="13"/>
        <v>2.0000000000000018E-2</v>
      </c>
      <c r="J144" s="46">
        <f t="shared" si="14"/>
        <v>2.0000000000000018E-2</v>
      </c>
      <c r="K144" s="46">
        <f t="shared" si="15"/>
        <v>0</v>
      </c>
      <c r="L144" s="49" t="str">
        <f t="shared" si="16"/>
        <v>Within Tolerance</v>
      </c>
      <c r="M144" s="49" t="str">
        <f t="shared" si="16"/>
        <v>Within Tolerance</v>
      </c>
      <c r="N144" s="49" t="str">
        <f t="shared" si="16"/>
        <v>Within Tolerance</v>
      </c>
    </row>
    <row r="145" spans="1:14" s="43" customFormat="1" hidden="1" x14ac:dyDescent="0.3">
      <c r="A145" s="169">
        <v>46148</v>
      </c>
      <c r="B145" s="64">
        <v>46148.555555555598</v>
      </c>
      <c r="C145" s="142">
        <f t="shared" si="12"/>
        <v>46148.555555555598</v>
      </c>
      <c r="D145" s="19" t="s">
        <v>36</v>
      </c>
      <c r="E145" s="7" t="s">
        <v>19</v>
      </c>
      <c r="F145" s="114">
        <v>0.46</v>
      </c>
      <c r="G145" s="115">
        <v>0.45</v>
      </c>
      <c r="H145" s="116">
        <v>0.45</v>
      </c>
      <c r="I145" s="46">
        <f t="shared" si="13"/>
        <v>-1.0000000000000009E-2</v>
      </c>
      <c r="J145" s="46">
        <f t="shared" si="14"/>
        <v>-1.0000000000000009E-2</v>
      </c>
      <c r="K145" s="46">
        <f t="shared" si="15"/>
        <v>0</v>
      </c>
      <c r="L145" s="49" t="str">
        <f t="shared" si="16"/>
        <v>Within Tolerance</v>
      </c>
      <c r="M145" s="49" t="str">
        <f t="shared" si="16"/>
        <v>Within Tolerance</v>
      </c>
      <c r="N145" s="49" t="str">
        <f t="shared" si="16"/>
        <v>Within Tolerance</v>
      </c>
    </row>
    <row r="146" spans="1:14" s="43" customFormat="1" hidden="1" x14ac:dyDescent="0.3">
      <c r="A146" s="168">
        <v>46148</v>
      </c>
      <c r="B146" s="64">
        <v>46148.666666666701</v>
      </c>
      <c r="C146" s="142">
        <f t="shared" si="12"/>
        <v>46148.666666666701</v>
      </c>
      <c r="D146" s="19" t="s">
        <v>30</v>
      </c>
      <c r="E146" s="7" t="s">
        <v>19</v>
      </c>
      <c r="F146" s="114">
        <v>0.53</v>
      </c>
      <c r="G146" s="115">
        <v>0.56999999999999995</v>
      </c>
      <c r="H146" s="116">
        <v>0.53</v>
      </c>
      <c r="I146" s="46">
        <f t="shared" si="13"/>
        <v>3.9999999999999925E-2</v>
      </c>
      <c r="J146" s="46">
        <f t="shared" si="14"/>
        <v>0</v>
      </c>
      <c r="K146" s="46">
        <f t="shared" si="15"/>
        <v>-3.9999999999999925E-2</v>
      </c>
      <c r="L146" s="49" t="str">
        <f t="shared" si="16"/>
        <v>Out of Tolerance</v>
      </c>
      <c r="M146" s="49" t="str">
        <f t="shared" si="16"/>
        <v>Within Tolerance</v>
      </c>
      <c r="N146" s="49" t="str">
        <f t="shared" si="16"/>
        <v>Out of Tolerance</v>
      </c>
    </row>
    <row r="147" spans="1:14" s="43" customFormat="1" hidden="1" x14ac:dyDescent="0.3">
      <c r="A147" s="169">
        <v>46148</v>
      </c>
      <c r="B147" s="64">
        <v>46148.71875</v>
      </c>
      <c r="C147" s="142">
        <f t="shared" si="12"/>
        <v>46148.71875</v>
      </c>
      <c r="D147" s="19" t="s">
        <v>53</v>
      </c>
      <c r="E147" s="7" t="s">
        <v>19</v>
      </c>
      <c r="F147" s="114">
        <v>1.21</v>
      </c>
      <c r="G147" s="115">
        <v>1.25</v>
      </c>
      <c r="H147" s="116">
        <v>1.22</v>
      </c>
      <c r="I147" s="46">
        <f t="shared" si="13"/>
        <v>4.0000000000000036E-2</v>
      </c>
      <c r="J147" s="46">
        <f t="shared" si="14"/>
        <v>1.0000000000000009E-2</v>
      </c>
      <c r="K147" s="46">
        <f t="shared" si="15"/>
        <v>-3.0000000000000027E-2</v>
      </c>
      <c r="L147" s="49" t="str">
        <f t="shared" si="16"/>
        <v>Out of Tolerance</v>
      </c>
      <c r="M147" s="49" t="str">
        <f t="shared" si="16"/>
        <v>Within Tolerance</v>
      </c>
      <c r="N147" s="49" t="str">
        <f t="shared" si="16"/>
        <v>Out of Tolerance</v>
      </c>
    </row>
    <row r="148" spans="1:14" s="43" customFormat="1" hidden="1" x14ac:dyDescent="0.3">
      <c r="A148" s="168">
        <v>46148</v>
      </c>
      <c r="B148" s="64">
        <v>46148.930555555598</v>
      </c>
      <c r="C148" s="142">
        <f t="shared" si="12"/>
        <v>46148.930555555598</v>
      </c>
      <c r="D148" s="19" t="s">
        <v>42</v>
      </c>
      <c r="E148" s="7" t="s">
        <v>19</v>
      </c>
      <c r="F148" s="114">
        <v>0.43</v>
      </c>
      <c r="G148" s="115">
        <v>0.45</v>
      </c>
      <c r="H148" s="116">
        <v>0.43</v>
      </c>
      <c r="I148" s="46">
        <f t="shared" si="13"/>
        <v>2.0000000000000018E-2</v>
      </c>
      <c r="J148" s="46">
        <f t="shared" si="14"/>
        <v>0</v>
      </c>
      <c r="K148" s="46">
        <f t="shared" si="15"/>
        <v>-2.0000000000000018E-2</v>
      </c>
      <c r="L148" s="49" t="str">
        <f t="shared" si="16"/>
        <v>Within Tolerance</v>
      </c>
      <c r="M148" s="49" t="str">
        <f t="shared" si="16"/>
        <v>Within Tolerance</v>
      </c>
      <c r="N148" s="49" t="str">
        <f t="shared" si="16"/>
        <v>Within Tolerance</v>
      </c>
    </row>
    <row r="149" spans="1:14" s="43" customFormat="1" hidden="1" x14ac:dyDescent="0.3">
      <c r="A149" s="169">
        <v>46148</v>
      </c>
      <c r="B149" s="64">
        <v>46148.715277777803</v>
      </c>
      <c r="C149" s="142">
        <f t="shared" si="12"/>
        <v>46148.715277777803</v>
      </c>
      <c r="D149" s="7" t="s">
        <v>25</v>
      </c>
      <c r="E149" s="7" t="s">
        <v>24</v>
      </c>
      <c r="F149" s="114">
        <v>0.6</v>
      </c>
      <c r="G149" s="115">
        <v>0.56000000000000005</v>
      </c>
      <c r="H149" s="116">
        <v>0.56000000000000005</v>
      </c>
      <c r="I149" s="46">
        <f t="shared" si="13"/>
        <v>-3.9999999999999925E-2</v>
      </c>
      <c r="J149" s="46">
        <f t="shared" si="14"/>
        <v>-3.9999999999999925E-2</v>
      </c>
      <c r="K149" s="46">
        <f t="shared" si="15"/>
        <v>0</v>
      </c>
      <c r="L149" s="49" t="str">
        <f t="shared" si="16"/>
        <v>Out of Tolerance</v>
      </c>
      <c r="M149" s="49" t="str">
        <f t="shared" si="16"/>
        <v>Out of Tolerance</v>
      </c>
      <c r="N149" s="49" t="str">
        <f t="shared" si="16"/>
        <v>Within Tolerance</v>
      </c>
    </row>
    <row r="150" spans="1:14" s="43" customFormat="1" hidden="1" x14ac:dyDescent="0.3">
      <c r="A150" s="168">
        <v>46148</v>
      </c>
      <c r="B150" s="64">
        <v>46148.819444444402</v>
      </c>
      <c r="C150" s="142">
        <f t="shared" si="12"/>
        <v>46148.819444444402</v>
      </c>
      <c r="D150" s="7" t="s">
        <v>26</v>
      </c>
      <c r="E150" s="7" t="s">
        <v>24</v>
      </c>
      <c r="F150" s="114">
        <v>0.61</v>
      </c>
      <c r="G150" s="115">
        <v>0.61</v>
      </c>
      <c r="H150" s="116">
        <v>0.61</v>
      </c>
      <c r="I150" s="46">
        <f t="shared" si="13"/>
        <v>0</v>
      </c>
      <c r="J150" s="46">
        <f t="shared" si="14"/>
        <v>0</v>
      </c>
      <c r="K150" s="46">
        <f t="shared" si="15"/>
        <v>0</v>
      </c>
      <c r="L150" s="49" t="str">
        <f t="shared" si="16"/>
        <v>Within Tolerance</v>
      </c>
      <c r="M150" s="49" t="str">
        <f t="shared" si="16"/>
        <v>Within Tolerance</v>
      </c>
      <c r="N150" s="49" t="str">
        <f t="shared" si="16"/>
        <v>Within Tolerance</v>
      </c>
    </row>
    <row r="151" spans="1:14" s="43" customFormat="1" hidden="1" x14ac:dyDescent="0.3">
      <c r="A151" s="169">
        <v>46149</v>
      </c>
      <c r="B151" s="64">
        <v>46149.333333333299</v>
      </c>
      <c r="C151" s="142">
        <f t="shared" si="12"/>
        <v>46149.333333333299</v>
      </c>
      <c r="D151" s="19" t="s">
        <v>41</v>
      </c>
      <c r="E151" s="7" t="s">
        <v>11</v>
      </c>
      <c r="F151" s="114">
        <v>0.53</v>
      </c>
      <c r="G151" s="115">
        <v>0.52</v>
      </c>
      <c r="H151" s="116">
        <v>0.51</v>
      </c>
      <c r="I151" s="46">
        <f t="shared" si="13"/>
        <v>-1.0000000000000009E-2</v>
      </c>
      <c r="J151" s="46">
        <f t="shared" si="14"/>
        <v>-2.0000000000000018E-2</v>
      </c>
      <c r="K151" s="46">
        <f t="shared" si="15"/>
        <v>-1.0000000000000009E-2</v>
      </c>
      <c r="L151" s="49" t="str">
        <f t="shared" si="16"/>
        <v>Within Tolerance</v>
      </c>
      <c r="M151" s="49" t="str">
        <f t="shared" si="16"/>
        <v>Within Tolerance</v>
      </c>
      <c r="N151" s="49" t="str">
        <f t="shared" si="16"/>
        <v>Within Tolerance</v>
      </c>
    </row>
    <row r="152" spans="1:14" s="43" customFormat="1" hidden="1" x14ac:dyDescent="0.3">
      <c r="A152" s="168">
        <v>46149</v>
      </c>
      <c r="B152" s="64">
        <v>46149.447916666701</v>
      </c>
      <c r="C152" s="142">
        <f t="shared" si="12"/>
        <v>46149.447916666701</v>
      </c>
      <c r="D152" s="19" t="s">
        <v>35</v>
      </c>
      <c r="E152" s="7" t="s">
        <v>11</v>
      </c>
      <c r="F152" s="114" t="s">
        <v>93</v>
      </c>
      <c r="G152" s="115">
        <v>0.55000000000000004</v>
      </c>
      <c r="H152" s="116">
        <v>0.54</v>
      </c>
      <c r="I152" s="46" t="str">
        <f t="shared" si="13"/>
        <v/>
      </c>
      <c r="J152" s="46" t="str">
        <f t="shared" si="14"/>
        <v/>
      </c>
      <c r="K152" s="46">
        <f t="shared" si="15"/>
        <v>-1.0000000000000009E-2</v>
      </c>
      <c r="L152" s="49" t="str">
        <f t="shared" si="16"/>
        <v/>
      </c>
      <c r="M152" s="49" t="str">
        <f t="shared" si="16"/>
        <v/>
      </c>
      <c r="N152" s="49" t="str">
        <f t="shared" si="16"/>
        <v>Within Tolerance</v>
      </c>
    </row>
    <row r="153" spans="1:14" s="43" customFormat="1" hidden="1" x14ac:dyDescent="0.3">
      <c r="A153" s="169">
        <v>46149</v>
      </c>
      <c r="B153" s="64">
        <v>46149.520833333299</v>
      </c>
      <c r="C153" s="142">
        <f t="shared" si="12"/>
        <v>46149.520833333299</v>
      </c>
      <c r="D153" s="19" t="s">
        <v>35</v>
      </c>
      <c r="E153" s="7" t="s">
        <v>11</v>
      </c>
      <c r="F153" s="114" t="s">
        <v>93</v>
      </c>
      <c r="G153" s="115">
        <v>0.56000000000000005</v>
      </c>
      <c r="H153" s="116">
        <v>0.56000000000000005</v>
      </c>
      <c r="I153" s="46" t="str">
        <f t="shared" si="13"/>
        <v/>
      </c>
      <c r="J153" s="46" t="str">
        <f t="shared" si="14"/>
        <v/>
      </c>
      <c r="K153" s="46">
        <f t="shared" si="15"/>
        <v>0</v>
      </c>
      <c r="L153" s="49" t="str">
        <f t="shared" si="16"/>
        <v/>
      </c>
      <c r="M153" s="49" t="str">
        <f t="shared" si="16"/>
        <v/>
      </c>
      <c r="N153" s="49" t="str">
        <f t="shared" si="16"/>
        <v>Within Tolerance</v>
      </c>
    </row>
    <row r="154" spans="1:14" s="43" customFormat="1" hidden="1" x14ac:dyDescent="0.3">
      <c r="A154" s="168">
        <v>46149</v>
      </c>
      <c r="B154" s="64">
        <v>46149.583333333299</v>
      </c>
      <c r="C154" s="142">
        <f t="shared" si="12"/>
        <v>46149.583333333299</v>
      </c>
      <c r="D154" s="19" t="s">
        <v>35</v>
      </c>
      <c r="E154" s="7" t="s">
        <v>11</v>
      </c>
      <c r="F154" s="114" t="s">
        <v>93</v>
      </c>
      <c r="G154" s="115">
        <v>0.56000000000000005</v>
      </c>
      <c r="H154" s="116">
        <v>0.55000000000000004</v>
      </c>
      <c r="I154" s="46" t="str">
        <f t="shared" si="13"/>
        <v/>
      </c>
      <c r="J154" s="46" t="str">
        <f t="shared" si="14"/>
        <v/>
      </c>
      <c r="K154" s="46">
        <f t="shared" si="15"/>
        <v>-1.0000000000000009E-2</v>
      </c>
      <c r="L154" s="49" t="str">
        <f t="shared" si="16"/>
        <v/>
      </c>
      <c r="M154" s="49" t="str">
        <f t="shared" si="16"/>
        <v/>
      </c>
      <c r="N154" s="49" t="str">
        <f t="shared" si="16"/>
        <v>Within Tolerance</v>
      </c>
    </row>
    <row r="155" spans="1:14" s="43" customFormat="1" hidden="1" x14ac:dyDescent="0.3">
      <c r="A155" s="169">
        <v>46149</v>
      </c>
      <c r="B155" s="64">
        <v>46149.666666666701</v>
      </c>
      <c r="C155" s="142">
        <f t="shared" si="12"/>
        <v>46149.666666666701</v>
      </c>
      <c r="D155" s="19" t="s">
        <v>35</v>
      </c>
      <c r="E155" s="7" t="s">
        <v>11</v>
      </c>
      <c r="F155" s="114">
        <v>0.56999999999999995</v>
      </c>
      <c r="G155" s="115">
        <v>0.57999999999999996</v>
      </c>
      <c r="H155" s="116">
        <v>0.56000000000000005</v>
      </c>
      <c r="I155" s="46">
        <f t="shared" si="13"/>
        <v>1.0000000000000009E-2</v>
      </c>
      <c r="J155" s="46">
        <f t="shared" si="14"/>
        <v>-9.9999999999998979E-3</v>
      </c>
      <c r="K155" s="46">
        <f t="shared" si="15"/>
        <v>-1.9999999999999907E-2</v>
      </c>
      <c r="L155" s="49" t="str">
        <f t="shared" si="16"/>
        <v>Within Tolerance</v>
      </c>
      <c r="M155" s="49" t="str">
        <f t="shared" si="16"/>
        <v>Within Tolerance</v>
      </c>
      <c r="N155" s="49" t="str">
        <f t="shared" si="16"/>
        <v>Within Tolerance</v>
      </c>
    </row>
    <row r="156" spans="1:14" s="43" customFormat="1" hidden="1" x14ac:dyDescent="0.3">
      <c r="A156" s="168">
        <v>46149</v>
      </c>
      <c r="B156" s="64">
        <v>46149.756944444402</v>
      </c>
      <c r="C156" s="142">
        <f t="shared" si="12"/>
        <v>46149.756944444402</v>
      </c>
      <c r="D156" s="19" t="s">
        <v>35</v>
      </c>
      <c r="E156" s="7" t="s">
        <v>11</v>
      </c>
      <c r="F156" s="114" t="s">
        <v>93</v>
      </c>
      <c r="G156" s="115">
        <v>0.57999999999999996</v>
      </c>
      <c r="H156" s="116">
        <v>0.56000000000000005</v>
      </c>
      <c r="I156" s="46" t="str">
        <f t="shared" si="13"/>
        <v/>
      </c>
      <c r="J156" s="46" t="str">
        <f t="shared" si="14"/>
        <v/>
      </c>
      <c r="K156" s="46">
        <f t="shared" si="15"/>
        <v>-1.9999999999999907E-2</v>
      </c>
      <c r="L156" s="49" t="str">
        <f t="shared" si="16"/>
        <v/>
      </c>
      <c r="M156" s="49" t="str">
        <f t="shared" si="16"/>
        <v/>
      </c>
      <c r="N156" s="49" t="str">
        <f t="shared" si="16"/>
        <v>Within Tolerance</v>
      </c>
    </row>
    <row r="157" spans="1:14" s="43" customFormat="1" hidden="1" x14ac:dyDescent="0.3">
      <c r="A157" s="169">
        <v>46149</v>
      </c>
      <c r="B157" s="64">
        <v>46149.833333333299</v>
      </c>
      <c r="C157" s="142">
        <f t="shared" si="12"/>
        <v>46149.833333333299</v>
      </c>
      <c r="D157" s="19" t="s">
        <v>35</v>
      </c>
      <c r="E157" s="7" t="s">
        <v>11</v>
      </c>
      <c r="F157" s="114" t="s">
        <v>93</v>
      </c>
      <c r="G157" s="115">
        <v>0.56000000000000005</v>
      </c>
      <c r="H157" s="116">
        <v>0.55000000000000004</v>
      </c>
      <c r="I157" s="46" t="str">
        <f t="shared" si="13"/>
        <v/>
      </c>
      <c r="J157" s="46" t="str">
        <f t="shared" si="14"/>
        <v/>
      </c>
      <c r="K157" s="46">
        <f t="shared" si="15"/>
        <v>-1.0000000000000009E-2</v>
      </c>
      <c r="L157" s="49" t="str">
        <f t="shared" si="16"/>
        <v/>
      </c>
      <c r="M157" s="49" t="str">
        <f t="shared" si="16"/>
        <v/>
      </c>
      <c r="N157" s="49" t="str">
        <f t="shared" si="16"/>
        <v>Within Tolerance</v>
      </c>
    </row>
    <row r="158" spans="1:14" s="43" customFormat="1" x14ac:dyDescent="0.3">
      <c r="A158" s="168">
        <v>46149</v>
      </c>
      <c r="B158" s="64">
        <v>46149.916666666701</v>
      </c>
      <c r="C158" s="142">
        <f t="shared" si="12"/>
        <v>46149.916666666701</v>
      </c>
      <c r="D158" s="19" t="s">
        <v>35</v>
      </c>
      <c r="E158" s="7" t="s">
        <v>11</v>
      </c>
      <c r="F158" s="114" t="s">
        <v>93</v>
      </c>
      <c r="G158" s="115">
        <v>0.56000000000000005</v>
      </c>
      <c r="H158" s="114" t="s">
        <v>93</v>
      </c>
      <c r="I158" s="46" t="str">
        <f t="shared" si="13"/>
        <v/>
      </c>
      <c r="J158" s="46" t="str">
        <f t="shared" si="14"/>
        <v/>
      </c>
      <c r="K158" s="46" t="str">
        <f t="shared" si="15"/>
        <v/>
      </c>
      <c r="L158" s="49" t="str">
        <f t="shared" si="16"/>
        <v/>
      </c>
      <c r="M158" s="49" t="str">
        <f t="shared" si="16"/>
        <v/>
      </c>
      <c r="N158" s="49" t="str">
        <f t="shared" si="16"/>
        <v/>
      </c>
    </row>
    <row r="159" spans="1:14" s="43" customFormat="1" x14ac:dyDescent="0.3">
      <c r="A159" s="169">
        <v>46149</v>
      </c>
      <c r="B159" s="64">
        <v>46149.96875</v>
      </c>
      <c r="C159" s="142">
        <f t="shared" si="12"/>
        <v>46149.96875</v>
      </c>
      <c r="D159" s="19" t="s">
        <v>13</v>
      </c>
      <c r="E159" s="7" t="s">
        <v>11</v>
      </c>
      <c r="F159" s="114" t="s">
        <v>93</v>
      </c>
      <c r="G159" s="115">
        <v>0.53</v>
      </c>
      <c r="H159" s="114" t="s">
        <v>93</v>
      </c>
      <c r="I159" s="46" t="str">
        <f t="shared" si="13"/>
        <v/>
      </c>
      <c r="J159" s="46" t="str">
        <f t="shared" si="14"/>
        <v/>
      </c>
      <c r="K159" s="46" t="str">
        <f t="shared" si="15"/>
        <v/>
      </c>
      <c r="L159" s="49" t="str">
        <f t="shared" si="16"/>
        <v/>
      </c>
      <c r="M159" s="49" t="str">
        <f t="shared" si="16"/>
        <v/>
      </c>
      <c r="N159" s="49" t="str">
        <f t="shared" si="16"/>
        <v/>
      </c>
    </row>
    <row r="160" spans="1:14" s="43" customFormat="1" hidden="1" x14ac:dyDescent="0.3">
      <c r="A160" s="168">
        <v>46150</v>
      </c>
      <c r="B160" s="64">
        <v>46150</v>
      </c>
      <c r="C160" s="142">
        <f t="shared" si="12"/>
        <v>46150</v>
      </c>
      <c r="D160" s="19" t="s">
        <v>13</v>
      </c>
      <c r="E160" s="7" t="s">
        <v>11</v>
      </c>
      <c r="F160" s="114" t="s">
        <v>93</v>
      </c>
      <c r="G160" s="115">
        <v>0.51</v>
      </c>
      <c r="H160" s="116">
        <v>0.53</v>
      </c>
      <c r="I160" s="46" t="str">
        <f t="shared" si="13"/>
        <v/>
      </c>
      <c r="J160" s="46" t="str">
        <f t="shared" si="14"/>
        <v/>
      </c>
      <c r="K160" s="46">
        <f t="shared" si="15"/>
        <v>2.0000000000000018E-2</v>
      </c>
      <c r="L160" s="49" t="str">
        <f t="shared" si="16"/>
        <v/>
      </c>
      <c r="M160" s="49" t="str">
        <f t="shared" si="16"/>
        <v/>
      </c>
      <c r="N160" s="49" t="str">
        <f t="shared" si="16"/>
        <v>Within Tolerance</v>
      </c>
    </row>
    <row r="161" spans="1:14" s="43" customFormat="1" hidden="1" x14ac:dyDescent="0.3">
      <c r="A161" s="169">
        <v>46150</v>
      </c>
      <c r="B161" s="64">
        <v>46150.083333333299</v>
      </c>
      <c r="C161" s="142">
        <f t="shared" si="12"/>
        <v>46150.083333333299</v>
      </c>
      <c r="D161" s="19" t="s">
        <v>13</v>
      </c>
      <c r="E161" s="7" t="s">
        <v>11</v>
      </c>
      <c r="F161" s="114" t="s">
        <v>93</v>
      </c>
      <c r="G161" s="115">
        <v>0.51</v>
      </c>
      <c r="H161" s="116">
        <v>0.52</v>
      </c>
      <c r="I161" s="46" t="str">
        <f t="shared" si="13"/>
        <v/>
      </c>
      <c r="J161" s="46" t="str">
        <f t="shared" si="14"/>
        <v/>
      </c>
      <c r="K161" s="46">
        <f t="shared" si="15"/>
        <v>1.0000000000000009E-2</v>
      </c>
      <c r="L161" s="49" t="str">
        <f t="shared" si="16"/>
        <v/>
      </c>
      <c r="M161" s="49" t="str">
        <f t="shared" si="16"/>
        <v/>
      </c>
      <c r="N161" s="49" t="str">
        <f t="shared" si="16"/>
        <v>Within Tolerance</v>
      </c>
    </row>
    <row r="162" spans="1:14" s="43" customFormat="1" hidden="1" x14ac:dyDescent="0.3">
      <c r="A162" s="168">
        <v>46150</v>
      </c>
      <c r="B162" s="64">
        <v>46150.166666666701</v>
      </c>
      <c r="C162" s="142">
        <f t="shared" si="12"/>
        <v>46150.166666666701</v>
      </c>
      <c r="D162" s="19" t="s">
        <v>13</v>
      </c>
      <c r="E162" s="7" t="s">
        <v>11</v>
      </c>
      <c r="F162" s="114" t="s">
        <v>93</v>
      </c>
      <c r="G162" s="115">
        <v>0.52</v>
      </c>
      <c r="H162" s="116">
        <v>0.52</v>
      </c>
      <c r="I162" s="46" t="str">
        <f t="shared" si="13"/>
        <v/>
      </c>
      <c r="J162" s="46" t="str">
        <f t="shared" si="14"/>
        <v/>
      </c>
      <c r="K162" s="46">
        <f t="shared" si="15"/>
        <v>0</v>
      </c>
      <c r="L162" s="49" t="str">
        <f t="shared" si="16"/>
        <v/>
      </c>
      <c r="M162" s="49" t="str">
        <f t="shared" si="16"/>
        <v/>
      </c>
      <c r="N162" s="49" t="str">
        <f t="shared" si="16"/>
        <v>Within Tolerance</v>
      </c>
    </row>
    <row r="163" spans="1:14" s="43" customFormat="1" hidden="1" x14ac:dyDescent="0.3">
      <c r="A163" s="169">
        <v>46150</v>
      </c>
      <c r="B163" s="64">
        <v>46150.25</v>
      </c>
      <c r="C163" s="142">
        <f t="shared" si="12"/>
        <v>46150.25</v>
      </c>
      <c r="D163" s="19" t="s">
        <v>13</v>
      </c>
      <c r="E163" s="7" t="s">
        <v>11</v>
      </c>
      <c r="F163" s="114" t="s">
        <v>93</v>
      </c>
      <c r="G163" s="115">
        <v>0.52</v>
      </c>
      <c r="H163" s="116">
        <v>0.54</v>
      </c>
      <c r="I163" s="46" t="str">
        <f t="shared" si="13"/>
        <v/>
      </c>
      <c r="J163" s="46" t="str">
        <f t="shared" si="14"/>
        <v/>
      </c>
      <c r="K163" s="46">
        <f t="shared" si="15"/>
        <v>2.0000000000000018E-2</v>
      </c>
      <c r="L163" s="49" t="str">
        <f t="shared" si="16"/>
        <v/>
      </c>
      <c r="M163" s="49" t="str">
        <f t="shared" si="16"/>
        <v/>
      </c>
      <c r="N163" s="49" t="str">
        <f t="shared" si="16"/>
        <v>Within Tolerance</v>
      </c>
    </row>
    <row r="164" spans="1:14" s="43" customFormat="1" x14ac:dyDescent="0.3">
      <c r="A164" s="168">
        <v>46149</v>
      </c>
      <c r="B164" s="64">
        <v>46149.753472222197</v>
      </c>
      <c r="C164" s="142">
        <f t="shared" si="12"/>
        <v>46149.753472222197</v>
      </c>
      <c r="D164" s="19" t="s">
        <v>29</v>
      </c>
      <c r="E164" s="7" t="s">
        <v>15</v>
      </c>
      <c r="F164" s="114" t="s">
        <v>93</v>
      </c>
      <c r="G164" s="115">
        <v>0.55000000000000004</v>
      </c>
      <c r="H164" s="114" t="s">
        <v>93</v>
      </c>
      <c r="I164" s="46" t="str">
        <f t="shared" si="13"/>
        <v/>
      </c>
      <c r="J164" s="46" t="str">
        <f t="shared" si="14"/>
        <v/>
      </c>
      <c r="K164" s="46" t="str">
        <f t="shared" si="15"/>
        <v/>
      </c>
      <c r="L164" s="49" t="str">
        <f t="shared" si="16"/>
        <v/>
      </c>
      <c r="M164" s="49" t="str">
        <f t="shared" si="16"/>
        <v/>
      </c>
      <c r="N164" s="49" t="str">
        <f t="shared" si="16"/>
        <v/>
      </c>
    </row>
    <row r="165" spans="1:14" s="43" customFormat="1" hidden="1" x14ac:dyDescent="0.3">
      <c r="A165" s="169">
        <v>46149</v>
      </c>
      <c r="B165" s="64">
        <v>46149.770833333299</v>
      </c>
      <c r="C165" s="142">
        <f t="shared" si="12"/>
        <v>46149.770833333299</v>
      </c>
      <c r="D165" s="19" t="s">
        <v>29</v>
      </c>
      <c r="E165" s="7" t="s">
        <v>15</v>
      </c>
      <c r="F165" s="114" t="s">
        <v>93</v>
      </c>
      <c r="G165" s="115">
        <v>0.56000000000000005</v>
      </c>
      <c r="H165" s="116">
        <v>0.56000000000000005</v>
      </c>
      <c r="I165" s="46" t="str">
        <f t="shared" si="13"/>
        <v/>
      </c>
      <c r="J165" s="46" t="str">
        <f t="shared" si="14"/>
        <v/>
      </c>
      <c r="K165" s="46">
        <f t="shared" si="15"/>
        <v>0</v>
      </c>
      <c r="L165" s="49" t="str">
        <f t="shared" si="16"/>
        <v/>
      </c>
      <c r="M165" s="49" t="str">
        <f t="shared" si="16"/>
        <v/>
      </c>
      <c r="N165" s="49" t="str">
        <f t="shared" si="16"/>
        <v>Within Tolerance</v>
      </c>
    </row>
    <row r="166" spans="1:14" s="43" customFormat="1" x14ac:dyDescent="0.3">
      <c r="A166" s="168">
        <v>46149</v>
      </c>
      <c r="B166" s="64">
        <v>46149.791666666701</v>
      </c>
      <c r="C166" s="142">
        <f t="shared" si="12"/>
        <v>46149.791666666701</v>
      </c>
      <c r="D166" s="19" t="s">
        <v>29</v>
      </c>
      <c r="E166" s="7" t="s">
        <v>15</v>
      </c>
      <c r="F166" s="114" t="s">
        <v>93</v>
      </c>
      <c r="G166" s="115">
        <v>0.54</v>
      </c>
      <c r="H166" s="114" t="s">
        <v>93</v>
      </c>
      <c r="I166" s="46" t="str">
        <f t="shared" si="13"/>
        <v/>
      </c>
      <c r="J166" s="46" t="str">
        <f t="shared" si="14"/>
        <v/>
      </c>
      <c r="K166" s="46" t="str">
        <f t="shared" si="15"/>
        <v/>
      </c>
      <c r="L166" s="49" t="str">
        <f t="shared" si="16"/>
        <v/>
      </c>
      <c r="M166" s="49" t="str">
        <f t="shared" si="16"/>
        <v/>
      </c>
      <c r="N166" s="49" t="str">
        <f t="shared" si="16"/>
        <v/>
      </c>
    </row>
    <row r="167" spans="1:14" s="43" customFormat="1" hidden="1" x14ac:dyDescent="0.3">
      <c r="A167" s="169">
        <v>46149</v>
      </c>
      <c r="B167" s="64">
        <v>46149.833333333299</v>
      </c>
      <c r="C167" s="142">
        <f t="shared" si="12"/>
        <v>46149.833333333299</v>
      </c>
      <c r="D167" s="19" t="s">
        <v>29</v>
      </c>
      <c r="E167" s="7" t="s">
        <v>15</v>
      </c>
      <c r="F167" s="114" t="s">
        <v>93</v>
      </c>
      <c r="G167" s="115">
        <v>0.54</v>
      </c>
      <c r="H167" s="116">
        <v>0.53</v>
      </c>
      <c r="I167" s="46" t="str">
        <f t="shared" si="13"/>
        <v/>
      </c>
      <c r="J167" s="46" t="str">
        <f t="shared" si="14"/>
        <v/>
      </c>
      <c r="K167" s="46">
        <f t="shared" si="15"/>
        <v>-1.0000000000000009E-2</v>
      </c>
      <c r="L167" s="49" t="str">
        <f t="shared" si="16"/>
        <v/>
      </c>
      <c r="M167" s="49" t="str">
        <f t="shared" si="16"/>
        <v/>
      </c>
      <c r="N167" s="49" t="str">
        <f t="shared" si="16"/>
        <v>Within Tolerance</v>
      </c>
    </row>
    <row r="168" spans="1:14" s="43" customFormat="1" x14ac:dyDescent="0.3">
      <c r="A168" s="168">
        <v>46150</v>
      </c>
      <c r="B168" s="64">
        <v>46150.020833333299</v>
      </c>
      <c r="C168" s="142">
        <f t="shared" si="12"/>
        <v>46150.020833333299</v>
      </c>
      <c r="D168" s="19" t="s">
        <v>29</v>
      </c>
      <c r="E168" s="7" t="s">
        <v>15</v>
      </c>
      <c r="F168" s="114" t="s">
        <v>93</v>
      </c>
      <c r="G168" s="115">
        <v>0.56999999999999995</v>
      </c>
      <c r="H168" s="114" t="s">
        <v>93</v>
      </c>
      <c r="I168" s="46" t="str">
        <f t="shared" si="13"/>
        <v/>
      </c>
      <c r="J168" s="46" t="str">
        <f t="shared" si="14"/>
        <v/>
      </c>
      <c r="K168" s="46" t="str">
        <f t="shared" si="15"/>
        <v/>
      </c>
      <c r="L168" s="49" t="str">
        <f t="shared" si="16"/>
        <v/>
      </c>
      <c r="M168" s="49" t="str">
        <f t="shared" si="16"/>
        <v/>
      </c>
      <c r="N168" s="49" t="str">
        <f t="shared" si="16"/>
        <v/>
      </c>
    </row>
    <row r="169" spans="1:14" s="43" customFormat="1" hidden="1" x14ac:dyDescent="0.3">
      <c r="A169" s="169">
        <v>46150</v>
      </c>
      <c r="B169" s="64">
        <v>46150.041666666701</v>
      </c>
      <c r="C169" s="142">
        <f t="shared" si="12"/>
        <v>46150.041666666701</v>
      </c>
      <c r="D169" s="19" t="s">
        <v>29</v>
      </c>
      <c r="E169" s="7" t="s">
        <v>15</v>
      </c>
      <c r="F169" s="114">
        <v>0.52</v>
      </c>
      <c r="G169" s="115">
        <v>0.52</v>
      </c>
      <c r="H169" s="116">
        <v>0.52</v>
      </c>
      <c r="I169" s="46">
        <f t="shared" si="13"/>
        <v>0</v>
      </c>
      <c r="J169" s="46">
        <f t="shared" si="14"/>
        <v>0</v>
      </c>
      <c r="K169" s="46">
        <f t="shared" si="15"/>
        <v>0</v>
      </c>
      <c r="L169" s="49" t="str">
        <f t="shared" si="16"/>
        <v>Within Tolerance</v>
      </c>
      <c r="M169" s="49" t="str">
        <f t="shared" si="16"/>
        <v>Within Tolerance</v>
      </c>
      <c r="N169" s="49" t="str">
        <f t="shared" si="16"/>
        <v>Within Tolerance</v>
      </c>
    </row>
    <row r="170" spans="1:14" s="43" customFormat="1" hidden="1" x14ac:dyDescent="0.3">
      <c r="A170" s="168">
        <v>46149</v>
      </c>
      <c r="B170" s="64">
        <v>46149.423611111102</v>
      </c>
      <c r="C170" s="142">
        <f t="shared" si="12"/>
        <v>46149.423611111102</v>
      </c>
      <c r="D170" s="19" t="s">
        <v>20</v>
      </c>
      <c r="E170" s="7" t="s">
        <v>19</v>
      </c>
      <c r="F170" s="114">
        <v>0.51</v>
      </c>
      <c r="G170" s="115">
        <v>0.52</v>
      </c>
      <c r="H170" s="116">
        <v>0.53</v>
      </c>
      <c r="I170" s="46">
        <f t="shared" si="13"/>
        <v>1.0000000000000009E-2</v>
      </c>
      <c r="J170" s="46">
        <f t="shared" si="14"/>
        <v>2.0000000000000018E-2</v>
      </c>
      <c r="K170" s="46">
        <f t="shared" si="15"/>
        <v>1.0000000000000009E-2</v>
      </c>
      <c r="L170" s="49" t="str">
        <f t="shared" si="16"/>
        <v>Within Tolerance</v>
      </c>
      <c r="M170" s="49" t="str">
        <f t="shared" si="16"/>
        <v>Within Tolerance</v>
      </c>
      <c r="N170" s="49" t="str">
        <f t="shared" si="16"/>
        <v>Within Tolerance</v>
      </c>
    </row>
    <row r="171" spans="1:14" s="43" customFormat="1" x14ac:dyDescent="0.3">
      <c r="A171" s="169">
        <v>46149</v>
      </c>
      <c r="B171" s="64">
        <v>10.3</v>
      </c>
      <c r="C171" s="142">
        <f t="shared" si="12"/>
        <v>46149.3</v>
      </c>
      <c r="D171" s="19" t="s">
        <v>36</v>
      </c>
      <c r="E171" s="7" t="s">
        <v>19</v>
      </c>
      <c r="F171" s="114">
        <v>0.41</v>
      </c>
      <c r="G171" s="115">
        <v>0.42</v>
      </c>
      <c r="H171" s="114" t="s">
        <v>93</v>
      </c>
      <c r="I171" s="46">
        <f t="shared" si="13"/>
        <v>1.0000000000000009E-2</v>
      </c>
      <c r="J171" s="46" t="str">
        <f t="shared" si="14"/>
        <v/>
      </c>
      <c r="K171" s="46" t="str">
        <f t="shared" si="15"/>
        <v/>
      </c>
      <c r="L171" s="49" t="str">
        <f t="shared" si="16"/>
        <v>Within Tolerance</v>
      </c>
      <c r="M171" s="49" t="str">
        <f t="shared" si="16"/>
        <v/>
      </c>
      <c r="N171" s="49" t="str">
        <f t="shared" si="16"/>
        <v/>
      </c>
    </row>
    <row r="172" spans="1:14" s="43" customFormat="1" hidden="1" x14ac:dyDescent="0.3">
      <c r="A172" s="168">
        <v>46149</v>
      </c>
      <c r="B172" s="64">
        <v>46149.46875</v>
      </c>
      <c r="C172" s="142">
        <f t="shared" si="12"/>
        <v>46149.46875</v>
      </c>
      <c r="D172" s="19" t="s">
        <v>21</v>
      </c>
      <c r="E172" s="7" t="s">
        <v>19</v>
      </c>
      <c r="F172" s="114">
        <v>0.51</v>
      </c>
      <c r="G172" s="115">
        <v>0.51</v>
      </c>
      <c r="H172" s="116">
        <v>0.53</v>
      </c>
      <c r="I172" s="46">
        <f t="shared" si="13"/>
        <v>0</v>
      </c>
      <c r="J172" s="46">
        <f t="shared" si="14"/>
        <v>2.0000000000000018E-2</v>
      </c>
      <c r="K172" s="46">
        <f t="shared" si="15"/>
        <v>2.0000000000000018E-2</v>
      </c>
      <c r="L172" s="49" t="str">
        <f t="shared" si="16"/>
        <v>Within Tolerance</v>
      </c>
      <c r="M172" s="49" t="str">
        <f t="shared" si="16"/>
        <v>Within Tolerance</v>
      </c>
      <c r="N172" s="49" t="str">
        <f t="shared" si="16"/>
        <v>Within Tolerance</v>
      </c>
    </row>
    <row r="173" spans="1:14" s="43" customFormat="1" hidden="1" x14ac:dyDescent="0.3">
      <c r="A173" s="169">
        <v>46149</v>
      </c>
      <c r="B173" s="64">
        <v>46149.565972222197</v>
      </c>
      <c r="C173" s="142">
        <f t="shared" si="12"/>
        <v>46149.565972222197</v>
      </c>
      <c r="D173" s="19" t="s">
        <v>18</v>
      </c>
      <c r="E173" s="7" t="s">
        <v>19</v>
      </c>
      <c r="F173" s="114">
        <v>0.53</v>
      </c>
      <c r="G173" s="115">
        <v>0.54</v>
      </c>
      <c r="H173" s="116">
        <v>0.53</v>
      </c>
      <c r="I173" s="46">
        <f t="shared" si="13"/>
        <v>1.0000000000000009E-2</v>
      </c>
      <c r="J173" s="46">
        <f t="shared" si="14"/>
        <v>0</v>
      </c>
      <c r="K173" s="46">
        <f t="shared" si="15"/>
        <v>-1.0000000000000009E-2</v>
      </c>
      <c r="L173" s="49" t="str">
        <f t="shared" si="16"/>
        <v>Within Tolerance</v>
      </c>
      <c r="M173" s="49" t="str">
        <f t="shared" si="16"/>
        <v>Within Tolerance</v>
      </c>
      <c r="N173" s="49" t="str">
        <f t="shared" si="16"/>
        <v>Within Tolerance</v>
      </c>
    </row>
    <row r="174" spans="1:14" s="43" customFormat="1" hidden="1" x14ac:dyDescent="0.3">
      <c r="A174" s="168">
        <v>46149</v>
      </c>
      <c r="B174" s="64">
        <v>46149.652777777803</v>
      </c>
      <c r="C174" s="142">
        <f t="shared" si="12"/>
        <v>46149.652777777803</v>
      </c>
      <c r="D174" s="19" t="s">
        <v>37</v>
      </c>
      <c r="E174" s="7" t="s">
        <v>19</v>
      </c>
      <c r="F174" s="114">
        <v>0.43</v>
      </c>
      <c r="G174" s="115">
        <v>0.44</v>
      </c>
      <c r="H174" s="116">
        <v>0.44</v>
      </c>
      <c r="I174" s="46">
        <f t="shared" si="13"/>
        <v>1.0000000000000009E-2</v>
      </c>
      <c r="J174" s="46">
        <f t="shared" si="14"/>
        <v>1.0000000000000009E-2</v>
      </c>
      <c r="K174" s="46">
        <f t="shared" si="15"/>
        <v>0</v>
      </c>
      <c r="L174" s="49" t="str">
        <f t="shared" si="16"/>
        <v>Within Tolerance</v>
      </c>
      <c r="M174" s="49" t="str">
        <f t="shared" si="16"/>
        <v>Within Tolerance</v>
      </c>
      <c r="N174" s="49" t="str">
        <f t="shared" si="16"/>
        <v>Within Tolerance</v>
      </c>
    </row>
    <row r="175" spans="1:14" s="43" customFormat="1" hidden="1" x14ac:dyDescent="0.3">
      <c r="A175" s="169">
        <v>46149</v>
      </c>
      <c r="B175" s="64">
        <v>46149.434027777803</v>
      </c>
      <c r="C175" s="142">
        <f t="shared" si="12"/>
        <v>46149.434027777803</v>
      </c>
      <c r="D175" s="7" t="s">
        <v>26</v>
      </c>
      <c r="E175" s="7" t="s">
        <v>24</v>
      </c>
      <c r="F175" s="114">
        <v>0.64</v>
      </c>
      <c r="G175" s="115">
        <v>0.65</v>
      </c>
      <c r="H175" s="116">
        <v>0.63</v>
      </c>
      <c r="I175" s="46">
        <f t="shared" si="13"/>
        <v>1.0000000000000009E-2</v>
      </c>
      <c r="J175" s="46">
        <f t="shared" si="14"/>
        <v>-1.0000000000000009E-2</v>
      </c>
      <c r="K175" s="46">
        <f t="shared" si="15"/>
        <v>-2.0000000000000018E-2</v>
      </c>
      <c r="L175" s="49" t="str">
        <f t="shared" si="16"/>
        <v>Within Tolerance</v>
      </c>
      <c r="M175" s="49" t="str">
        <f t="shared" si="16"/>
        <v>Within Tolerance</v>
      </c>
      <c r="N175" s="49" t="str">
        <f t="shared" si="16"/>
        <v>Within Tolerance</v>
      </c>
    </row>
    <row r="176" spans="1:14" s="43" customFormat="1" hidden="1" x14ac:dyDescent="0.3">
      <c r="A176" s="168">
        <v>46149</v>
      </c>
      <c r="B176" s="64">
        <v>46149.479166666701</v>
      </c>
      <c r="C176" s="142">
        <f t="shared" si="12"/>
        <v>46149.479166666701</v>
      </c>
      <c r="D176" s="7" t="s">
        <v>25</v>
      </c>
      <c r="E176" s="7" t="s">
        <v>24</v>
      </c>
      <c r="F176" s="114">
        <v>0.61</v>
      </c>
      <c r="G176" s="115">
        <v>0.61</v>
      </c>
      <c r="H176" s="116">
        <v>0.56999999999999995</v>
      </c>
      <c r="I176" s="46">
        <f t="shared" si="13"/>
        <v>0</v>
      </c>
      <c r="J176" s="46">
        <f t="shared" si="14"/>
        <v>-4.0000000000000036E-2</v>
      </c>
      <c r="K176" s="46">
        <f t="shared" si="15"/>
        <v>-4.0000000000000036E-2</v>
      </c>
      <c r="L176" s="49" t="str">
        <f t="shared" si="16"/>
        <v>Within Tolerance</v>
      </c>
      <c r="M176" s="49" t="str">
        <f t="shared" si="16"/>
        <v>Out of Tolerance</v>
      </c>
      <c r="N176" s="49" t="str">
        <f t="shared" si="16"/>
        <v>Out of Tolerance</v>
      </c>
    </row>
    <row r="177" spans="1:14" s="43" customFormat="1" hidden="1" x14ac:dyDescent="0.3">
      <c r="A177" s="169">
        <v>46150</v>
      </c>
      <c r="B177" s="64">
        <v>46150.333333333299</v>
      </c>
      <c r="C177" s="142">
        <f t="shared" si="12"/>
        <v>46150.333333333299</v>
      </c>
      <c r="D177" s="19" t="s">
        <v>13</v>
      </c>
      <c r="E177" s="7" t="s">
        <v>11</v>
      </c>
      <c r="F177" s="114">
        <v>0.51</v>
      </c>
      <c r="G177" s="115">
        <v>0.51</v>
      </c>
      <c r="H177" s="116">
        <v>0.51</v>
      </c>
      <c r="I177" s="46">
        <f t="shared" si="13"/>
        <v>0</v>
      </c>
      <c r="J177" s="46">
        <f t="shared" si="14"/>
        <v>0</v>
      </c>
      <c r="K177" s="46">
        <f t="shared" si="15"/>
        <v>0</v>
      </c>
      <c r="L177" s="49" t="str">
        <f t="shared" si="16"/>
        <v>Within Tolerance</v>
      </c>
      <c r="M177" s="49" t="str">
        <f t="shared" si="16"/>
        <v>Within Tolerance</v>
      </c>
      <c r="N177" s="49" t="str">
        <f t="shared" si="16"/>
        <v>Within Tolerance</v>
      </c>
    </row>
    <row r="178" spans="1:14" s="43" customFormat="1" hidden="1" x14ac:dyDescent="0.3">
      <c r="A178" s="168">
        <v>46150</v>
      </c>
      <c r="B178" s="64">
        <v>46150.416666666701</v>
      </c>
      <c r="C178" s="142">
        <f t="shared" si="12"/>
        <v>46150.416666666701</v>
      </c>
      <c r="D178" s="19" t="s">
        <v>13</v>
      </c>
      <c r="E178" s="7" t="s">
        <v>11</v>
      </c>
      <c r="F178" s="114" t="s">
        <v>93</v>
      </c>
      <c r="G178" s="115">
        <v>0.55000000000000004</v>
      </c>
      <c r="H178" s="116">
        <v>0.54</v>
      </c>
      <c r="I178" s="46" t="str">
        <f t="shared" si="13"/>
        <v/>
      </c>
      <c r="J178" s="46" t="str">
        <f t="shared" si="14"/>
        <v/>
      </c>
      <c r="K178" s="46">
        <f t="shared" si="15"/>
        <v>-1.0000000000000009E-2</v>
      </c>
      <c r="L178" s="49" t="str">
        <f t="shared" si="16"/>
        <v/>
      </c>
      <c r="M178" s="49" t="str">
        <f t="shared" si="16"/>
        <v/>
      </c>
      <c r="N178" s="49" t="str">
        <f t="shared" si="16"/>
        <v>Within Tolerance</v>
      </c>
    </row>
    <row r="179" spans="1:14" s="43" customFormat="1" hidden="1" x14ac:dyDescent="0.3">
      <c r="A179" s="169">
        <v>46150</v>
      </c>
      <c r="B179" s="64">
        <v>46150.5</v>
      </c>
      <c r="C179" s="142">
        <f t="shared" si="12"/>
        <v>46150.5</v>
      </c>
      <c r="D179" s="19" t="s">
        <v>13</v>
      </c>
      <c r="E179" s="7" t="s">
        <v>11</v>
      </c>
      <c r="F179" s="114" t="s">
        <v>93</v>
      </c>
      <c r="G179" s="115">
        <v>0.56000000000000005</v>
      </c>
      <c r="H179" s="116">
        <v>0.56000000000000005</v>
      </c>
      <c r="I179" s="46" t="str">
        <f t="shared" si="13"/>
        <v/>
      </c>
      <c r="J179" s="46" t="str">
        <f t="shared" si="14"/>
        <v/>
      </c>
      <c r="K179" s="46">
        <f t="shared" si="15"/>
        <v>0</v>
      </c>
      <c r="L179" s="49" t="str">
        <f t="shared" si="16"/>
        <v/>
      </c>
      <c r="M179" s="49" t="str">
        <f t="shared" si="16"/>
        <v/>
      </c>
      <c r="N179" s="49" t="str">
        <f t="shared" si="16"/>
        <v>Within Tolerance</v>
      </c>
    </row>
    <row r="180" spans="1:14" s="43" customFormat="1" hidden="1" x14ac:dyDescent="0.3">
      <c r="A180" s="168">
        <v>46150</v>
      </c>
      <c r="B180" s="64">
        <v>46150.583333333299</v>
      </c>
      <c r="C180" s="142">
        <f t="shared" si="12"/>
        <v>46150.583333333299</v>
      </c>
      <c r="D180" s="19" t="s">
        <v>13</v>
      </c>
      <c r="E180" s="7" t="s">
        <v>11</v>
      </c>
      <c r="F180" s="114" t="s">
        <v>93</v>
      </c>
      <c r="G180" s="115">
        <v>0.56000000000000005</v>
      </c>
      <c r="H180" s="116">
        <v>0.53</v>
      </c>
      <c r="I180" s="46" t="str">
        <f t="shared" si="13"/>
        <v/>
      </c>
      <c r="J180" s="46" t="str">
        <f t="shared" si="14"/>
        <v/>
      </c>
      <c r="K180" s="46">
        <f t="shared" si="15"/>
        <v>-3.0000000000000027E-2</v>
      </c>
      <c r="L180" s="49" t="str">
        <f t="shared" si="16"/>
        <v/>
      </c>
      <c r="M180" s="49" t="str">
        <f t="shared" si="16"/>
        <v/>
      </c>
      <c r="N180" s="49" t="str">
        <f t="shared" si="16"/>
        <v>Out of Tolerance</v>
      </c>
    </row>
    <row r="181" spans="1:14" s="43" customFormat="1" x14ac:dyDescent="0.3">
      <c r="A181" s="169">
        <v>46150</v>
      </c>
      <c r="B181" s="64">
        <v>46150.645833333299</v>
      </c>
      <c r="C181" s="142">
        <f t="shared" si="12"/>
        <v>46150.645833333299</v>
      </c>
      <c r="D181" s="19" t="s">
        <v>42</v>
      </c>
      <c r="E181" s="7" t="s">
        <v>11</v>
      </c>
      <c r="F181" s="114" t="s">
        <v>93</v>
      </c>
      <c r="G181" s="115">
        <v>0.39</v>
      </c>
      <c r="H181" s="114" t="s">
        <v>93</v>
      </c>
      <c r="I181" s="46" t="str">
        <f t="shared" si="13"/>
        <v/>
      </c>
      <c r="J181" s="46" t="str">
        <f t="shared" si="14"/>
        <v/>
      </c>
      <c r="K181" s="46" t="str">
        <f t="shared" si="15"/>
        <v/>
      </c>
      <c r="L181" s="49" t="str">
        <f t="shared" si="16"/>
        <v/>
      </c>
      <c r="M181" s="49" t="str">
        <f t="shared" si="16"/>
        <v/>
      </c>
      <c r="N181" s="49" t="str">
        <f t="shared" si="16"/>
        <v/>
      </c>
    </row>
    <row r="182" spans="1:14" s="43" customFormat="1" hidden="1" x14ac:dyDescent="0.3">
      <c r="A182" s="168">
        <v>46150</v>
      </c>
      <c r="B182" s="64">
        <v>46150.75</v>
      </c>
      <c r="C182" s="142">
        <f t="shared" si="12"/>
        <v>46150.75</v>
      </c>
      <c r="D182" s="19" t="s">
        <v>42</v>
      </c>
      <c r="E182" s="7" t="s">
        <v>11</v>
      </c>
      <c r="F182" s="114">
        <v>0.39</v>
      </c>
      <c r="G182" s="115">
        <v>0.38</v>
      </c>
      <c r="H182" s="116">
        <v>0.38</v>
      </c>
      <c r="I182" s="46">
        <f t="shared" si="13"/>
        <v>-1.0000000000000009E-2</v>
      </c>
      <c r="J182" s="46">
        <f t="shared" si="14"/>
        <v>-1.0000000000000009E-2</v>
      </c>
      <c r="K182" s="46">
        <f t="shared" si="15"/>
        <v>0</v>
      </c>
      <c r="L182" s="49" t="str">
        <f t="shared" si="16"/>
        <v>Within Tolerance</v>
      </c>
      <c r="M182" s="49" t="str">
        <f t="shared" si="16"/>
        <v>Within Tolerance</v>
      </c>
      <c r="N182" s="49" t="str">
        <f t="shared" si="16"/>
        <v>Within Tolerance</v>
      </c>
    </row>
    <row r="183" spans="1:14" s="43" customFormat="1" hidden="1" x14ac:dyDescent="0.3">
      <c r="A183" s="169">
        <v>46150</v>
      </c>
      <c r="B183" s="64">
        <v>46150.833333333299</v>
      </c>
      <c r="C183" s="142">
        <f t="shared" si="12"/>
        <v>46150.833333333299</v>
      </c>
      <c r="D183" s="19" t="s">
        <v>42</v>
      </c>
      <c r="E183" s="7" t="s">
        <v>11</v>
      </c>
      <c r="F183" s="114" t="s">
        <v>93</v>
      </c>
      <c r="G183" s="115">
        <v>0.39</v>
      </c>
      <c r="H183" s="116">
        <v>0.4</v>
      </c>
      <c r="I183" s="46" t="str">
        <f t="shared" si="13"/>
        <v/>
      </c>
      <c r="J183" s="46" t="str">
        <f t="shared" si="14"/>
        <v/>
      </c>
      <c r="K183" s="46">
        <f t="shared" si="15"/>
        <v>1.0000000000000009E-2</v>
      </c>
      <c r="L183" s="49" t="str">
        <f t="shared" si="16"/>
        <v/>
      </c>
      <c r="M183" s="49" t="str">
        <f t="shared" si="16"/>
        <v/>
      </c>
      <c r="N183" s="49" t="str">
        <f t="shared" si="16"/>
        <v>Within Tolerance</v>
      </c>
    </row>
    <row r="184" spans="1:14" s="43" customFormat="1" x14ac:dyDescent="0.3">
      <c r="A184" s="178">
        <v>46150</v>
      </c>
      <c r="B184" s="88">
        <v>46150.458333333299</v>
      </c>
      <c r="C184" s="147">
        <f t="shared" si="12"/>
        <v>46150.458333333299</v>
      </c>
      <c r="D184" s="19" t="s">
        <v>29</v>
      </c>
      <c r="E184" s="7" t="s">
        <v>15</v>
      </c>
      <c r="F184" s="114" t="s">
        <v>93</v>
      </c>
      <c r="G184" s="115">
        <v>0.55000000000000004</v>
      </c>
      <c r="H184" s="114" t="s">
        <v>93</v>
      </c>
      <c r="I184" s="46" t="str">
        <f t="shared" si="13"/>
        <v/>
      </c>
      <c r="J184" s="46" t="str">
        <f t="shared" si="14"/>
        <v/>
      </c>
      <c r="K184" s="46" t="str">
        <f t="shared" si="15"/>
        <v/>
      </c>
      <c r="L184" s="49" t="str">
        <f t="shared" si="16"/>
        <v/>
      </c>
      <c r="M184" s="49" t="str">
        <f t="shared" si="16"/>
        <v/>
      </c>
      <c r="N184" s="49" t="str">
        <f t="shared" si="16"/>
        <v/>
      </c>
    </row>
    <row r="185" spans="1:14" s="43" customFormat="1" hidden="1" x14ac:dyDescent="0.3">
      <c r="A185" s="179">
        <v>46150</v>
      </c>
      <c r="B185" s="88">
        <v>46150.475694444402</v>
      </c>
      <c r="C185" s="147">
        <f t="shared" si="12"/>
        <v>46150.475694444402</v>
      </c>
      <c r="D185" s="19" t="s">
        <v>29</v>
      </c>
      <c r="E185" s="7" t="s">
        <v>15</v>
      </c>
      <c r="F185" s="114" t="s">
        <v>93</v>
      </c>
      <c r="G185" s="115">
        <v>0.53</v>
      </c>
      <c r="H185" s="116">
        <v>0.54</v>
      </c>
      <c r="I185" s="46" t="str">
        <f t="shared" si="13"/>
        <v/>
      </c>
      <c r="J185" s="46" t="str">
        <f t="shared" si="14"/>
        <v/>
      </c>
      <c r="K185" s="46">
        <f t="shared" si="15"/>
        <v>1.0000000000000009E-2</v>
      </c>
      <c r="L185" s="49" t="str">
        <f t="shared" si="16"/>
        <v/>
      </c>
      <c r="M185" s="49" t="str">
        <f t="shared" si="16"/>
        <v/>
      </c>
      <c r="N185" s="49" t="str">
        <f t="shared" si="16"/>
        <v>Within Tolerance</v>
      </c>
    </row>
    <row r="186" spans="1:14" s="43" customFormat="1" hidden="1" x14ac:dyDescent="0.3">
      <c r="A186" s="178">
        <v>46150</v>
      </c>
      <c r="B186" s="88">
        <v>46150.5625</v>
      </c>
      <c r="C186" s="147">
        <f t="shared" si="12"/>
        <v>46150.5625</v>
      </c>
      <c r="D186" s="19" t="s">
        <v>29</v>
      </c>
      <c r="E186" s="7" t="s">
        <v>15</v>
      </c>
      <c r="F186" s="114">
        <v>0.53</v>
      </c>
      <c r="G186" s="115">
        <v>0.53</v>
      </c>
      <c r="H186" s="116">
        <v>0.53</v>
      </c>
      <c r="I186" s="46">
        <f t="shared" si="13"/>
        <v>0</v>
      </c>
      <c r="J186" s="46">
        <f t="shared" si="14"/>
        <v>0</v>
      </c>
      <c r="K186" s="46">
        <f t="shared" si="15"/>
        <v>0</v>
      </c>
      <c r="L186" s="49" t="str">
        <f t="shared" si="16"/>
        <v>Within Tolerance</v>
      </c>
      <c r="M186" s="49" t="str">
        <f t="shared" si="16"/>
        <v>Within Tolerance</v>
      </c>
      <c r="N186" s="49" t="str">
        <f t="shared" si="16"/>
        <v>Within Tolerance</v>
      </c>
    </row>
    <row r="187" spans="1:14" s="43" customFormat="1" hidden="1" x14ac:dyDescent="0.3">
      <c r="A187" s="179">
        <v>46150</v>
      </c>
      <c r="B187" s="88">
        <v>46150.666666666701</v>
      </c>
      <c r="C187" s="147">
        <f t="shared" si="12"/>
        <v>46150.666666666701</v>
      </c>
      <c r="D187" s="19" t="s">
        <v>29</v>
      </c>
      <c r="E187" s="7" t="s">
        <v>15</v>
      </c>
      <c r="F187" s="114">
        <v>0.51</v>
      </c>
      <c r="G187" s="115">
        <v>0.52</v>
      </c>
      <c r="H187" s="116">
        <v>0.53</v>
      </c>
      <c r="I187" s="46">
        <f t="shared" si="13"/>
        <v>1.0000000000000009E-2</v>
      </c>
      <c r="J187" s="46">
        <f t="shared" si="14"/>
        <v>2.0000000000000018E-2</v>
      </c>
      <c r="K187" s="46">
        <f t="shared" si="15"/>
        <v>1.0000000000000009E-2</v>
      </c>
      <c r="L187" s="49" t="str">
        <f t="shared" si="16"/>
        <v>Within Tolerance</v>
      </c>
      <c r="M187" s="49" t="str">
        <f t="shared" si="16"/>
        <v>Within Tolerance</v>
      </c>
      <c r="N187" s="49" t="str">
        <f t="shared" si="16"/>
        <v>Within Tolerance</v>
      </c>
    </row>
    <row r="188" spans="1:14" s="43" customFormat="1" x14ac:dyDescent="0.3">
      <c r="A188" s="178">
        <v>46150</v>
      </c>
      <c r="B188" s="88">
        <v>46150.763888888898</v>
      </c>
      <c r="C188" s="147">
        <f t="shared" si="12"/>
        <v>46150.763888888898</v>
      </c>
      <c r="D188" s="19" t="s">
        <v>41</v>
      </c>
      <c r="E188" s="7" t="s">
        <v>15</v>
      </c>
      <c r="F188" s="114" t="s">
        <v>93</v>
      </c>
      <c r="G188" s="115">
        <v>0.53</v>
      </c>
      <c r="H188" s="114" t="s">
        <v>93</v>
      </c>
      <c r="I188" s="46" t="str">
        <f t="shared" si="13"/>
        <v/>
      </c>
      <c r="J188" s="46" t="str">
        <f t="shared" si="14"/>
        <v/>
      </c>
      <c r="K188" s="46" t="str">
        <f t="shared" si="15"/>
        <v/>
      </c>
      <c r="L188" s="49" t="str">
        <f t="shared" si="16"/>
        <v/>
      </c>
      <c r="M188" s="49" t="str">
        <f t="shared" si="16"/>
        <v/>
      </c>
      <c r="N188" s="49" t="str">
        <f t="shared" si="16"/>
        <v/>
      </c>
    </row>
    <row r="189" spans="1:14" s="43" customFormat="1" hidden="1" x14ac:dyDescent="0.3">
      <c r="A189" s="179">
        <v>46150</v>
      </c>
      <c r="B189" s="88">
        <v>46150.833333333299</v>
      </c>
      <c r="C189" s="147">
        <f t="shared" si="12"/>
        <v>46150.833333333299</v>
      </c>
      <c r="D189" s="19" t="s">
        <v>41</v>
      </c>
      <c r="E189" s="7" t="s">
        <v>15</v>
      </c>
      <c r="F189" s="114" t="s">
        <v>93</v>
      </c>
      <c r="G189" s="115">
        <v>0.56000000000000005</v>
      </c>
      <c r="H189" s="116">
        <v>0.54</v>
      </c>
      <c r="I189" s="46" t="str">
        <f t="shared" si="13"/>
        <v/>
      </c>
      <c r="J189" s="46" t="str">
        <f t="shared" si="14"/>
        <v/>
      </c>
      <c r="K189" s="46">
        <f t="shared" si="15"/>
        <v>-2.0000000000000018E-2</v>
      </c>
      <c r="L189" s="49" t="str">
        <f t="shared" si="16"/>
        <v/>
      </c>
      <c r="M189" s="49" t="str">
        <f t="shared" si="16"/>
        <v/>
      </c>
      <c r="N189" s="49" t="str">
        <f t="shared" si="16"/>
        <v>Within Tolerance</v>
      </c>
    </row>
    <row r="190" spans="1:14" s="43" customFormat="1" hidden="1" x14ac:dyDescent="0.3">
      <c r="A190" s="178">
        <v>46150</v>
      </c>
      <c r="B190" s="88">
        <v>46150.916666666701</v>
      </c>
      <c r="C190" s="147">
        <f t="shared" si="12"/>
        <v>46150.916666666701</v>
      </c>
      <c r="D190" s="22" t="s">
        <v>41</v>
      </c>
      <c r="E190" s="7" t="s">
        <v>15</v>
      </c>
      <c r="F190" s="114">
        <v>0.54</v>
      </c>
      <c r="G190" s="115">
        <v>0.53</v>
      </c>
      <c r="H190" s="116">
        <v>0.54</v>
      </c>
      <c r="I190" s="46">
        <f t="shared" si="13"/>
        <v>-1.0000000000000009E-2</v>
      </c>
      <c r="J190" s="46">
        <f t="shared" si="14"/>
        <v>0</v>
      </c>
      <c r="K190" s="46">
        <f t="shared" si="15"/>
        <v>1.0000000000000009E-2</v>
      </c>
      <c r="L190" s="49" t="str">
        <f t="shared" si="16"/>
        <v>Within Tolerance</v>
      </c>
      <c r="M190" s="49" t="str">
        <f t="shared" si="16"/>
        <v>Within Tolerance</v>
      </c>
      <c r="N190" s="49" t="str">
        <f t="shared" si="16"/>
        <v>Within Tolerance</v>
      </c>
    </row>
    <row r="191" spans="1:14" s="43" customFormat="1" hidden="1" x14ac:dyDescent="0.3">
      <c r="A191" s="169">
        <v>46151</v>
      </c>
      <c r="B191" s="64">
        <v>46151</v>
      </c>
      <c r="C191" s="142">
        <f t="shared" si="12"/>
        <v>46151</v>
      </c>
      <c r="D191" s="19" t="s">
        <v>41</v>
      </c>
      <c r="E191" s="7" t="s">
        <v>15</v>
      </c>
      <c r="F191" s="114">
        <v>0.56999999999999995</v>
      </c>
      <c r="G191" s="115">
        <v>0.56000000000000005</v>
      </c>
      <c r="H191" s="116">
        <v>0.54</v>
      </c>
      <c r="I191" s="46">
        <f t="shared" si="13"/>
        <v>-9.9999999999998979E-3</v>
      </c>
      <c r="J191" s="46">
        <f t="shared" si="14"/>
        <v>-2.9999999999999916E-2</v>
      </c>
      <c r="K191" s="46">
        <f t="shared" si="15"/>
        <v>-2.0000000000000018E-2</v>
      </c>
      <c r="L191" s="49" t="str">
        <f t="shared" si="16"/>
        <v>Within Tolerance</v>
      </c>
      <c r="M191" s="49" t="str">
        <f t="shared" si="16"/>
        <v>Out of Tolerance</v>
      </c>
      <c r="N191" s="49" t="str">
        <f t="shared" si="16"/>
        <v>Within Tolerance</v>
      </c>
    </row>
    <row r="192" spans="1:14" s="43" customFormat="1" hidden="1" x14ac:dyDescent="0.3">
      <c r="A192" s="168">
        <v>46151</v>
      </c>
      <c r="B192" s="64">
        <v>46151.083333333299</v>
      </c>
      <c r="C192" s="142">
        <f t="shared" si="12"/>
        <v>46151.083333333299</v>
      </c>
      <c r="D192" s="19" t="s">
        <v>41</v>
      </c>
      <c r="E192" s="7" t="s">
        <v>15</v>
      </c>
      <c r="F192" s="114" t="s">
        <v>93</v>
      </c>
      <c r="G192" s="115">
        <v>0.55000000000000004</v>
      </c>
      <c r="H192" s="116">
        <v>0.54</v>
      </c>
      <c r="I192" s="46" t="str">
        <f t="shared" si="13"/>
        <v/>
      </c>
      <c r="J192" s="46" t="str">
        <f t="shared" si="14"/>
        <v/>
      </c>
      <c r="K192" s="46">
        <f t="shared" si="15"/>
        <v>-1.0000000000000009E-2</v>
      </c>
      <c r="L192" s="49" t="str">
        <f t="shared" si="16"/>
        <v/>
      </c>
      <c r="M192" s="49" t="str">
        <f t="shared" si="16"/>
        <v/>
      </c>
      <c r="N192" s="49" t="str">
        <f t="shared" si="16"/>
        <v>Within Tolerance</v>
      </c>
    </row>
    <row r="193" spans="1:14" s="43" customFormat="1" hidden="1" x14ac:dyDescent="0.3">
      <c r="A193" s="169">
        <v>46151</v>
      </c>
      <c r="B193" s="64">
        <v>46151.166666666701</v>
      </c>
      <c r="C193" s="142">
        <f t="shared" si="12"/>
        <v>46151.166666666701</v>
      </c>
      <c r="D193" s="19" t="s">
        <v>41</v>
      </c>
      <c r="E193" s="7" t="s">
        <v>15</v>
      </c>
      <c r="F193" s="114" t="s">
        <v>93</v>
      </c>
      <c r="G193" s="115">
        <v>0.56000000000000005</v>
      </c>
      <c r="H193" s="116">
        <v>0.55000000000000004</v>
      </c>
      <c r="I193" s="46" t="str">
        <f t="shared" si="13"/>
        <v/>
      </c>
      <c r="J193" s="46" t="str">
        <f t="shared" si="14"/>
        <v/>
      </c>
      <c r="K193" s="46">
        <f t="shared" si="15"/>
        <v>-1.0000000000000009E-2</v>
      </c>
      <c r="L193" s="49" t="str">
        <f t="shared" si="16"/>
        <v/>
      </c>
      <c r="M193" s="49" t="str">
        <f t="shared" si="16"/>
        <v/>
      </c>
      <c r="N193" s="49" t="str">
        <f t="shared" si="16"/>
        <v>Within Tolerance</v>
      </c>
    </row>
    <row r="194" spans="1:14" s="43" customFormat="1" hidden="1" x14ac:dyDescent="0.3">
      <c r="A194" s="168">
        <v>46151</v>
      </c>
      <c r="B194" s="64">
        <v>46151.239583333299</v>
      </c>
      <c r="C194" s="142">
        <f t="shared" ref="C194:C257" si="17">A194+MOD(B194,1)</f>
        <v>46151.239583333299</v>
      </c>
      <c r="D194" s="7" t="s">
        <v>28</v>
      </c>
      <c r="E194" s="7" t="s">
        <v>15</v>
      </c>
      <c r="F194" s="114" t="s">
        <v>93</v>
      </c>
      <c r="G194" s="115">
        <v>0.55000000000000004</v>
      </c>
      <c r="H194" s="116">
        <v>0.54</v>
      </c>
      <c r="I194" s="46" t="str">
        <f t="shared" si="13"/>
        <v/>
      </c>
      <c r="J194" s="46" t="str">
        <f t="shared" si="14"/>
        <v/>
      </c>
      <c r="K194" s="46">
        <f t="shared" si="15"/>
        <v>-1.0000000000000009E-2</v>
      </c>
      <c r="L194" s="49" t="str">
        <f t="shared" si="16"/>
        <v/>
      </c>
      <c r="M194" s="49" t="str">
        <f t="shared" si="16"/>
        <v/>
      </c>
      <c r="N194" s="49" t="str">
        <f t="shared" si="16"/>
        <v>Within Tolerance</v>
      </c>
    </row>
    <row r="195" spans="1:14" s="43" customFormat="1" hidden="1" x14ac:dyDescent="0.3">
      <c r="A195" s="169">
        <v>46151</v>
      </c>
      <c r="B195" s="64">
        <v>46151.291666666701</v>
      </c>
      <c r="C195" s="142">
        <f t="shared" si="17"/>
        <v>46151.291666666701</v>
      </c>
      <c r="D195" s="7" t="s">
        <v>28</v>
      </c>
      <c r="E195" s="7" t="s">
        <v>15</v>
      </c>
      <c r="F195" s="114" t="s">
        <v>93</v>
      </c>
      <c r="G195" s="115">
        <v>0.56000000000000005</v>
      </c>
      <c r="H195" s="116">
        <v>0.53</v>
      </c>
      <c r="I195" s="46" t="str">
        <f t="shared" ref="I195:I258" si="18">IF(OR(TRIM(F195&amp;"")="",TRIM(G195&amp;"")="",F195="-",G195="-"),"",G195-F195)</f>
        <v/>
      </c>
      <c r="J195" s="46" t="str">
        <f t="shared" ref="J195:J258" si="19">IF(OR(TRIM(F195&amp;"")="",TRIM(H195&amp;"")="",F195="-",H195="-"),"",H195-F195)</f>
        <v/>
      </c>
      <c r="K195" s="46">
        <f t="shared" ref="K195:K258" si="20">IF(OR(TRIM(G195&amp;"")="",TRIM(H195&amp;"")="",G195="-",H195="-"),"",H195-G195)</f>
        <v>-3.0000000000000027E-2</v>
      </c>
      <c r="L195" s="49" t="str">
        <f t="shared" ref="L195:N258" si="21">IF(ISNUMBER(I195),IF(ABS(I195)&lt;=0.02,"Within Tolerance","Out of Tolerance"),"")</f>
        <v/>
      </c>
      <c r="M195" s="49" t="str">
        <f t="shared" si="21"/>
        <v/>
      </c>
      <c r="N195" s="49" t="str">
        <f t="shared" si="21"/>
        <v>Out of Tolerance</v>
      </c>
    </row>
    <row r="196" spans="1:14" s="43" customFormat="1" hidden="1" x14ac:dyDescent="0.3">
      <c r="A196" s="168">
        <v>46150</v>
      </c>
      <c r="B196" s="64">
        <v>46150.423611111102</v>
      </c>
      <c r="C196" s="142">
        <f t="shared" si="17"/>
        <v>46150.423611111102</v>
      </c>
      <c r="D196" s="7" t="s">
        <v>18</v>
      </c>
      <c r="E196" s="14" t="s">
        <v>19</v>
      </c>
      <c r="F196" s="114">
        <v>0.49</v>
      </c>
      <c r="G196" s="115">
        <v>0.5</v>
      </c>
      <c r="H196" s="116">
        <v>0.49</v>
      </c>
      <c r="I196" s="46">
        <f t="shared" si="18"/>
        <v>1.0000000000000009E-2</v>
      </c>
      <c r="J196" s="46">
        <f t="shared" si="19"/>
        <v>0</v>
      </c>
      <c r="K196" s="46">
        <f t="shared" si="20"/>
        <v>-1.0000000000000009E-2</v>
      </c>
      <c r="L196" s="49" t="str">
        <f t="shared" si="21"/>
        <v>Within Tolerance</v>
      </c>
      <c r="M196" s="49" t="str">
        <f t="shared" si="21"/>
        <v>Within Tolerance</v>
      </c>
      <c r="N196" s="49" t="str">
        <f t="shared" si="21"/>
        <v>Within Tolerance</v>
      </c>
    </row>
    <row r="197" spans="1:14" s="43" customFormat="1" hidden="1" x14ac:dyDescent="0.3">
      <c r="A197" s="169">
        <v>46150</v>
      </c>
      <c r="B197" s="64">
        <v>46150.458333333299</v>
      </c>
      <c r="C197" s="142">
        <f t="shared" si="17"/>
        <v>46150.458333333299</v>
      </c>
      <c r="D197" s="7" t="s">
        <v>26</v>
      </c>
      <c r="E197" s="7" t="s">
        <v>24</v>
      </c>
      <c r="F197" s="114">
        <v>0.65</v>
      </c>
      <c r="G197" s="115">
        <v>0.63</v>
      </c>
      <c r="H197" s="116">
        <v>0.63</v>
      </c>
      <c r="I197" s="46">
        <f t="shared" si="18"/>
        <v>-2.0000000000000018E-2</v>
      </c>
      <c r="J197" s="46">
        <f t="shared" si="19"/>
        <v>-2.0000000000000018E-2</v>
      </c>
      <c r="K197" s="46">
        <f t="shared" si="20"/>
        <v>0</v>
      </c>
      <c r="L197" s="49" t="str">
        <f t="shared" si="21"/>
        <v>Within Tolerance</v>
      </c>
      <c r="M197" s="49" t="str">
        <f t="shared" si="21"/>
        <v>Within Tolerance</v>
      </c>
      <c r="N197" s="49" t="str">
        <f t="shared" si="21"/>
        <v>Within Tolerance</v>
      </c>
    </row>
    <row r="198" spans="1:14" s="43" customFormat="1" hidden="1" x14ac:dyDescent="0.3">
      <c r="A198" s="168">
        <v>46150</v>
      </c>
      <c r="B198" s="64">
        <v>46150.739583333299</v>
      </c>
      <c r="C198" s="142">
        <f t="shared" si="17"/>
        <v>46150.739583333299</v>
      </c>
      <c r="D198" s="7" t="s">
        <v>25</v>
      </c>
      <c r="E198" s="7" t="s">
        <v>24</v>
      </c>
      <c r="F198" s="114">
        <v>0.6</v>
      </c>
      <c r="G198" s="115">
        <v>0.59</v>
      </c>
      <c r="H198" s="116">
        <v>0.59</v>
      </c>
      <c r="I198" s="46">
        <f t="shared" si="18"/>
        <v>-1.0000000000000009E-2</v>
      </c>
      <c r="J198" s="46">
        <f t="shared" si="19"/>
        <v>-1.0000000000000009E-2</v>
      </c>
      <c r="K198" s="46">
        <f t="shared" si="20"/>
        <v>0</v>
      </c>
      <c r="L198" s="49" t="str">
        <f t="shared" si="21"/>
        <v>Within Tolerance</v>
      </c>
      <c r="M198" s="49" t="str">
        <f t="shared" si="21"/>
        <v>Within Tolerance</v>
      </c>
      <c r="N198" s="49" t="str">
        <f t="shared" si="21"/>
        <v>Within Tolerance</v>
      </c>
    </row>
    <row r="199" spans="1:14" s="43" customFormat="1" hidden="1" x14ac:dyDescent="0.3">
      <c r="A199" s="169">
        <v>46151</v>
      </c>
      <c r="B199" s="64">
        <v>46151.333333333299</v>
      </c>
      <c r="C199" s="142">
        <f t="shared" si="17"/>
        <v>46151.333333333299</v>
      </c>
      <c r="D199" s="7" t="s">
        <v>28</v>
      </c>
      <c r="E199" s="7" t="s">
        <v>15</v>
      </c>
      <c r="F199" s="114">
        <v>0.53</v>
      </c>
      <c r="G199" s="115">
        <v>0.55000000000000004</v>
      </c>
      <c r="H199" s="116">
        <v>0.53</v>
      </c>
      <c r="I199" s="46">
        <f t="shared" si="18"/>
        <v>2.0000000000000018E-2</v>
      </c>
      <c r="J199" s="46">
        <f t="shared" si="19"/>
        <v>0</v>
      </c>
      <c r="K199" s="46">
        <f t="shared" si="20"/>
        <v>-2.0000000000000018E-2</v>
      </c>
      <c r="L199" s="49" t="str">
        <f t="shared" si="21"/>
        <v>Within Tolerance</v>
      </c>
      <c r="M199" s="49" t="str">
        <f t="shared" si="21"/>
        <v>Within Tolerance</v>
      </c>
      <c r="N199" s="49" t="str">
        <f t="shared" si="21"/>
        <v>Within Tolerance</v>
      </c>
    </row>
    <row r="200" spans="1:14" s="43" customFormat="1" hidden="1" x14ac:dyDescent="0.3">
      <c r="A200" s="168">
        <v>46151</v>
      </c>
      <c r="B200" s="64">
        <v>46151.375</v>
      </c>
      <c r="C200" s="142">
        <f t="shared" si="17"/>
        <v>46151.375</v>
      </c>
      <c r="D200" s="19" t="s">
        <v>40</v>
      </c>
      <c r="E200" s="7" t="s">
        <v>15</v>
      </c>
      <c r="F200" s="114" t="s">
        <v>93</v>
      </c>
      <c r="G200" s="115">
        <v>0.56000000000000005</v>
      </c>
      <c r="H200" s="116">
        <v>0.56000000000000005</v>
      </c>
      <c r="I200" s="46" t="str">
        <f t="shared" si="18"/>
        <v/>
      </c>
      <c r="J200" s="46" t="str">
        <f t="shared" si="19"/>
        <v/>
      </c>
      <c r="K200" s="46">
        <f t="shared" si="20"/>
        <v>0</v>
      </c>
      <c r="L200" s="49" t="str">
        <f t="shared" si="21"/>
        <v/>
      </c>
      <c r="M200" s="49" t="str">
        <f t="shared" si="21"/>
        <v/>
      </c>
      <c r="N200" s="49" t="str">
        <f t="shared" si="21"/>
        <v>Within Tolerance</v>
      </c>
    </row>
    <row r="201" spans="1:14" s="43" customFormat="1" hidden="1" x14ac:dyDescent="0.3">
      <c r="A201" s="169">
        <v>46151</v>
      </c>
      <c r="B201" s="64">
        <v>46151.479166666701</v>
      </c>
      <c r="C201" s="142">
        <f t="shared" si="17"/>
        <v>46151.479166666701</v>
      </c>
      <c r="D201" s="19" t="s">
        <v>40</v>
      </c>
      <c r="E201" s="7" t="s">
        <v>15</v>
      </c>
      <c r="F201" s="114" t="s">
        <v>93</v>
      </c>
      <c r="G201" s="115">
        <v>0.53</v>
      </c>
      <c r="H201" s="116">
        <v>0.55000000000000004</v>
      </c>
      <c r="I201" s="46" t="str">
        <f t="shared" si="18"/>
        <v/>
      </c>
      <c r="J201" s="46" t="str">
        <f t="shared" si="19"/>
        <v/>
      </c>
      <c r="K201" s="46">
        <f t="shared" si="20"/>
        <v>2.0000000000000018E-2</v>
      </c>
      <c r="L201" s="49" t="str">
        <f t="shared" si="21"/>
        <v/>
      </c>
      <c r="M201" s="49" t="str">
        <f t="shared" si="21"/>
        <v/>
      </c>
      <c r="N201" s="49" t="str">
        <f t="shared" si="21"/>
        <v>Within Tolerance</v>
      </c>
    </row>
    <row r="202" spans="1:14" s="43" customFormat="1" x14ac:dyDescent="0.3">
      <c r="A202" s="168">
        <v>46151</v>
      </c>
      <c r="B202" s="64">
        <v>46151.5625</v>
      </c>
      <c r="C202" s="142">
        <f t="shared" si="17"/>
        <v>46151.5625</v>
      </c>
      <c r="D202" s="19" t="s">
        <v>40</v>
      </c>
      <c r="E202" s="7" t="s">
        <v>15</v>
      </c>
      <c r="F202" s="114" t="s">
        <v>93</v>
      </c>
      <c r="G202" s="115">
        <v>0.54</v>
      </c>
      <c r="H202" s="114" t="s">
        <v>93</v>
      </c>
      <c r="I202" s="46" t="str">
        <f t="shared" si="18"/>
        <v/>
      </c>
      <c r="J202" s="46" t="str">
        <f t="shared" si="19"/>
        <v/>
      </c>
      <c r="K202" s="46" t="str">
        <f t="shared" si="20"/>
        <v/>
      </c>
      <c r="L202" s="49" t="str">
        <f t="shared" si="21"/>
        <v/>
      </c>
      <c r="M202" s="49" t="str">
        <f t="shared" si="21"/>
        <v/>
      </c>
      <c r="N202" s="49" t="str">
        <f t="shared" si="21"/>
        <v/>
      </c>
    </row>
    <row r="203" spans="1:14" s="43" customFormat="1" x14ac:dyDescent="0.3">
      <c r="A203" s="169">
        <v>46151</v>
      </c>
      <c r="B203" s="64">
        <v>46151.649305555598</v>
      </c>
      <c r="C203" s="142">
        <f t="shared" si="17"/>
        <v>46151.649305555598</v>
      </c>
      <c r="D203" s="19" t="s">
        <v>29</v>
      </c>
      <c r="E203" s="7" t="s">
        <v>15</v>
      </c>
      <c r="F203" s="114" t="s">
        <v>93</v>
      </c>
      <c r="G203" s="115">
        <v>0.54</v>
      </c>
      <c r="H203" s="114" t="s">
        <v>93</v>
      </c>
      <c r="I203" s="46" t="str">
        <f t="shared" si="18"/>
        <v/>
      </c>
      <c r="J203" s="46" t="str">
        <f t="shared" si="19"/>
        <v/>
      </c>
      <c r="K203" s="46" t="str">
        <f t="shared" si="20"/>
        <v/>
      </c>
      <c r="L203" s="49" t="str">
        <f t="shared" si="21"/>
        <v/>
      </c>
      <c r="M203" s="49" t="str">
        <f t="shared" si="21"/>
        <v/>
      </c>
      <c r="N203" s="49" t="str">
        <f t="shared" si="21"/>
        <v/>
      </c>
    </row>
    <row r="204" spans="1:14" s="43" customFormat="1" hidden="1" x14ac:dyDescent="0.3">
      <c r="A204" s="168">
        <v>46151</v>
      </c>
      <c r="B204" s="64">
        <v>46151.729166666701</v>
      </c>
      <c r="C204" s="142">
        <f t="shared" si="17"/>
        <v>46151.729166666701</v>
      </c>
      <c r="D204" s="19" t="s">
        <v>29</v>
      </c>
      <c r="E204" s="7" t="s">
        <v>15</v>
      </c>
      <c r="F204" s="114">
        <v>0.51</v>
      </c>
      <c r="G204" s="115">
        <v>0.52</v>
      </c>
      <c r="H204" s="116">
        <v>0.52</v>
      </c>
      <c r="I204" s="46">
        <f t="shared" si="18"/>
        <v>1.0000000000000009E-2</v>
      </c>
      <c r="J204" s="46">
        <f t="shared" si="19"/>
        <v>1.0000000000000009E-2</v>
      </c>
      <c r="K204" s="46">
        <f t="shared" si="20"/>
        <v>0</v>
      </c>
      <c r="L204" s="49" t="str">
        <f t="shared" si="21"/>
        <v>Within Tolerance</v>
      </c>
      <c r="M204" s="49" t="str">
        <f t="shared" si="21"/>
        <v>Within Tolerance</v>
      </c>
      <c r="N204" s="49" t="str">
        <f t="shared" si="21"/>
        <v>Within Tolerance</v>
      </c>
    </row>
    <row r="205" spans="1:14" s="43" customFormat="1" hidden="1" x14ac:dyDescent="0.3">
      <c r="A205" s="169">
        <v>46151</v>
      </c>
      <c r="B205" s="64">
        <v>46151.833333333299</v>
      </c>
      <c r="C205" s="142">
        <f t="shared" si="17"/>
        <v>46151.833333333299</v>
      </c>
      <c r="D205" s="19" t="s">
        <v>29</v>
      </c>
      <c r="E205" s="7" t="s">
        <v>15</v>
      </c>
      <c r="F205" s="114" t="s">
        <v>93</v>
      </c>
      <c r="G205" s="115">
        <v>0.53</v>
      </c>
      <c r="H205" s="116">
        <v>0.52</v>
      </c>
      <c r="I205" s="46" t="str">
        <f t="shared" si="18"/>
        <v/>
      </c>
      <c r="J205" s="46" t="str">
        <f t="shared" si="19"/>
        <v/>
      </c>
      <c r="K205" s="46">
        <f t="shared" si="20"/>
        <v>-1.0000000000000009E-2</v>
      </c>
      <c r="L205" s="49" t="str">
        <f t="shared" si="21"/>
        <v/>
      </c>
      <c r="M205" s="49" t="str">
        <f t="shared" si="21"/>
        <v/>
      </c>
      <c r="N205" s="49" t="str">
        <f t="shared" si="21"/>
        <v>Within Tolerance</v>
      </c>
    </row>
    <row r="206" spans="1:14" s="43" customFormat="1" hidden="1" x14ac:dyDescent="0.3">
      <c r="A206" s="168">
        <v>46151</v>
      </c>
      <c r="B206" s="64">
        <v>46151.916666666701</v>
      </c>
      <c r="C206" s="142">
        <f t="shared" si="17"/>
        <v>46151.916666666701</v>
      </c>
      <c r="D206" s="19" t="s">
        <v>29</v>
      </c>
      <c r="E206" s="7" t="s">
        <v>15</v>
      </c>
      <c r="F206" s="114" t="s">
        <v>93</v>
      </c>
      <c r="G206" s="115">
        <v>0.5</v>
      </c>
      <c r="H206" s="116">
        <v>0.52</v>
      </c>
      <c r="I206" s="46" t="str">
        <f t="shared" si="18"/>
        <v/>
      </c>
      <c r="J206" s="46" t="str">
        <f t="shared" si="19"/>
        <v/>
      </c>
      <c r="K206" s="46">
        <f t="shared" si="20"/>
        <v>2.0000000000000018E-2</v>
      </c>
      <c r="L206" s="49" t="str">
        <f t="shared" si="21"/>
        <v/>
      </c>
      <c r="M206" s="49" t="str">
        <f t="shared" si="21"/>
        <v/>
      </c>
      <c r="N206" s="49" t="str">
        <f t="shared" si="21"/>
        <v>Within Tolerance</v>
      </c>
    </row>
    <row r="207" spans="1:14" s="43" customFormat="1" hidden="1" x14ac:dyDescent="0.3">
      <c r="A207" s="169">
        <v>46152</v>
      </c>
      <c r="B207" s="64">
        <v>46152</v>
      </c>
      <c r="C207" s="142">
        <f t="shared" si="17"/>
        <v>46152</v>
      </c>
      <c r="D207" s="19" t="s">
        <v>29</v>
      </c>
      <c r="E207" s="7" t="s">
        <v>15</v>
      </c>
      <c r="F207" s="114">
        <v>0.52</v>
      </c>
      <c r="G207" s="115">
        <v>0.53</v>
      </c>
      <c r="H207" s="116">
        <v>0.54</v>
      </c>
      <c r="I207" s="46">
        <f t="shared" si="18"/>
        <v>1.0000000000000009E-2</v>
      </c>
      <c r="J207" s="46">
        <f t="shared" si="19"/>
        <v>2.0000000000000018E-2</v>
      </c>
      <c r="K207" s="46">
        <f t="shared" si="20"/>
        <v>1.0000000000000009E-2</v>
      </c>
      <c r="L207" s="49" t="str">
        <f t="shared" si="21"/>
        <v>Within Tolerance</v>
      </c>
      <c r="M207" s="49" t="str">
        <f t="shared" si="21"/>
        <v>Within Tolerance</v>
      </c>
      <c r="N207" s="49" t="str">
        <f t="shared" si="21"/>
        <v>Within Tolerance</v>
      </c>
    </row>
    <row r="208" spans="1:14" s="43" customFormat="1" hidden="1" x14ac:dyDescent="0.3">
      <c r="A208" s="168">
        <v>46152</v>
      </c>
      <c r="B208" s="64">
        <v>46152.0625</v>
      </c>
      <c r="C208" s="142">
        <f t="shared" si="17"/>
        <v>46152.0625</v>
      </c>
      <c r="D208" s="19" t="s">
        <v>29</v>
      </c>
      <c r="E208" s="7" t="s">
        <v>15</v>
      </c>
      <c r="F208" s="114" t="s">
        <v>93</v>
      </c>
      <c r="G208" s="115">
        <v>0.55000000000000004</v>
      </c>
      <c r="H208" s="116">
        <v>0.54</v>
      </c>
      <c r="I208" s="46" t="str">
        <f t="shared" si="18"/>
        <v/>
      </c>
      <c r="J208" s="46" t="str">
        <f t="shared" si="19"/>
        <v/>
      </c>
      <c r="K208" s="46">
        <f t="shared" si="20"/>
        <v>-1.0000000000000009E-2</v>
      </c>
      <c r="L208" s="49" t="str">
        <f t="shared" si="21"/>
        <v/>
      </c>
      <c r="M208" s="49" t="str">
        <f t="shared" si="21"/>
        <v/>
      </c>
      <c r="N208" s="49" t="str">
        <f t="shared" si="21"/>
        <v>Within Tolerance</v>
      </c>
    </row>
    <row r="209" spans="1:14" s="43" customFormat="1" hidden="1" x14ac:dyDescent="0.3">
      <c r="A209" s="169">
        <v>46151</v>
      </c>
      <c r="B209" s="64">
        <v>46151.395833333299</v>
      </c>
      <c r="C209" s="142">
        <f t="shared" si="17"/>
        <v>46151.395833333299</v>
      </c>
      <c r="D209" s="7" t="s">
        <v>22</v>
      </c>
      <c r="E209" s="7" t="s">
        <v>19</v>
      </c>
      <c r="F209" s="114">
        <v>0.5</v>
      </c>
      <c r="G209" s="115">
        <v>0.51</v>
      </c>
      <c r="H209" s="116">
        <v>0.51</v>
      </c>
      <c r="I209" s="46">
        <f t="shared" si="18"/>
        <v>1.0000000000000009E-2</v>
      </c>
      <c r="J209" s="46">
        <f t="shared" si="19"/>
        <v>1.0000000000000009E-2</v>
      </c>
      <c r="K209" s="46">
        <f t="shared" si="20"/>
        <v>0</v>
      </c>
      <c r="L209" s="49" t="str">
        <f t="shared" si="21"/>
        <v>Within Tolerance</v>
      </c>
      <c r="M209" s="49" t="str">
        <f t="shared" si="21"/>
        <v>Within Tolerance</v>
      </c>
      <c r="N209" s="49" t="str">
        <f t="shared" si="21"/>
        <v>Within Tolerance</v>
      </c>
    </row>
    <row r="210" spans="1:14" s="43" customFormat="1" hidden="1" x14ac:dyDescent="0.3">
      <c r="A210" s="168">
        <v>46151</v>
      </c>
      <c r="B210" s="64">
        <v>46151.440972222197</v>
      </c>
      <c r="C210" s="142">
        <f t="shared" si="17"/>
        <v>46151.440972222197</v>
      </c>
      <c r="D210" s="19" t="s">
        <v>20</v>
      </c>
      <c r="E210" s="7" t="s">
        <v>19</v>
      </c>
      <c r="F210" s="114">
        <v>0.51</v>
      </c>
      <c r="G210" s="115">
        <v>0.54</v>
      </c>
      <c r="H210" s="116">
        <v>0.53</v>
      </c>
      <c r="I210" s="46">
        <f t="shared" si="18"/>
        <v>3.0000000000000027E-2</v>
      </c>
      <c r="J210" s="46">
        <f t="shared" si="19"/>
        <v>2.0000000000000018E-2</v>
      </c>
      <c r="K210" s="46">
        <f t="shared" si="20"/>
        <v>-1.0000000000000009E-2</v>
      </c>
      <c r="L210" s="49" t="str">
        <f t="shared" si="21"/>
        <v>Out of Tolerance</v>
      </c>
      <c r="M210" s="49" t="str">
        <f t="shared" si="21"/>
        <v>Within Tolerance</v>
      </c>
      <c r="N210" s="49" t="str">
        <f t="shared" si="21"/>
        <v>Within Tolerance</v>
      </c>
    </row>
    <row r="211" spans="1:14" s="43" customFormat="1" hidden="1" x14ac:dyDescent="0.3">
      <c r="A211" s="169">
        <v>46151</v>
      </c>
      <c r="B211" s="64">
        <v>46151.489583333299</v>
      </c>
      <c r="C211" s="142">
        <f t="shared" si="17"/>
        <v>46151.489583333299</v>
      </c>
      <c r="D211" s="19" t="s">
        <v>18</v>
      </c>
      <c r="E211" s="7" t="s">
        <v>19</v>
      </c>
      <c r="F211" s="114">
        <v>0.52</v>
      </c>
      <c r="G211" s="115">
        <v>0.51</v>
      </c>
      <c r="H211" s="116">
        <v>0.53</v>
      </c>
      <c r="I211" s="46">
        <f t="shared" si="18"/>
        <v>-1.0000000000000009E-2</v>
      </c>
      <c r="J211" s="46">
        <f t="shared" si="19"/>
        <v>1.0000000000000009E-2</v>
      </c>
      <c r="K211" s="46">
        <f t="shared" si="20"/>
        <v>2.0000000000000018E-2</v>
      </c>
      <c r="L211" s="49" t="str">
        <f t="shared" si="21"/>
        <v>Within Tolerance</v>
      </c>
      <c r="M211" s="49" t="str">
        <f t="shared" si="21"/>
        <v>Within Tolerance</v>
      </c>
      <c r="N211" s="49" t="str">
        <f t="shared" si="21"/>
        <v>Within Tolerance</v>
      </c>
    </row>
    <row r="212" spans="1:14" s="43" customFormat="1" hidden="1" x14ac:dyDescent="0.3">
      <c r="A212" s="168">
        <v>46151</v>
      </c>
      <c r="B212" s="64">
        <v>46151.673611111102</v>
      </c>
      <c r="C212" s="142">
        <f t="shared" si="17"/>
        <v>46151.673611111102</v>
      </c>
      <c r="D212" s="19" t="s">
        <v>21</v>
      </c>
      <c r="E212" s="7" t="s">
        <v>19</v>
      </c>
      <c r="F212" s="114">
        <v>0.54</v>
      </c>
      <c r="G212" s="115">
        <v>0.52</v>
      </c>
      <c r="H212" s="116">
        <v>0.56000000000000005</v>
      </c>
      <c r="I212" s="46">
        <f t="shared" si="18"/>
        <v>-2.0000000000000018E-2</v>
      </c>
      <c r="J212" s="46">
        <f t="shared" si="19"/>
        <v>2.0000000000000018E-2</v>
      </c>
      <c r="K212" s="46">
        <f t="shared" si="20"/>
        <v>4.0000000000000036E-2</v>
      </c>
      <c r="L212" s="49" t="str">
        <f t="shared" si="21"/>
        <v>Within Tolerance</v>
      </c>
      <c r="M212" s="49" t="str">
        <f t="shared" si="21"/>
        <v>Within Tolerance</v>
      </c>
      <c r="N212" s="49" t="str">
        <f t="shared" si="21"/>
        <v>Out of Tolerance</v>
      </c>
    </row>
    <row r="213" spans="1:14" s="43" customFormat="1" hidden="1" x14ac:dyDescent="0.3">
      <c r="A213" s="169">
        <v>46151</v>
      </c>
      <c r="B213" s="64">
        <v>46151.4375</v>
      </c>
      <c r="C213" s="142">
        <f t="shared" si="17"/>
        <v>46151.4375</v>
      </c>
      <c r="D213" s="7" t="s">
        <v>26</v>
      </c>
      <c r="E213" s="7" t="s">
        <v>24</v>
      </c>
      <c r="F213" s="114">
        <v>0.65</v>
      </c>
      <c r="G213" s="115">
        <v>0.64</v>
      </c>
      <c r="H213" s="116">
        <v>0.62</v>
      </c>
      <c r="I213" s="46">
        <f t="shared" si="18"/>
        <v>-1.0000000000000009E-2</v>
      </c>
      <c r="J213" s="46">
        <f t="shared" si="19"/>
        <v>-3.0000000000000027E-2</v>
      </c>
      <c r="K213" s="46">
        <f t="shared" si="20"/>
        <v>-2.0000000000000018E-2</v>
      </c>
      <c r="L213" s="49" t="str">
        <f t="shared" si="21"/>
        <v>Within Tolerance</v>
      </c>
      <c r="M213" s="49" t="str">
        <f t="shared" si="21"/>
        <v>Out of Tolerance</v>
      </c>
      <c r="N213" s="49" t="str">
        <f t="shared" si="21"/>
        <v>Within Tolerance</v>
      </c>
    </row>
    <row r="214" spans="1:14" s="43" customFormat="1" hidden="1" x14ac:dyDescent="0.3">
      <c r="A214" s="168">
        <v>46151</v>
      </c>
      <c r="B214" s="64">
        <v>46151.489583333299</v>
      </c>
      <c r="C214" s="142">
        <f t="shared" si="17"/>
        <v>46151.489583333299</v>
      </c>
      <c r="D214" s="7" t="s">
        <v>25</v>
      </c>
      <c r="E214" s="7" t="s">
        <v>24</v>
      </c>
      <c r="F214" s="114">
        <v>0.57999999999999996</v>
      </c>
      <c r="G214" s="115">
        <v>0.59</v>
      </c>
      <c r="H214" s="116">
        <v>0.56999999999999995</v>
      </c>
      <c r="I214" s="46">
        <f t="shared" si="18"/>
        <v>1.0000000000000009E-2</v>
      </c>
      <c r="J214" s="46">
        <f t="shared" si="19"/>
        <v>-1.0000000000000009E-2</v>
      </c>
      <c r="K214" s="46">
        <f t="shared" si="20"/>
        <v>-2.0000000000000018E-2</v>
      </c>
      <c r="L214" s="49" t="str">
        <f t="shared" si="21"/>
        <v>Within Tolerance</v>
      </c>
      <c r="M214" s="49" t="str">
        <f t="shared" si="21"/>
        <v>Within Tolerance</v>
      </c>
      <c r="N214" s="49" t="str">
        <f t="shared" si="21"/>
        <v>Within Tolerance</v>
      </c>
    </row>
    <row r="215" spans="1:14" s="43" customFormat="1" hidden="1" x14ac:dyDescent="0.3">
      <c r="A215" s="169">
        <v>46152</v>
      </c>
      <c r="B215" s="64">
        <v>46152.444444444402</v>
      </c>
      <c r="C215" s="142">
        <f t="shared" si="17"/>
        <v>46152.444444444402</v>
      </c>
      <c r="D215" s="7" t="s">
        <v>22</v>
      </c>
      <c r="E215" s="7" t="s">
        <v>19</v>
      </c>
      <c r="F215" s="114">
        <v>0.51</v>
      </c>
      <c r="G215" s="115">
        <v>0.52</v>
      </c>
      <c r="H215" s="116">
        <v>0.53</v>
      </c>
      <c r="I215" s="46">
        <f t="shared" si="18"/>
        <v>1.0000000000000009E-2</v>
      </c>
      <c r="J215" s="46">
        <f t="shared" si="19"/>
        <v>2.0000000000000018E-2</v>
      </c>
      <c r="K215" s="46">
        <f t="shared" si="20"/>
        <v>1.0000000000000009E-2</v>
      </c>
      <c r="L215" s="49" t="str">
        <f t="shared" si="21"/>
        <v>Within Tolerance</v>
      </c>
      <c r="M215" s="49" t="str">
        <f t="shared" si="21"/>
        <v>Within Tolerance</v>
      </c>
      <c r="N215" s="49" t="str">
        <f t="shared" si="21"/>
        <v>Within Tolerance</v>
      </c>
    </row>
    <row r="216" spans="1:14" s="43" customFormat="1" hidden="1" x14ac:dyDescent="0.3">
      <c r="A216" s="168">
        <v>46152</v>
      </c>
      <c r="B216" s="64">
        <v>46152.46875</v>
      </c>
      <c r="C216" s="142">
        <f t="shared" si="17"/>
        <v>46152.46875</v>
      </c>
      <c r="D216" s="19" t="s">
        <v>18</v>
      </c>
      <c r="E216" s="7" t="s">
        <v>19</v>
      </c>
      <c r="F216" s="114">
        <v>0.48</v>
      </c>
      <c r="G216" s="115">
        <v>0.5</v>
      </c>
      <c r="H216" s="116">
        <v>0.51</v>
      </c>
      <c r="I216" s="46">
        <f t="shared" si="18"/>
        <v>2.0000000000000018E-2</v>
      </c>
      <c r="J216" s="46">
        <f t="shared" si="19"/>
        <v>3.0000000000000027E-2</v>
      </c>
      <c r="K216" s="46">
        <f t="shared" si="20"/>
        <v>1.0000000000000009E-2</v>
      </c>
      <c r="L216" s="49" t="str">
        <f t="shared" si="21"/>
        <v>Within Tolerance</v>
      </c>
      <c r="M216" s="49" t="str">
        <f t="shared" si="21"/>
        <v>Out of Tolerance</v>
      </c>
      <c r="N216" s="49" t="str">
        <f t="shared" si="21"/>
        <v>Within Tolerance</v>
      </c>
    </row>
    <row r="217" spans="1:14" s="43" customFormat="1" hidden="1" x14ac:dyDescent="0.3">
      <c r="A217" s="169">
        <v>46152</v>
      </c>
      <c r="B217" s="64">
        <v>46152.479166666701</v>
      </c>
      <c r="C217" s="142">
        <f t="shared" si="17"/>
        <v>46152.479166666701</v>
      </c>
      <c r="D217" s="7" t="s">
        <v>31</v>
      </c>
      <c r="E217" s="7" t="s">
        <v>19</v>
      </c>
      <c r="F217" s="114">
        <v>0.55000000000000004</v>
      </c>
      <c r="G217" s="115">
        <v>0.56999999999999995</v>
      </c>
      <c r="H217" s="116">
        <v>0.57999999999999996</v>
      </c>
      <c r="I217" s="46">
        <f t="shared" si="18"/>
        <v>1.9999999999999907E-2</v>
      </c>
      <c r="J217" s="46">
        <f t="shared" si="19"/>
        <v>2.9999999999999916E-2</v>
      </c>
      <c r="K217" s="46">
        <f t="shared" si="20"/>
        <v>1.0000000000000009E-2</v>
      </c>
      <c r="L217" s="49" t="str">
        <f t="shared" si="21"/>
        <v>Within Tolerance</v>
      </c>
      <c r="M217" s="49" t="str">
        <f t="shared" si="21"/>
        <v>Out of Tolerance</v>
      </c>
      <c r="N217" s="49" t="str">
        <f t="shared" si="21"/>
        <v>Within Tolerance</v>
      </c>
    </row>
    <row r="218" spans="1:14" s="43" customFormat="1" hidden="1" x14ac:dyDescent="0.3">
      <c r="A218" s="168">
        <v>46152</v>
      </c>
      <c r="B218" s="64">
        <v>46152.510416666701</v>
      </c>
      <c r="C218" s="142">
        <f t="shared" si="17"/>
        <v>46152.510416666701</v>
      </c>
      <c r="D218" s="19" t="s">
        <v>20</v>
      </c>
      <c r="E218" s="7" t="s">
        <v>19</v>
      </c>
      <c r="F218" s="114">
        <v>0.54</v>
      </c>
      <c r="G218" s="115">
        <v>0.55000000000000004</v>
      </c>
      <c r="H218" s="116">
        <v>0.56999999999999995</v>
      </c>
      <c r="I218" s="46">
        <f t="shared" si="18"/>
        <v>1.0000000000000009E-2</v>
      </c>
      <c r="J218" s="46">
        <f t="shared" si="19"/>
        <v>2.9999999999999916E-2</v>
      </c>
      <c r="K218" s="46">
        <f t="shared" si="20"/>
        <v>1.9999999999999907E-2</v>
      </c>
      <c r="L218" s="49" t="str">
        <f t="shared" si="21"/>
        <v>Within Tolerance</v>
      </c>
      <c r="M218" s="49" t="str">
        <f t="shared" si="21"/>
        <v>Out of Tolerance</v>
      </c>
      <c r="N218" s="49" t="str">
        <f t="shared" si="21"/>
        <v>Within Tolerance</v>
      </c>
    </row>
    <row r="219" spans="1:14" s="43" customFormat="1" hidden="1" x14ac:dyDescent="0.3">
      <c r="A219" s="169">
        <v>46152</v>
      </c>
      <c r="B219" s="64">
        <v>46152.527777777803</v>
      </c>
      <c r="C219" s="142">
        <f t="shared" si="17"/>
        <v>46152.527777777803</v>
      </c>
      <c r="D219" s="7" t="s">
        <v>27</v>
      </c>
      <c r="E219" s="7" t="s">
        <v>19</v>
      </c>
      <c r="F219" s="114">
        <v>0.52</v>
      </c>
      <c r="G219" s="115">
        <v>0.54</v>
      </c>
      <c r="H219" s="116">
        <v>0.54</v>
      </c>
      <c r="I219" s="46">
        <f t="shared" si="18"/>
        <v>2.0000000000000018E-2</v>
      </c>
      <c r="J219" s="46">
        <f t="shared" si="19"/>
        <v>2.0000000000000018E-2</v>
      </c>
      <c r="K219" s="46">
        <f t="shared" si="20"/>
        <v>0</v>
      </c>
      <c r="L219" s="49" t="str">
        <f t="shared" si="21"/>
        <v>Within Tolerance</v>
      </c>
      <c r="M219" s="49" t="str">
        <f t="shared" si="21"/>
        <v>Within Tolerance</v>
      </c>
      <c r="N219" s="49" t="str">
        <f t="shared" si="21"/>
        <v>Within Tolerance</v>
      </c>
    </row>
    <row r="220" spans="1:14" s="43" customFormat="1" hidden="1" x14ac:dyDescent="0.3">
      <c r="A220" s="168">
        <v>46152</v>
      </c>
      <c r="B220" s="64">
        <v>46152.576388888898</v>
      </c>
      <c r="C220" s="142">
        <f t="shared" si="17"/>
        <v>46152.576388888898</v>
      </c>
      <c r="D220" s="19" t="s">
        <v>21</v>
      </c>
      <c r="E220" s="7" t="s">
        <v>19</v>
      </c>
      <c r="F220" s="114">
        <v>0.56999999999999995</v>
      </c>
      <c r="G220" s="115">
        <v>0.56000000000000005</v>
      </c>
      <c r="H220" s="116">
        <v>0.56000000000000005</v>
      </c>
      <c r="I220" s="46">
        <f t="shared" si="18"/>
        <v>-9.9999999999998979E-3</v>
      </c>
      <c r="J220" s="46">
        <f t="shared" si="19"/>
        <v>-9.9999999999998979E-3</v>
      </c>
      <c r="K220" s="46">
        <f t="shared" si="20"/>
        <v>0</v>
      </c>
      <c r="L220" s="49" t="str">
        <f t="shared" si="21"/>
        <v>Within Tolerance</v>
      </c>
      <c r="M220" s="49" t="str">
        <f t="shared" si="21"/>
        <v>Within Tolerance</v>
      </c>
      <c r="N220" s="49" t="str">
        <f t="shared" si="21"/>
        <v>Within Tolerance</v>
      </c>
    </row>
    <row r="221" spans="1:14" s="43" customFormat="1" x14ac:dyDescent="0.3">
      <c r="A221" s="169">
        <v>46153</v>
      </c>
      <c r="B221" s="64">
        <v>46153.354166666701</v>
      </c>
      <c r="C221" s="142">
        <f t="shared" si="17"/>
        <v>46153.354166666701</v>
      </c>
      <c r="D221" s="19" t="s">
        <v>18</v>
      </c>
      <c r="E221" s="7" t="s">
        <v>11</v>
      </c>
      <c r="F221" s="114" t="s">
        <v>93</v>
      </c>
      <c r="G221" s="115">
        <v>0.49</v>
      </c>
      <c r="H221" s="114" t="s">
        <v>93</v>
      </c>
      <c r="I221" s="46" t="str">
        <f t="shared" si="18"/>
        <v/>
      </c>
      <c r="J221" s="46" t="str">
        <f t="shared" si="19"/>
        <v/>
      </c>
      <c r="K221" s="46" t="str">
        <f t="shared" si="20"/>
        <v/>
      </c>
      <c r="L221" s="49" t="str">
        <f t="shared" si="21"/>
        <v/>
      </c>
      <c r="M221" s="49" t="str">
        <f t="shared" si="21"/>
        <v/>
      </c>
      <c r="N221" s="49" t="str">
        <f t="shared" si="21"/>
        <v/>
      </c>
    </row>
    <row r="222" spans="1:14" s="43" customFormat="1" hidden="1" x14ac:dyDescent="0.3">
      <c r="A222" s="168">
        <v>46153</v>
      </c>
      <c r="B222" s="64">
        <v>46153.375</v>
      </c>
      <c r="C222" s="142">
        <f t="shared" si="17"/>
        <v>46153.375</v>
      </c>
      <c r="D222" s="19" t="s">
        <v>18</v>
      </c>
      <c r="E222" s="7" t="s">
        <v>11</v>
      </c>
      <c r="F222" s="114" t="s">
        <v>93</v>
      </c>
      <c r="G222" s="115">
        <v>0.5</v>
      </c>
      <c r="H222" s="116">
        <v>0.51</v>
      </c>
      <c r="I222" s="46" t="str">
        <f t="shared" si="18"/>
        <v/>
      </c>
      <c r="J222" s="46" t="str">
        <f t="shared" si="19"/>
        <v/>
      </c>
      <c r="K222" s="46">
        <f t="shared" si="20"/>
        <v>1.0000000000000009E-2</v>
      </c>
      <c r="L222" s="49" t="str">
        <f t="shared" si="21"/>
        <v/>
      </c>
      <c r="M222" s="49" t="str">
        <f t="shared" si="21"/>
        <v/>
      </c>
      <c r="N222" s="49" t="str">
        <f t="shared" si="21"/>
        <v>Within Tolerance</v>
      </c>
    </row>
    <row r="223" spans="1:14" s="43" customFormat="1" x14ac:dyDescent="0.3">
      <c r="A223" s="169">
        <v>46153</v>
      </c>
      <c r="B223" s="64">
        <v>46153.402777777803</v>
      </c>
      <c r="C223" s="142">
        <f t="shared" si="17"/>
        <v>46153.402777777803</v>
      </c>
      <c r="D223" s="19" t="s">
        <v>18</v>
      </c>
      <c r="E223" s="7" t="s">
        <v>11</v>
      </c>
      <c r="F223" s="114" t="s">
        <v>93</v>
      </c>
      <c r="G223" s="115">
        <v>0.52</v>
      </c>
      <c r="H223" s="114" t="s">
        <v>93</v>
      </c>
      <c r="I223" s="46" t="str">
        <f t="shared" si="18"/>
        <v/>
      </c>
      <c r="J223" s="46" t="str">
        <f t="shared" si="19"/>
        <v/>
      </c>
      <c r="K223" s="46" t="str">
        <f t="shared" si="20"/>
        <v/>
      </c>
      <c r="L223" s="49" t="str">
        <f t="shared" si="21"/>
        <v/>
      </c>
      <c r="M223" s="49" t="str">
        <f t="shared" si="21"/>
        <v/>
      </c>
      <c r="N223" s="49" t="str">
        <f t="shared" si="21"/>
        <v/>
      </c>
    </row>
    <row r="224" spans="1:14" s="43" customFormat="1" hidden="1" x14ac:dyDescent="0.3">
      <c r="A224" s="168">
        <v>46153</v>
      </c>
      <c r="B224" s="64">
        <v>46153.4375</v>
      </c>
      <c r="C224" s="142">
        <f t="shared" si="17"/>
        <v>46153.4375</v>
      </c>
      <c r="D224" s="19" t="s">
        <v>18</v>
      </c>
      <c r="E224" s="7" t="s">
        <v>11</v>
      </c>
      <c r="F224" s="114">
        <v>0.54</v>
      </c>
      <c r="G224" s="115">
        <v>0.53</v>
      </c>
      <c r="H224" s="116">
        <v>0.53</v>
      </c>
      <c r="I224" s="46">
        <f t="shared" si="18"/>
        <v>-1.0000000000000009E-2</v>
      </c>
      <c r="J224" s="46">
        <f t="shared" si="19"/>
        <v>-1.0000000000000009E-2</v>
      </c>
      <c r="K224" s="46">
        <f t="shared" si="20"/>
        <v>0</v>
      </c>
      <c r="L224" s="49" t="str">
        <f t="shared" si="21"/>
        <v>Within Tolerance</v>
      </c>
      <c r="M224" s="49" t="str">
        <f t="shared" si="21"/>
        <v>Within Tolerance</v>
      </c>
      <c r="N224" s="49" t="str">
        <f t="shared" si="21"/>
        <v>Within Tolerance</v>
      </c>
    </row>
    <row r="225" spans="1:14" s="43" customFormat="1" hidden="1" x14ac:dyDescent="0.3">
      <c r="A225" s="169">
        <v>46153</v>
      </c>
      <c r="B225" s="64">
        <v>46153.520833333299</v>
      </c>
      <c r="C225" s="142">
        <f t="shared" si="17"/>
        <v>46153.520833333299</v>
      </c>
      <c r="D225" s="19" t="s">
        <v>18</v>
      </c>
      <c r="E225" s="7" t="s">
        <v>11</v>
      </c>
      <c r="F225" s="114" t="s">
        <v>93</v>
      </c>
      <c r="G225" s="115">
        <v>0.53</v>
      </c>
      <c r="H225" s="116">
        <v>0.52</v>
      </c>
      <c r="I225" s="46" t="str">
        <f t="shared" si="18"/>
        <v/>
      </c>
      <c r="J225" s="46" t="str">
        <f t="shared" si="19"/>
        <v/>
      </c>
      <c r="K225" s="46">
        <f t="shared" si="20"/>
        <v>-1.0000000000000009E-2</v>
      </c>
      <c r="L225" s="49" t="str">
        <f t="shared" si="21"/>
        <v/>
      </c>
      <c r="M225" s="49" t="str">
        <f t="shared" si="21"/>
        <v/>
      </c>
      <c r="N225" s="49" t="str">
        <f t="shared" si="21"/>
        <v>Within Tolerance</v>
      </c>
    </row>
    <row r="226" spans="1:14" s="43" customFormat="1" hidden="1" x14ac:dyDescent="0.3">
      <c r="A226" s="168">
        <v>46153</v>
      </c>
      <c r="B226" s="64">
        <v>46153.604166666701</v>
      </c>
      <c r="C226" s="142">
        <f t="shared" si="17"/>
        <v>46153.604166666701</v>
      </c>
      <c r="D226" s="19" t="s">
        <v>18</v>
      </c>
      <c r="E226" s="7" t="s">
        <v>11</v>
      </c>
      <c r="F226" s="114" t="s">
        <v>93</v>
      </c>
      <c r="G226" s="115">
        <v>0.52</v>
      </c>
      <c r="H226" s="116">
        <v>0.53</v>
      </c>
      <c r="I226" s="46" t="str">
        <f t="shared" si="18"/>
        <v/>
      </c>
      <c r="J226" s="46" t="str">
        <f t="shared" si="19"/>
        <v/>
      </c>
      <c r="K226" s="46">
        <f t="shared" si="20"/>
        <v>1.0000000000000009E-2</v>
      </c>
      <c r="L226" s="49" t="str">
        <f t="shared" si="21"/>
        <v/>
      </c>
      <c r="M226" s="49" t="str">
        <f t="shared" si="21"/>
        <v/>
      </c>
      <c r="N226" s="49" t="str">
        <f t="shared" si="21"/>
        <v>Within Tolerance</v>
      </c>
    </row>
    <row r="227" spans="1:14" s="43" customFormat="1" hidden="1" x14ac:dyDescent="0.3">
      <c r="A227" s="169">
        <v>46153</v>
      </c>
      <c r="B227" s="64">
        <v>46153.666666666701</v>
      </c>
      <c r="C227" s="142">
        <f t="shared" si="17"/>
        <v>46153.666666666701</v>
      </c>
      <c r="D227" s="19" t="s">
        <v>18</v>
      </c>
      <c r="E227" s="7" t="s">
        <v>11</v>
      </c>
      <c r="F227" s="114">
        <v>0.54</v>
      </c>
      <c r="G227" s="115">
        <v>0.53</v>
      </c>
      <c r="H227" s="116">
        <v>0.52</v>
      </c>
      <c r="I227" s="46">
        <f t="shared" si="18"/>
        <v>-1.0000000000000009E-2</v>
      </c>
      <c r="J227" s="46">
        <f t="shared" si="19"/>
        <v>-2.0000000000000018E-2</v>
      </c>
      <c r="K227" s="46">
        <f t="shared" si="20"/>
        <v>-1.0000000000000009E-2</v>
      </c>
      <c r="L227" s="49" t="str">
        <f t="shared" si="21"/>
        <v>Within Tolerance</v>
      </c>
      <c r="M227" s="49" t="str">
        <f t="shared" si="21"/>
        <v>Within Tolerance</v>
      </c>
      <c r="N227" s="49" t="str">
        <f t="shared" si="21"/>
        <v>Within Tolerance</v>
      </c>
    </row>
    <row r="228" spans="1:14" s="43" customFormat="1" hidden="1" x14ac:dyDescent="0.3">
      <c r="A228" s="168">
        <v>46153</v>
      </c>
      <c r="B228" s="64">
        <v>46153.75</v>
      </c>
      <c r="C228" s="142">
        <f t="shared" si="17"/>
        <v>46153.75</v>
      </c>
      <c r="D228" s="19" t="s">
        <v>18</v>
      </c>
      <c r="E228" s="7" t="s">
        <v>11</v>
      </c>
      <c r="F228" s="114" t="s">
        <v>93</v>
      </c>
      <c r="G228" s="115">
        <v>0.55000000000000004</v>
      </c>
      <c r="H228" s="116">
        <v>0.54</v>
      </c>
      <c r="I228" s="46" t="str">
        <f t="shared" si="18"/>
        <v/>
      </c>
      <c r="J228" s="46" t="str">
        <f t="shared" si="19"/>
        <v/>
      </c>
      <c r="K228" s="46">
        <f t="shared" si="20"/>
        <v>-1.0000000000000009E-2</v>
      </c>
      <c r="L228" s="49" t="str">
        <f t="shared" si="21"/>
        <v/>
      </c>
      <c r="M228" s="49" t="str">
        <f t="shared" si="21"/>
        <v/>
      </c>
      <c r="N228" s="49" t="str">
        <f t="shared" si="21"/>
        <v>Within Tolerance</v>
      </c>
    </row>
    <row r="229" spans="1:14" s="43" customFormat="1" hidden="1" x14ac:dyDescent="0.3">
      <c r="A229" s="169">
        <v>46153</v>
      </c>
      <c r="B229" s="64">
        <v>46153.833333333299</v>
      </c>
      <c r="C229" s="142">
        <f t="shared" si="17"/>
        <v>46153.833333333299</v>
      </c>
      <c r="D229" s="19" t="s">
        <v>18</v>
      </c>
      <c r="E229" s="7" t="s">
        <v>11</v>
      </c>
      <c r="F229" s="114" t="s">
        <v>93</v>
      </c>
      <c r="G229" s="115">
        <v>0.55000000000000004</v>
      </c>
      <c r="H229" s="116">
        <v>0.53</v>
      </c>
      <c r="I229" s="46" t="str">
        <f t="shared" si="18"/>
        <v/>
      </c>
      <c r="J229" s="46" t="str">
        <f t="shared" si="19"/>
        <v/>
      </c>
      <c r="K229" s="46">
        <f t="shared" si="20"/>
        <v>-2.0000000000000018E-2</v>
      </c>
      <c r="L229" s="49" t="str">
        <f t="shared" si="21"/>
        <v/>
      </c>
      <c r="M229" s="49" t="str">
        <f t="shared" si="21"/>
        <v/>
      </c>
      <c r="N229" s="49" t="str">
        <f t="shared" si="21"/>
        <v>Within Tolerance</v>
      </c>
    </row>
    <row r="230" spans="1:14" s="43" customFormat="1" hidden="1" x14ac:dyDescent="0.3">
      <c r="A230" s="168">
        <v>46153</v>
      </c>
      <c r="B230" s="64">
        <v>46153.916666666701</v>
      </c>
      <c r="C230" s="142">
        <f t="shared" si="17"/>
        <v>46153.916666666701</v>
      </c>
      <c r="D230" s="19" t="s">
        <v>18</v>
      </c>
      <c r="E230" s="7" t="s">
        <v>11</v>
      </c>
      <c r="F230" s="114" t="s">
        <v>93</v>
      </c>
      <c r="G230" s="115">
        <v>0.56000000000000005</v>
      </c>
      <c r="H230" s="116">
        <v>0.54</v>
      </c>
      <c r="I230" s="46" t="str">
        <f t="shared" si="18"/>
        <v/>
      </c>
      <c r="J230" s="46" t="str">
        <f t="shared" si="19"/>
        <v/>
      </c>
      <c r="K230" s="46">
        <f t="shared" si="20"/>
        <v>-2.0000000000000018E-2</v>
      </c>
      <c r="L230" s="49" t="str">
        <f t="shared" si="21"/>
        <v/>
      </c>
      <c r="M230" s="49" t="str">
        <f t="shared" si="21"/>
        <v/>
      </c>
      <c r="N230" s="49" t="str">
        <f t="shared" si="21"/>
        <v>Within Tolerance</v>
      </c>
    </row>
    <row r="231" spans="1:14" s="43" customFormat="1" x14ac:dyDescent="0.3">
      <c r="A231" s="169">
        <v>46153</v>
      </c>
      <c r="B231" s="64">
        <v>46153.96875</v>
      </c>
      <c r="C231" s="142">
        <f t="shared" si="17"/>
        <v>46153.96875</v>
      </c>
      <c r="D231" s="19" t="s">
        <v>18</v>
      </c>
      <c r="E231" s="7" t="s">
        <v>11</v>
      </c>
      <c r="F231" s="114" t="s">
        <v>93</v>
      </c>
      <c r="G231" s="115">
        <v>0.53</v>
      </c>
      <c r="H231" s="114" t="s">
        <v>93</v>
      </c>
      <c r="I231" s="46" t="str">
        <f t="shared" si="18"/>
        <v/>
      </c>
      <c r="J231" s="46" t="str">
        <f t="shared" si="19"/>
        <v/>
      </c>
      <c r="K231" s="46" t="str">
        <f t="shared" si="20"/>
        <v/>
      </c>
      <c r="L231" s="49" t="str">
        <f t="shared" si="21"/>
        <v/>
      </c>
      <c r="M231" s="49" t="str">
        <f t="shared" si="21"/>
        <v/>
      </c>
      <c r="N231" s="49" t="str">
        <f t="shared" si="21"/>
        <v/>
      </c>
    </row>
    <row r="232" spans="1:14" s="43" customFormat="1" hidden="1" x14ac:dyDescent="0.3">
      <c r="A232" s="168">
        <v>46154</v>
      </c>
      <c r="B232" s="64">
        <v>46154</v>
      </c>
      <c r="C232" s="142">
        <f t="shared" si="17"/>
        <v>46154</v>
      </c>
      <c r="D232" s="19" t="s">
        <v>18</v>
      </c>
      <c r="E232" s="7" t="s">
        <v>11</v>
      </c>
      <c r="F232" s="114">
        <v>0.53</v>
      </c>
      <c r="G232" s="115">
        <v>0.51</v>
      </c>
      <c r="H232" s="116">
        <v>0.54</v>
      </c>
      <c r="I232" s="46">
        <f t="shared" si="18"/>
        <v>-2.0000000000000018E-2</v>
      </c>
      <c r="J232" s="46">
        <f t="shared" si="19"/>
        <v>1.0000000000000009E-2</v>
      </c>
      <c r="K232" s="46">
        <f t="shared" si="20"/>
        <v>3.0000000000000027E-2</v>
      </c>
      <c r="L232" s="49" t="str">
        <f t="shared" si="21"/>
        <v>Within Tolerance</v>
      </c>
      <c r="M232" s="49" t="str">
        <f t="shared" si="21"/>
        <v>Within Tolerance</v>
      </c>
      <c r="N232" s="49" t="str">
        <f t="shared" si="21"/>
        <v>Out of Tolerance</v>
      </c>
    </row>
    <row r="233" spans="1:14" s="43" customFormat="1" hidden="1" x14ac:dyDescent="0.3">
      <c r="A233" s="169">
        <v>46154</v>
      </c>
      <c r="B233" s="64">
        <v>46154.083333333299</v>
      </c>
      <c r="C233" s="142">
        <f t="shared" si="17"/>
        <v>46154.083333333299</v>
      </c>
      <c r="D233" s="19" t="s">
        <v>18</v>
      </c>
      <c r="E233" s="7" t="s">
        <v>11</v>
      </c>
      <c r="F233" s="114" t="s">
        <v>93</v>
      </c>
      <c r="G233" s="115">
        <v>0.52</v>
      </c>
      <c r="H233" s="116">
        <v>0.55000000000000004</v>
      </c>
      <c r="I233" s="46" t="str">
        <f t="shared" si="18"/>
        <v/>
      </c>
      <c r="J233" s="46" t="str">
        <f t="shared" si="19"/>
        <v/>
      </c>
      <c r="K233" s="46">
        <f t="shared" si="20"/>
        <v>3.0000000000000027E-2</v>
      </c>
      <c r="L233" s="49" t="str">
        <f t="shared" si="21"/>
        <v/>
      </c>
      <c r="M233" s="49" t="str">
        <f t="shared" si="21"/>
        <v/>
      </c>
      <c r="N233" s="49" t="str">
        <f t="shared" si="21"/>
        <v>Out of Tolerance</v>
      </c>
    </row>
    <row r="234" spans="1:14" s="43" customFormat="1" hidden="1" x14ac:dyDescent="0.3">
      <c r="A234" s="168">
        <v>46154</v>
      </c>
      <c r="B234" s="64">
        <v>46154.135416666701</v>
      </c>
      <c r="C234" s="142">
        <f t="shared" si="17"/>
        <v>46154.135416666701</v>
      </c>
      <c r="D234" s="19" t="s">
        <v>35</v>
      </c>
      <c r="E234" s="7" t="s">
        <v>11</v>
      </c>
      <c r="F234" s="114" t="s">
        <v>93</v>
      </c>
      <c r="G234" s="115">
        <v>0.54</v>
      </c>
      <c r="H234" s="116">
        <v>0.53</v>
      </c>
      <c r="I234" s="46" t="str">
        <f t="shared" si="18"/>
        <v/>
      </c>
      <c r="J234" s="46" t="str">
        <f t="shared" si="19"/>
        <v/>
      </c>
      <c r="K234" s="46">
        <f t="shared" si="20"/>
        <v>-1.0000000000000009E-2</v>
      </c>
      <c r="L234" s="49" t="str">
        <f t="shared" si="21"/>
        <v/>
      </c>
      <c r="M234" s="49" t="str">
        <f t="shared" si="21"/>
        <v/>
      </c>
      <c r="N234" s="49" t="str">
        <f t="shared" si="21"/>
        <v>Within Tolerance</v>
      </c>
    </row>
    <row r="235" spans="1:14" s="43" customFormat="1" hidden="1" x14ac:dyDescent="0.3">
      <c r="A235" s="169">
        <v>46154</v>
      </c>
      <c r="B235" s="64">
        <v>46154.229166666701</v>
      </c>
      <c r="C235" s="142">
        <f t="shared" si="17"/>
        <v>46154.229166666701</v>
      </c>
      <c r="D235" s="19" t="s">
        <v>35</v>
      </c>
      <c r="E235" s="7" t="s">
        <v>11</v>
      </c>
      <c r="F235" s="114" t="s">
        <v>93</v>
      </c>
      <c r="G235" s="115">
        <v>0.56000000000000005</v>
      </c>
      <c r="H235" s="116">
        <v>0.56000000000000005</v>
      </c>
      <c r="I235" s="46" t="str">
        <f t="shared" si="18"/>
        <v/>
      </c>
      <c r="J235" s="46" t="str">
        <f t="shared" si="19"/>
        <v/>
      </c>
      <c r="K235" s="46">
        <f t="shared" si="20"/>
        <v>0</v>
      </c>
      <c r="L235" s="49" t="str">
        <f t="shared" si="21"/>
        <v/>
      </c>
      <c r="M235" s="49" t="str">
        <f t="shared" si="21"/>
        <v/>
      </c>
      <c r="N235" s="49" t="str">
        <f t="shared" si="21"/>
        <v>Within Tolerance</v>
      </c>
    </row>
    <row r="236" spans="1:14" s="43" customFormat="1" x14ac:dyDescent="0.3">
      <c r="A236" s="168">
        <v>46153</v>
      </c>
      <c r="B236" s="64">
        <v>46153.763888888898</v>
      </c>
      <c r="C236" s="142">
        <f t="shared" si="17"/>
        <v>46153.763888888898</v>
      </c>
      <c r="D236" s="19" t="s">
        <v>29</v>
      </c>
      <c r="E236" s="7" t="s">
        <v>15</v>
      </c>
      <c r="F236" s="114" t="s">
        <v>93</v>
      </c>
      <c r="G236" s="115">
        <v>0.52</v>
      </c>
      <c r="H236" s="114" t="s">
        <v>93</v>
      </c>
      <c r="I236" s="46" t="str">
        <f t="shared" si="18"/>
        <v/>
      </c>
      <c r="J236" s="46" t="str">
        <f t="shared" si="19"/>
        <v/>
      </c>
      <c r="K236" s="46" t="str">
        <f t="shared" si="20"/>
        <v/>
      </c>
      <c r="L236" s="49" t="str">
        <f t="shared" si="21"/>
        <v/>
      </c>
      <c r="M236" s="49" t="str">
        <f t="shared" si="21"/>
        <v/>
      </c>
      <c r="N236" s="49" t="str">
        <f t="shared" si="21"/>
        <v/>
      </c>
    </row>
    <row r="237" spans="1:14" s="43" customFormat="1" hidden="1" x14ac:dyDescent="0.3">
      <c r="A237" s="169">
        <v>46153</v>
      </c>
      <c r="B237" s="64">
        <v>46153.777777777803</v>
      </c>
      <c r="C237" s="142">
        <f t="shared" si="17"/>
        <v>46153.777777777803</v>
      </c>
      <c r="D237" s="19" t="s">
        <v>29</v>
      </c>
      <c r="E237" s="7" t="s">
        <v>15</v>
      </c>
      <c r="F237" s="114" t="s">
        <v>93</v>
      </c>
      <c r="G237" s="115">
        <v>0.53</v>
      </c>
      <c r="H237" s="116">
        <v>0.53</v>
      </c>
      <c r="I237" s="46" t="str">
        <f t="shared" si="18"/>
        <v/>
      </c>
      <c r="J237" s="46" t="str">
        <f t="shared" si="19"/>
        <v/>
      </c>
      <c r="K237" s="46">
        <f t="shared" si="20"/>
        <v>0</v>
      </c>
      <c r="L237" s="49" t="str">
        <f t="shared" si="21"/>
        <v/>
      </c>
      <c r="M237" s="49" t="str">
        <f t="shared" si="21"/>
        <v/>
      </c>
      <c r="N237" s="49" t="str">
        <f t="shared" si="21"/>
        <v>Within Tolerance</v>
      </c>
    </row>
    <row r="238" spans="1:14" s="43" customFormat="1" hidden="1" x14ac:dyDescent="0.3">
      <c r="A238" s="168">
        <v>46153</v>
      </c>
      <c r="B238" s="64">
        <v>46153.833333333299</v>
      </c>
      <c r="C238" s="142">
        <f t="shared" si="17"/>
        <v>46153.833333333299</v>
      </c>
      <c r="D238" s="19" t="s">
        <v>29</v>
      </c>
      <c r="E238" s="7" t="s">
        <v>15</v>
      </c>
      <c r="F238" s="114">
        <v>0.53</v>
      </c>
      <c r="G238" s="115">
        <v>0.53</v>
      </c>
      <c r="H238" s="116">
        <v>0.53</v>
      </c>
      <c r="I238" s="46">
        <f t="shared" si="18"/>
        <v>0</v>
      </c>
      <c r="J238" s="46">
        <f t="shared" si="19"/>
        <v>0</v>
      </c>
      <c r="K238" s="46">
        <f t="shared" si="20"/>
        <v>0</v>
      </c>
      <c r="L238" s="49" t="str">
        <f t="shared" si="21"/>
        <v>Within Tolerance</v>
      </c>
      <c r="M238" s="49" t="str">
        <f t="shared" si="21"/>
        <v>Within Tolerance</v>
      </c>
      <c r="N238" s="49" t="str">
        <f t="shared" si="21"/>
        <v>Within Tolerance</v>
      </c>
    </row>
    <row r="239" spans="1:14" s="43" customFormat="1" hidden="1" x14ac:dyDescent="0.3">
      <c r="A239" s="169">
        <v>46153</v>
      </c>
      <c r="B239" s="64">
        <v>46153.895833333299</v>
      </c>
      <c r="C239" s="142">
        <f t="shared" si="17"/>
        <v>46153.895833333299</v>
      </c>
      <c r="D239" s="19" t="s">
        <v>29</v>
      </c>
      <c r="E239" s="7" t="s">
        <v>15</v>
      </c>
      <c r="F239" s="114" t="s">
        <v>93</v>
      </c>
      <c r="G239" s="115">
        <v>0.55000000000000004</v>
      </c>
      <c r="H239" s="116">
        <v>0.56000000000000005</v>
      </c>
      <c r="I239" s="46" t="str">
        <f t="shared" si="18"/>
        <v/>
      </c>
      <c r="J239" s="46" t="str">
        <f t="shared" si="19"/>
        <v/>
      </c>
      <c r="K239" s="46">
        <f t="shared" si="20"/>
        <v>1.0000000000000009E-2</v>
      </c>
      <c r="L239" s="49" t="str">
        <f t="shared" si="21"/>
        <v/>
      </c>
      <c r="M239" s="49" t="str">
        <f t="shared" si="21"/>
        <v/>
      </c>
      <c r="N239" s="49" t="str">
        <f t="shared" si="21"/>
        <v>Within Tolerance</v>
      </c>
    </row>
    <row r="240" spans="1:14" s="43" customFormat="1" hidden="1" x14ac:dyDescent="0.3">
      <c r="A240" s="168">
        <v>46154</v>
      </c>
      <c r="B240" s="64">
        <v>46154.125</v>
      </c>
      <c r="C240" s="142">
        <f t="shared" si="17"/>
        <v>46154.125</v>
      </c>
      <c r="D240" s="19" t="s">
        <v>29</v>
      </c>
      <c r="E240" s="7" t="s">
        <v>15</v>
      </c>
      <c r="F240" s="114" t="s">
        <v>93</v>
      </c>
      <c r="G240" s="115">
        <v>0.57999999999999996</v>
      </c>
      <c r="H240" s="116">
        <v>0.57999999999999996</v>
      </c>
      <c r="I240" s="46" t="str">
        <f t="shared" si="18"/>
        <v/>
      </c>
      <c r="J240" s="46" t="str">
        <f t="shared" si="19"/>
        <v/>
      </c>
      <c r="K240" s="46">
        <f t="shared" si="20"/>
        <v>0</v>
      </c>
      <c r="L240" s="49" t="str">
        <f t="shared" si="21"/>
        <v/>
      </c>
      <c r="M240" s="49" t="str">
        <f t="shared" si="21"/>
        <v/>
      </c>
      <c r="N240" s="49" t="str">
        <f t="shared" si="21"/>
        <v>Within Tolerance</v>
      </c>
    </row>
    <row r="241" spans="1:14" s="43" customFormat="1" hidden="1" x14ac:dyDescent="0.3">
      <c r="A241" s="169">
        <v>46154</v>
      </c>
      <c r="B241" s="64">
        <v>46154.145833333299</v>
      </c>
      <c r="C241" s="142">
        <f t="shared" si="17"/>
        <v>46154.145833333299</v>
      </c>
      <c r="D241" s="19" t="s">
        <v>29</v>
      </c>
      <c r="E241" s="7" t="s">
        <v>15</v>
      </c>
      <c r="F241" s="114">
        <v>0.56999999999999995</v>
      </c>
      <c r="G241" s="115">
        <v>0.56000000000000005</v>
      </c>
      <c r="H241" s="116">
        <v>0.55000000000000004</v>
      </c>
      <c r="I241" s="46">
        <f t="shared" si="18"/>
        <v>-9.9999999999998979E-3</v>
      </c>
      <c r="J241" s="46">
        <f t="shared" si="19"/>
        <v>-1.9999999999999907E-2</v>
      </c>
      <c r="K241" s="46">
        <f t="shared" si="20"/>
        <v>-1.0000000000000009E-2</v>
      </c>
      <c r="L241" s="49" t="str">
        <f t="shared" si="21"/>
        <v>Within Tolerance</v>
      </c>
      <c r="M241" s="49" t="str">
        <f t="shared" si="21"/>
        <v>Within Tolerance</v>
      </c>
      <c r="N241" s="49" t="str">
        <f t="shared" si="21"/>
        <v>Within Tolerance</v>
      </c>
    </row>
    <row r="242" spans="1:14" s="43" customFormat="1" x14ac:dyDescent="0.3">
      <c r="A242" s="168">
        <v>46154</v>
      </c>
      <c r="B242" s="64">
        <v>46154.229166666701</v>
      </c>
      <c r="C242" s="142">
        <f t="shared" si="17"/>
        <v>46154.229166666701</v>
      </c>
      <c r="D242" s="19" t="s">
        <v>29</v>
      </c>
      <c r="E242" s="7" t="s">
        <v>15</v>
      </c>
      <c r="F242" s="114">
        <v>0.55000000000000004</v>
      </c>
      <c r="G242" s="115">
        <v>0.56000000000000005</v>
      </c>
      <c r="H242" s="114" t="s">
        <v>93</v>
      </c>
      <c r="I242" s="46">
        <f t="shared" si="18"/>
        <v>1.0000000000000009E-2</v>
      </c>
      <c r="J242" s="46" t="str">
        <f t="shared" si="19"/>
        <v/>
      </c>
      <c r="K242" s="46" t="str">
        <f t="shared" si="20"/>
        <v/>
      </c>
      <c r="L242" s="49" t="str">
        <f t="shared" si="21"/>
        <v>Within Tolerance</v>
      </c>
      <c r="M242" s="49" t="str">
        <f t="shared" si="21"/>
        <v/>
      </c>
      <c r="N242" s="49" t="str">
        <f t="shared" si="21"/>
        <v/>
      </c>
    </row>
    <row r="243" spans="1:14" s="43" customFormat="1" hidden="1" x14ac:dyDescent="0.3">
      <c r="A243" s="169">
        <v>46153</v>
      </c>
      <c r="B243" s="64">
        <v>46153.416666666701</v>
      </c>
      <c r="C243" s="142">
        <f t="shared" si="17"/>
        <v>46153.416666666701</v>
      </c>
      <c r="D243" s="19" t="s">
        <v>20</v>
      </c>
      <c r="E243" s="7" t="s">
        <v>19</v>
      </c>
      <c r="F243" s="114">
        <v>0.55000000000000004</v>
      </c>
      <c r="G243" s="115">
        <v>0.55000000000000004</v>
      </c>
      <c r="H243" s="116">
        <v>0.56000000000000005</v>
      </c>
      <c r="I243" s="46">
        <f t="shared" si="18"/>
        <v>0</v>
      </c>
      <c r="J243" s="46">
        <f t="shared" si="19"/>
        <v>1.0000000000000009E-2</v>
      </c>
      <c r="K243" s="46">
        <f t="shared" si="20"/>
        <v>1.0000000000000009E-2</v>
      </c>
      <c r="L243" s="49" t="str">
        <f t="shared" si="21"/>
        <v>Within Tolerance</v>
      </c>
      <c r="M243" s="49" t="str">
        <f t="shared" si="21"/>
        <v>Within Tolerance</v>
      </c>
      <c r="N243" s="49" t="str">
        <f t="shared" si="21"/>
        <v>Within Tolerance</v>
      </c>
    </row>
    <row r="244" spans="1:14" s="43" customFormat="1" hidden="1" x14ac:dyDescent="0.3">
      <c r="A244" s="168">
        <v>46153</v>
      </c>
      <c r="B244" s="64">
        <v>46153.479166666701</v>
      </c>
      <c r="C244" s="142">
        <f t="shared" si="17"/>
        <v>46153.479166666701</v>
      </c>
      <c r="D244" s="7" t="s">
        <v>22</v>
      </c>
      <c r="E244" s="7" t="s">
        <v>19</v>
      </c>
      <c r="F244" s="114">
        <v>0.54</v>
      </c>
      <c r="G244" s="115">
        <v>0.53</v>
      </c>
      <c r="H244" s="116">
        <v>0.52</v>
      </c>
      <c r="I244" s="46">
        <f t="shared" si="18"/>
        <v>-1.0000000000000009E-2</v>
      </c>
      <c r="J244" s="46">
        <f t="shared" si="19"/>
        <v>-2.0000000000000018E-2</v>
      </c>
      <c r="K244" s="46">
        <f t="shared" si="20"/>
        <v>-1.0000000000000009E-2</v>
      </c>
      <c r="L244" s="49" t="str">
        <f t="shared" si="21"/>
        <v>Within Tolerance</v>
      </c>
      <c r="M244" s="49" t="str">
        <f t="shared" si="21"/>
        <v>Within Tolerance</v>
      </c>
      <c r="N244" s="49" t="str">
        <f t="shared" si="21"/>
        <v>Within Tolerance</v>
      </c>
    </row>
    <row r="245" spans="1:14" s="43" customFormat="1" hidden="1" x14ac:dyDescent="0.3">
      <c r="A245" s="169">
        <v>46153</v>
      </c>
      <c r="B245" s="64">
        <v>46153.666666666701</v>
      </c>
      <c r="C245" s="142">
        <f t="shared" si="17"/>
        <v>46153.666666666701</v>
      </c>
      <c r="D245" s="19" t="s">
        <v>30</v>
      </c>
      <c r="E245" s="7" t="s">
        <v>19</v>
      </c>
      <c r="F245" s="114">
        <v>0.55000000000000004</v>
      </c>
      <c r="G245" s="115">
        <v>0.56000000000000005</v>
      </c>
      <c r="H245" s="116">
        <v>0.56000000000000005</v>
      </c>
      <c r="I245" s="46">
        <f t="shared" si="18"/>
        <v>1.0000000000000009E-2</v>
      </c>
      <c r="J245" s="46">
        <f t="shared" si="19"/>
        <v>1.0000000000000009E-2</v>
      </c>
      <c r="K245" s="46">
        <f t="shared" si="20"/>
        <v>0</v>
      </c>
      <c r="L245" s="49" t="str">
        <f t="shared" si="21"/>
        <v>Within Tolerance</v>
      </c>
      <c r="M245" s="49" t="str">
        <f t="shared" si="21"/>
        <v>Within Tolerance</v>
      </c>
      <c r="N245" s="49" t="str">
        <f t="shared" si="21"/>
        <v>Within Tolerance</v>
      </c>
    </row>
    <row r="246" spans="1:14" s="43" customFormat="1" hidden="1" x14ac:dyDescent="0.3">
      <c r="A246" s="168">
        <v>46153</v>
      </c>
      <c r="B246" s="64">
        <v>46153.8125</v>
      </c>
      <c r="C246" s="142">
        <f t="shared" si="17"/>
        <v>46153.8125</v>
      </c>
      <c r="D246" s="7" t="s">
        <v>31</v>
      </c>
      <c r="E246" s="7" t="s">
        <v>19</v>
      </c>
      <c r="F246" s="114">
        <v>0.54</v>
      </c>
      <c r="G246" s="115">
        <v>0.55000000000000004</v>
      </c>
      <c r="H246" s="116">
        <v>0.55000000000000004</v>
      </c>
      <c r="I246" s="46">
        <f t="shared" si="18"/>
        <v>1.0000000000000009E-2</v>
      </c>
      <c r="J246" s="46">
        <f t="shared" si="19"/>
        <v>1.0000000000000009E-2</v>
      </c>
      <c r="K246" s="46">
        <f t="shared" si="20"/>
        <v>0</v>
      </c>
      <c r="L246" s="49" t="str">
        <f t="shared" si="21"/>
        <v>Within Tolerance</v>
      </c>
      <c r="M246" s="49" t="str">
        <f t="shared" si="21"/>
        <v>Within Tolerance</v>
      </c>
      <c r="N246" s="49" t="str">
        <f t="shared" si="21"/>
        <v>Within Tolerance</v>
      </c>
    </row>
    <row r="247" spans="1:14" s="43" customFormat="1" x14ac:dyDescent="0.3">
      <c r="A247" s="169">
        <v>46153</v>
      </c>
      <c r="B247" s="64">
        <v>46153.402777777803</v>
      </c>
      <c r="C247" s="142">
        <f t="shared" si="17"/>
        <v>46153.402777777803</v>
      </c>
      <c r="D247" s="19" t="s">
        <v>45</v>
      </c>
      <c r="E247" s="7" t="s">
        <v>24</v>
      </c>
      <c r="F247" s="114" t="s">
        <v>93</v>
      </c>
      <c r="G247" s="117" t="s">
        <v>93</v>
      </c>
      <c r="H247" s="114" t="s">
        <v>93</v>
      </c>
      <c r="I247" s="46" t="str">
        <f t="shared" si="18"/>
        <v/>
      </c>
      <c r="J247" s="46" t="str">
        <f t="shared" si="19"/>
        <v/>
      </c>
      <c r="K247" s="46" t="str">
        <f t="shared" si="20"/>
        <v/>
      </c>
      <c r="L247" s="49" t="str">
        <f t="shared" si="21"/>
        <v/>
      </c>
      <c r="M247" s="49" t="str">
        <f t="shared" si="21"/>
        <v/>
      </c>
      <c r="N247" s="49" t="str">
        <f t="shared" si="21"/>
        <v/>
      </c>
    </row>
    <row r="248" spans="1:14" s="43" customFormat="1" hidden="1" x14ac:dyDescent="0.3">
      <c r="A248" s="168">
        <v>46153</v>
      </c>
      <c r="B248" s="64">
        <v>46153.513888888898</v>
      </c>
      <c r="C248" s="142">
        <f t="shared" si="17"/>
        <v>46153.513888888898</v>
      </c>
      <c r="D248" s="7" t="s">
        <v>26</v>
      </c>
      <c r="E248" s="7" t="s">
        <v>24</v>
      </c>
      <c r="F248" s="114">
        <v>0.63</v>
      </c>
      <c r="G248" s="115">
        <v>0.63</v>
      </c>
      <c r="H248" s="116">
        <v>0.64</v>
      </c>
      <c r="I248" s="46">
        <f t="shared" si="18"/>
        <v>0</v>
      </c>
      <c r="J248" s="46">
        <f t="shared" si="19"/>
        <v>1.0000000000000009E-2</v>
      </c>
      <c r="K248" s="46">
        <f t="shared" si="20"/>
        <v>1.0000000000000009E-2</v>
      </c>
      <c r="L248" s="49" t="str">
        <f t="shared" si="21"/>
        <v>Within Tolerance</v>
      </c>
      <c r="M248" s="49" t="str">
        <f t="shared" si="21"/>
        <v>Within Tolerance</v>
      </c>
      <c r="N248" s="49" t="str">
        <f t="shared" si="21"/>
        <v>Within Tolerance</v>
      </c>
    </row>
    <row r="249" spans="1:14" s="43" customFormat="1" hidden="1" x14ac:dyDescent="0.3">
      <c r="A249" s="169">
        <v>46153</v>
      </c>
      <c r="B249" s="64">
        <v>46153.770833333299</v>
      </c>
      <c r="C249" s="142">
        <f t="shared" si="17"/>
        <v>46153.770833333299</v>
      </c>
      <c r="D249" s="7" t="s">
        <v>25</v>
      </c>
      <c r="E249" s="7" t="s">
        <v>24</v>
      </c>
      <c r="F249" s="114">
        <v>0.56000000000000005</v>
      </c>
      <c r="G249" s="115">
        <v>0.57999999999999996</v>
      </c>
      <c r="H249" s="116">
        <v>0.56000000000000005</v>
      </c>
      <c r="I249" s="46">
        <f t="shared" si="18"/>
        <v>1.9999999999999907E-2</v>
      </c>
      <c r="J249" s="46">
        <f t="shared" si="19"/>
        <v>0</v>
      </c>
      <c r="K249" s="46">
        <f t="shared" si="20"/>
        <v>-1.9999999999999907E-2</v>
      </c>
      <c r="L249" s="49" t="str">
        <f t="shared" si="21"/>
        <v>Within Tolerance</v>
      </c>
      <c r="M249" s="49" t="str">
        <f t="shared" si="21"/>
        <v>Within Tolerance</v>
      </c>
      <c r="N249" s="49" t="str">
        <f t="shared" si="21"/>
        <v>Within Tolerance</v>
      </c>
    </row>
    <row r="250" spans="1:14" s="43" customFormat="1" hidden="1" x14ac:dyDescent="0.3">
      <c r="A250" s="168">
        <v>46154</v>
      </c>
      <c r="B250" s="64">
        <v>46154.333333333299</v>
      </c>
      <c r="C250" s="142">
        <f t="shared" si="17"/>
        <v>46154.333333333299</v>
      </c>
      <c r="D250" s="19" t="s">
        <v>35</v>
      </c>
      <c r="E250" s="7" t="s">
        <v>11</v>
      </c>
      <c r="F250" s="114">
        <v>0.54</v>
      </c>
      <c r="G250" s="115">
        <v>0.55000000000000004</v>
      </c>
      <c r="H250" s="116">
        <v>0.54</v>
      </c>
      <c r="I250" s="46">
        <f t="shared" si="18"/>
        <v>1.0000000000000009E-2</v>
      </c>
      <c r="J250" s="46">
        <f t="shared" si="19"/>
        <v>0</v>
      </c>
      <c r="K250" s="46">
        <f t="shared" si="20"/>
        <v>-1.0000000000000009E-2</v>
      </c>
      <c r="L250" s="49" t="str">
        <f t="shared" si="21"/>
        <v>Within Tolerance</v>
      </c>
      <c r="M250" s="49" t="str">
        <f t="shared" si="21"/>
        <v>Within Tolerance</v>
      </c>
      <c r="N250" s="49" t="str">
        <f t="shared" si="21"/>
        <v>Within Tolerance</v>
      </c>
    </row>
    <row r="251" spans="1:14" s="43" customFormat="1" hidden="1" x14ac:dyDescent="0.3">
      <c r="A251" s="169">
        <v>46154</v>
      </c>
      <c r="B251" s="64">
        <v>46154.416666666701</v>
      </c>
      <c r="C251" s="142">
        <f t="shared" si="17"/>
        <v>46154.416666666701</v>
      </c>
      <c r="D251" s="19" t="s">
        <v>35</v>
      </c>
      <c r="E251" s="7" t="s">
        <v>11</v>
      </c>
      <c r="F251" s="114" t="s">
        <v>93</v>
      </c>
      <c r="G251" s="115">
        <v>0.55000000000000004</v>
      </c>
      <c r="H251" s="116">
        <v>0.55000000000000004</v>
      </c>
      <c r="I251" s="46" t="str">
        <f t="shared" si="18"/>
        <v/>
      </c>
      <c r="J251" s="46" t="str">
        <f t="shared" si="19"/>
        <v/>
      </c>
      <c r="K251" s="46">
        <f t="shared" si="20"/>
        <v>0</v>
      </c>
      <c r="L251" s="49" t="str">
        <f t="shared" si="21"/>
        <v/>
      </c>
      <c r="M251" s="49" t="str">
        <f t="shared" si="21"/>
        <v/>
      </c>
      <c r="N251" s="49" t="str">
        <f t="shared" si="21"/>
        <v>Within Tolerance</v>
      </c>
    </row>
    <row r="252" spans="1:14" s="43" customFormat="1" hidden="1" x14ac:dyDescent="0.3">
      <c r="A252" s="168">
        <v>46154</v>
      </c>
      <c r="B252" s="64">
        <v>46154.5</v>
      </c>
      <c r="C252" s="142">
        <f t="shared" si="17"/>
        <v>46154.5</v>
      </c>
      <c r="D252" s="19" t="s">
        <v>35</v>
      </c>
      <c r="E252" s="7" t="s">
        <v>11</v>
      </c>
      <c r="F252" s="114" t="s">
        <v>93</v>
      </c>
      <c r="G252" s="115">
        <v>0.56000000000000005</v>
      </c>
      <c r="H252" s="116">
        <v>0.56000000000000005</v>
      </c>
      <c r="I252" s="46" t="str">
        <f t="shared" si="18"/>
        <v/>
      </c>
      <c r="J252" s="46" t="str">
        <f t="shared" si="19"/>
        <v/>
      </c>
      <c r="K252" s="46">
        <f t="shared" si="20"/>
        <v>0</v>
      </c>
      <c r="L252" s="49" t="str">
        <f t="shared" si="21"/>
        <v/>
      </c>
      <c r="M252" s="49" t="str">
        <f t="shared" si="21"/>
        <v/>
      </c>
      <c r="N252" s="49" t="str">
        <f t="shared" si="21"/>
        <v>Within Tolerance</v>
      </c>
    </row>
    <row r="253" spans="1:14" s="43" customFormat="1" hidden="1" x14ac:dyDescent="0.3">
      <c r="A253" s="169">
        <v>46154</v>
      </c>
      <c r="B253" s="64">
        <v>46154.583333333299</v>
      </c>
      <c r="C253" s="142">
        <f t="shared" si="17"/>
        <v>46154.583333333299</v>
      </c>
      <c r="D253" s="19" t="s">
        <v>13</v>
      </c>
      <c r="E253" s="7" t="s">
        <v>11</v>
      </c>
      <c r="F253" s="114" t="s">
        <v>93</v>
      </c>
      <c r="G253" s="115">
        <v>0.54</v>
      </c>
      <c r="H253" s="116">
        <v>0.51</v>
      </c>
      <c r="I253" s="46" t="str">
        <f t="shared" si="18"/>
        <v/>
      </c>
      <c r="J253" s="46" t="str">
        <f t="shared" si="19"/>
        <v/>
      </c>
      <c r="K253" s="46">
        <f t="shared" si="20"/>
        <v>-3.0000000000000027E-2</v>
      </c>
      <c r="L253" s="49" t="str">
        <f t="shared" si="21"/>
        <v/>
      </c>
      <c r="M253" s="49" t="str">
        <f t="shared" si="21"/>
        <v/>
      </c>
      <c r="N253" s="49" t="str">
        <f t="shared" si="21"/>
        <v>Out of Tolerance</v>
      </c>
    </row>
    <row r="254" spans="1:14" s="43" customFormat="1" hidden="1" x14ac:dyDescent="0.3">
      <c r="A254" s="168">
        <v>46154</v>
      </c>
      <c r="B254" s="64">
        <v>46154.666666666701</v>
      </c>
      <c r="C254" s="142">
        <f t="shared" si="17"/>
        <v>46154.666666666701</v>
      </c>
      <c r="D254" s="19" t="s">
        <v>13</v>
      </c>
      <c r="E254" s="7" t="s">
        <v>11</v>
      </c>
      <c r="F254" s="114">
        <v>0.53</v>
      </c>
      <c r="G254" s="115">
        <v>0.53</v>
      </c>
      <c r="H254" s="116">
        <v>0.53</v>
      </c>
      <c r="I254" s="46">
        <f t="shared" si="18"/>
        <v>0</v>
      </c>
      <c r="J254" s="46">
        <f t="shared" si="19"/>
        <v>0</v>
      </c>
      <c r="K254" s="46">
        <f t="shared" si="20"/>
        <v>0</v>
      </c>
      <c r="L254" s="49" t="str">
        <f t="shared" si="21"/>
        <v>Within Tolerance</v>
      </c>
      <c r="M254" s="49" t="str">
        <f t="shared" si="21"/>
        <v>Within Tolerance</v>
      </c>
      <c r="N254" s="49" t="str">
        <f t="shared" si="21"/>
        <v>Within Tolerance</v>
      </c>
    </row>
    <row r="255" spans="1:14" s="43" customFormat="1" hidden="1" x14ac:dyDescent="0.3">
      <c r="A255" s="169">
        <v>46154</v>
      </c>
      <c r="B255" s="64">
        <v>46154.75</v>
      </c>
      <c r="C255" s="142">
        <f t="shared" si="17"/>
        <v>46154.75</v>
      </c>
      <c r="D255" s="19" t="s">
        <v>13</v>
      </c>
      <c r="E255" s="7" t="s">
        <v>11</v>
      </c>
      <c r="F255" s="114" t="s">
        <v>93</v>
      </c>
      <c r="G255" s="115">
        <v>0.56000000000000005</v>
      </c>
      <c r="H255" s="116">
        <v>0.54</v>
      </c>
      <c r="I255" s="46" t="str">
        <f t="shared" si="18"/>
        <v/>
      </c>
      <c r="J255" s="46" t="str">
        <f t="shared" si="19"/>
        <v/>
      </c>
      <c r="K255" s="46">
        <f t="shared" si="20"/>
        <v>-2.0000000000000018E-2</v>
      </c>
      <c r="L255" s="49" t="str">
        <f t="shared" si="21"/>
        <v/>
      </c>
      <c r="M255" s="49" t="str">
        <f t="shared" si="21"/>
        <v/>
      </c>
      <c r="N255" s="49" t="str">
        <f t="shared" si="21"/>
        <v>Within Tolerance</v>
      </c>
    </row>
    <row r="256" spans="1:14" s="43" customFormat="1" hidden="1" x14ac:dyDescent="0.3">
      <c r="A256" s="168">
        <v>46154</v>
      </c>
      <c r="B256" s="64">
        <v>46154.833333333299</v>
      </c>
      <c r="C256" s="142">
        <f t="shared" si="17"/>
        <v>46154.833333333299</v>
      </c>
      <c r="D256" s="19" t="s">
        <v>13</v>
      </c>
      <c r="E256" s="7" t="s">
        <v>11</v>
      </c>
      <c r="F256" s="114" t="s">
        <v>93</v>
      </c>
      <c r="G256" s="115">
        <v>0.55000000000000004</v>
      </c>
      <c r="H256" s="116">
        <v>0.54</v>
      </c>
      <c r="I256" s="46" t="str">
        <f t="shared" si="18"/>
        <v/>
      </c>
      <c r="J256" s="46" t="str">
        <f t="shared" si="19"/>
        <v/>
      </c>
      <c r="K256" s="46">
        <f t="shared" si="20"/>
        <v>-1.0000000000000009E-2</v>
      </c>
      <c r="L256" s="49" t="str">
        <f t="shared" si="21"/>
        <v/>
      </c>
      <c r="M256" s="49" t="str">
        <f t="shared" si="21"/>
        <v/>
      </c>
      <c r="N256" s="49" t="str">
        <f t="shared" si="21"/>
        <v>Within Tolerance</v>
      </c>
    </row>
    <row r="257" spans="1:14" s="43" customFormat="1" hidden="1" x14ac:dyDescent="0.3">
      <c r="A257" s="169">
        <v>46154</v>
      </c>
      <c r="B257" s="64">
        <v>46154.916666666701</v>
      </c>
      <c r="C257" s="142">
        <f t="shared" si="17"/>
        <v>46154.916666666701</v>
      </c>
      <c r="D257" s="19" t="s">
        <v>13</v>
      </c>
      <c r="E257" s="7" t="s">
        <v>11</v>
      </c>
      <c r="F257" s="114" t="s">
        <v>93</v>
      </c>
      <c r="G257" s="115">
        <v>0.56000000000000005</v>
      </c>
      <c r="H257" s="116">
        <v>0.54</v>
      </c>
      <c r="I257" s="46" t="str">
        <f t="shared" si="18"/>
        <v/>
      </c>
      <c r="J257" s="46" t="str">
        <f t="shared" si="19"/>
        <v/>
      </c>
      <c r="K257" s="46">
        <f t="shared" si="20"/>
        <v>-2.0000000000000018E-2</v>
      </c>
      <c r="L257" s="49" t="str">
        <f t="shared" si="21"/>
        <v/>
      </c>
      <c r="M257" s="49" t="str">
        <f t="shared" si="21"/>
        <v/>
      </c>
      <c r="N257" s="49" t="str">
        <f t="shared" si="21"/>
        <v>Within Tolerance</v>
      </c>
    </row>
    <row r="258" spans="1:14" s="43" customFormat="1" hidden="1" x14ac:dyDescent="0.3">
      <c r="A258" s="168">
        <v>46186</v>
      </c>
      <c r="B258" s="64">
        <v>46155</v>
      </c>
      <c r="C258" s="142">
        <f t="shared" ref="C258:C321" si="22">A258+MOD(B258,1)</f>
        <v>46186</v>
      </c>
      <c r="D258" s="19" t="s">
        <v>13</v>
      </c>
      <c r="E258" s="7" t="s">
        <v>11</v>
      </c>
      <c r="F258" s="114">
        <v>0.56999999999999995</v>
      </c>
      <c r="G258" s="115">
        <v>0.56000000000000005</v>
      </c>
      <c r="H258" s="116">
        <v>0.55000000000000004</v>
      </c>
      <c r="I258" s="46">
        <f t="shared" si="18"/>
        <v>-9.9999999999998979E-3</v>
      </c>
      <c r="J258" s="46">
        <f t="shared" si="19"/>
        <v>-1.9999999999999907E-2</v>
      </c>
      <c r="K258" s="46">
        <f t="shared" si="20"/>
        <v>-1.0000000000000009E-2</v>
      </c>
      <c r="L258" s="49" t="str">
        <f t="shared" si="21"/>
        <v>Within Tolerance</v>
      </c>
      <c r="M258" s="49" t="str">
        <f t="shared" si="21"/>
        <v>Within Tolerance</v>
      </c>
      <c r="N258" s="49" t="str">
        <f t="shared" si="21"/>
        <v>Within Tolerance</v>
      </c>
    </row>
    <row r="259" spans="1:14" s="43" customFormat="1" hidden="1" x14ac:dyDescent="0.3">
      <c r="A259" s="169">
        <v>46186</v>
      </c>
      <c r="B259" s="64">
        <v>46155.083333333299</v>
      </c>
      <c r="C259" s="142">
        <f t="shared" si="22"/>
        <v>46186.083333333299</v>
      </c>
      <c r="D259" s="19" t="s">
        <v>13</v>
      </c>
      <c r="E259" s="7" t="s">
        <v>11</v>
      </c>
      <c r="F259" s="114" t="s">
        <v>93</v>
      </c>
      <c r="G259" s="115">
        <v>0.56000000000000005</v>
      </c>
      <c r="H259" s="116">
        <v>0.56000000000000005</v>
      </c>
      <c r="I259" s="46" t="str">
        <f t="shared" ref="I259:I322" si="23">IF(OR(TRIM(F259&amp;"")="",TRIM(G259&amp;"")="",F259="-",G259="-"),"",G259-F259)</f>
        <v/>
      </c>
      <c r="J259" s="46" t="str">
        <f t="shared" ref="J259:J322" si="24">IF(OR(TRIM(F259&amp;"")="",TRIM(H259&amp;"")="",F259="-",H259="-"),"",H259-F259)</f>
        <v/>
      </c>
      <c r="K259" s="46">
        <f t="shared" ref="K259:K322" si="25">IF(OR(TRIM(G259&amp;"")="",TRIM(H259&amp;"")="",G259="-",H259="-"),"",H259-G259)</f>
        <v>0</v>
      </c>
      <c r="L259" s="49" t="str">
        <f t="shared" ref="L259:N322" si="26">IF(ISNUMBER(I259),IF(ABS(I259)&lt;=0.02,"Within Tolerance","Out of Tolerance"),"")</f>
        <v/>
      </c>
      <c r="M259" s="49" t="str">
        <f t="shared" si="26"/>
        <v/>
      </c>
      <c r="N259" s="49" t="str">
        <f t="shared" si="26"/>
        <v>Within Tolerance</v>
      </c>
    </row>
    <row r="260" spans="1:14" s="43" customFormat="1" hidden="1" x14ac:dyDescent="0.3">
      <c r="A260" s="168">
        <v>46186</v>
      </c>
      <c r="B260" s="64">
        <v>46155.166666666701</v>
      </c>
      <c r="C260" s="142">
        <f t="shared" si="22"/>
        <v>46186.166666666701</v>
      </c>
      <c r="D260" s="19" t="s">
        <v>13</v>
      </c>
      <c r="E260" s="7" t="s">
        <v>11</v>
      </c>
      <c r="F260" s="114" t="s">
        <v>93</v>
      </c>
      <c r="G260" s="115">
        <v>0.56000000000000005</v>
      </c>
      <c r="H260" s="116">
        <v>0.54</v>
      </c>
      <c r="I260" s="46" t="str">
        <f t="shared" si="23"/>
        <v/>
      </c>
      <c r="J260" s="46" t="str">
        <f t="shared" si="24"/>
        <v/>
      </c>
      <c r="K260" s="46">
        <f t="shared" si="25"/>
        <v>-2.0000000000000018E-2</v>
      </c>
      <c r="L260" s="49" t="str">
        <f t="shared" si="26"/>
        <v/>
      </c>
      <c r="M260" s="49" t="str">
        <f t="shared" si="26"/>
        <v/>
      </c>
      <c r="N260" s="49" t="str">
        <f t="shared" si="26"/>
        <v>Within Tolerance</v>
      </c>
    </row>
    <row r="261" spans="1:14" s="43" customFormat="1" hidden="1" x14ac:dyDescent="0.3">
      <c r="A261" s="169">
        <v>46186</v>
      </c>
      <c r="B261" s="64">
        <v>46155.229166666701</v>
      </c>
      <c r="C261" s="142">
        <f t="shared" si="22"/>
        <v>46186.229166666701</v>
      </c>
      <c r="D261" s="19" t="s">
        <v>13</v>
      </c>
      <c r="E261" s="7" t="s">
        <v>11</v>
      </c>
      <c r="F261" s="114" t="s">
        <v>93</v>
      </c>
      <c r="G261" s="115">
        <v>0.55000000000000004</v>
      </c>
      <c r="H261" s="116">
        <v>0.56000000000000005</v>
      </c>
      <c r="I261" s="46" t="str">
        <f t="shared" si="23"/>
        <v/>
      </c>
      <c r="J261" s="46" t="str">
        <f t="shared" si="24"/>
        <v/>
      </c>
      <c r="K261" s="46">
        <f t="shared" si="25"/>
        <v>1.0000000000000009E-2</v>
      </c>
      <c r="L261" s="49" t="str">
        <f t="shared" si="26"/>
        <v/>
      </c>
      <c r="M261" s="49" t="str">
        <f t="shared" si="26"/>
        <v/>
      </c>
      <c r="N261" s="49" t="str">
        <f t="shared" si="26"/>
        <v>Within Tolerance</v>
      </c>
    </row>
    <row r="262" spans="1:14" s="43" customFormat="1" hidden="1" x14ac:dyDescent="0.3">
      <c r="A262" s="168">
        <v>46186</v>
      </c>
      <c r="B262" s="64">
        <v>46155.274305555598</v>
      </c>
      <c r="C262" s="142">
        <f t="shared" si="22"/>
        <v>46186.274305555598</v>
      </c>
      <c r="D262" s="19" t="s">
        <v>41</v>
      </c>
      <c r="E262" s="7" t="s">
        <v>11</v>
      </c>
      <c r="F262" s="114" t="s">
        <v>93</v>
      </c>
      <c r="G262" s="115">
        <v>0.54</v>
      </c>
      <c r="H262" s="116">
        <v>0.55000000000000004</v>
      </c>
      <c r="I262" s="46" t="str">
        <f t="shared" si="23"/>
        <v/>
      </c>
      <c r="J262" s="46" t="str">
        <f t="shared" si="24"/>
        <v/>
      </c>
      <c r="K262" s="46">
        <f t="shared" si="25"/>
        <v>1.0000000000000009E-2</v>
      </c>
      <c r="L262" s="49" t="str">
        <f t="shared" si="26"/>
        <v/>
      </c>
      <c r="M262" s="49" t="str">
        <f t="shared" si="26"/>
        <v/>
      </c>
      <c r="N262" s="49" t="str">
        <f t="shared" si="26"/>
        <v>Within Tolerance</v>
      </c>
    </row>
    <row r="263" spans="1:14" s="43" customFormat="1" hidden="1" x14ac:dyDescent="0.3">
      <c r="A263" s="169">
        <v>46154</v>
      </c>
      <c r="B263" s="64">
        <v>46154.333333333299</v>
      </c>
      <c r="C263" s="142">
        <f t="shared" si="22"/>
        <v>46154.333333333299</v>
      </c>
      <c r="D263" s="19" t="s">
        <v>29</v>
      </c>
      <c r="E263" s="7" t="s">
        <v>15</v>
      </c>
      <c r="F263" s="114">
        <v>0.53</v>
      </c>
      <c r="G263" s="115">
        <v>0.54</v>
      </c>
      <c r="H263" s="116">
        <v>0.54</v>
      </c>
      <c r="I263" s="46">
        <f t="shared" si="23"/>
        <v>1.0000000000000009E-2</v>
      </c>
      <c r="J263" s="46">
        <f t="shared" si="24"/>
        <v>1.0000000000000009E-2</v>
      </c>
      <c r="K263" s="46">
        <f t="shared" si="25"/>
        <v>0</v>
      </c>
      <c r="L263" s="49" t="str">
        <f t="shared" si="26"/>
        <v>Within Tolerance</v>
      </c>
      <c r="M263" s="49" t="str">
        <f t="shared" si="26"/>
        <v>Within Tolerance</v>
      </c>
      <c r="N263" s="49" t="str">
        <f t="shared" si="26"/>
        <v>Within Tolerance</v>
      </c>
    </row>
    <row r="264" spans="1:14" s="43" customFormat="1" hidden="1" x14ac:dyDescent="0.3">
      <c r="A264" s="168">
        <v>46154</v>
      </c>
      <c r="B264" s="64">
        <v>46154.416666666701</v>
      </c>
      <c r="C264" s="142">
        <f t="shared" si="22"/>
        <v>46154.416666666701</v>
      </c>
      <c r="D264" s="19" t="s">
        <v>29</v>
      </c>
      <c r="E264" s="7" t="s">
        <v>15</v>
      </c>
      <c r="F264" s="114" t="s">
        <v>93</v>
      </c>
      <c r="G264" s="115">
        <v>0.54</v>
      </c>
      <c r="H264" s="116">
        <v>0.54</v>
      </c>
      <c r="I264" s="46" t="str">
        <f t="shared" si="23"/>
        <v/>
      </c>
      <c r="J264" s="46" t="str">
        <f t="shared" si="24"/>
        <v/>
      </c>
      <c r="K264" s="46">
        <f t="shared" si="25"/>
        <v>0</v>
      </c>
      <c r="L264" s="49" t="str">
        <f t="shared" si="26"/>
        <v/>
      </c>
      <c r="M264" s="49" t="str">
        <f t="shared" si="26"/>
        <v/>
      </c>
      <c r="N264" s="49" t="str">
        <f t="shared" si="26"/>
        <v>Within Tolerance</v>
      </c>
    </row>
    <row r="265" spans="1:14" s="43" customFormat="1" x14ac:dyDescent="0.3">
      <c r="A265" s="169">
        <v>46154</v>
      </c>
      <c r="B265" s="64">
        <v>46154.878472222197</v>
      </c>
      <c r="C265" s="142">
        <f t="shared" si="22"/>
        <v>46154.878472222197</v>
      </c>
      <c r="D265" s="19" t="s">
        <v>41</v>
      </c>
      <c r="E265" s="7" t="s">
        <v>15</v>
      </c>
      <c r="F265" s="114" t="s">
        <v>93</v>
      </c>
      <c r="G265" s="115">
        <v>0.54</v>
      </c>
      <c r="H265" s="116"/>
      <c r="I265" s="46" t="str">
        <f t="shared" si="23"/>
        <v/>
      </c>
      <c r="J265" s="46" t="str">
        <f t="shared" si="24"/>
        <v/>
      </c>
      <c r="K265" s="46" t="str">
        <f t="shared" si="25"/>
        <v/>
      </c>
      <c r="L265" s="49" t="str">
        <f t="shared" si="26"/>
        <v/>
      </c>
      <c r="M265" s="49" t="str">
        <f t="shared" si="26"/>
        <v/>
      </c>
      <c r="N265" s="49" t="str">
        <f t="shared" si="26"/>
        <v/>
      </c>
    </row>
    <row r="266" spans="1:14" s="43" customFormat="1" hidden="1" x14ac:dyDescent="0.3">
      <c r="A266" s="168">
        <v>46154</v>
      </c>
      <c r="B266" s="64">
        <v>46154.892361111102</v>
      </c>
      <c r="C266" s="142">
        <f t="shared" si="22"/>
        <v>46154.892361111102</v>
      </c>
      <c r="D266" s="19" t="s">
        <v>41</v>
      </c>
      <c r="E266" s="7" t="s">
        <v>15</v>
      </c>
      <c r="F266" s="114" t="s">
        <v>93</v>
      </c>
      <c r="G266" s="115">
        <v>0.55000000000000004</v>
      </c>
      <c r="H266" s="116">
        <v>0.53</v>
      </c>
      <c r="I266" s="46" t="str">
        <f t="shared" si="23"/>
        <v/>
      </c>
      <c r="J266" s="46" t="str">
        <f t="shared" si="24"/>
        <v/>
      </c>
      <c r="K266" s="46">
        <f t="shared" si="25"/>
        <v>-2.0000000000000018E-2</v>
      </c>
      <c r="L266" s="49" t="str">
        <f t="shared" si="26"/>
        <v/>
      </c>
      <c r="M266" s="49" t="str">
        <f t="shared" si="26"/>
        <v/>
      </c>
      <c r="N266" s="49" t="str">
        <f t="shared" si="26"/>
        <v>Within Tolerance</v>
      </c>
    </row>
    <row r="267" spans="1:14" s="43" customFormat="1" hidden="1" x14ac:dyDescent="0.3">
      <c r="A267" s="169">
        <v>46155</v>
      </c>
      <c r="B267" s="64">
        <v>46155</v>
      </c>
      <c r="C267" s="142">
        <f t="shared" si="22"/>
        <v>46155</v>
      </c>
      <c r="D267" s="19" t="s">
        <v>41</v>
      </c>
      <c r="E267" s="7" t="s">
        <v>15</v>
      </c>
      <c r="F267" s="114">
        <v>0.52</v>
      </c>
      <c r="G267" s="115">
        <v>0.52</v>
      </c>
      <c r="H267" s="116">
        <v>0.53</v>
      </c>
      <c r="I267" s="46">
        <f t="shared" si="23"/>
        <v>0</v>
      </c>
      <c r="J267" s="46">
        <f t="shared" si="24"/>
        <v>1.0000000000000009E-2</v>
      </c>
      <c r="K267" s="46">
        <f t="shared" si="25"/>
        <v>1.0000000000000009E-2</v>
      </c>
      <c r="L267" s="49" t="str">
        <f t="shared" si="26"/>
        <v>Within Tolerance</v>
      </c>
      <c r="M267" s="49" t="str">
        <f t="shared" si="26"/>
        <v>Within Tolerance</v>
      </c>
      <c r="N267" s="49" t="str">
        <f t="shared" si="26"/>
        <v>Within Tolerance</v>
      </c>
    </row>
    <row r="268" spans="1:14" s="43" customFormat="1" hidden="1" x14ac:dyDescent="0.3">
      <c r="A268" s="168">
        <v>46155</v>
      </c>
      <c r="B268" s="64">
        <v>46155.083333333299</v>
      </c>
      <c r="C268" s="142">
        <f t="shared" si="22"/>
        <v>46155.083333333299</v>
      </c>
      <c r="D268" s="19" t="s">
        <v>41</v>
      </c>
      <c r="E268" s="7" t="s">
        <v>15</v>
      </c>
      <c r="F268" s="114" t="s">
        <v>93</v>
      </c>
      <c r="G268" s="115">
        <v>0.53</v>
      </c>
      <c r="H268" s="116">
        <v>0.53</v>
      </c>
      <c r="I268" s="46" t="str">
        <f t="shared" si="23"/>
        <v/>
      </c>
      <c r="J268" s="46" t="str">
        <f t="shared" si="24"/>
        <v/>
      </c>
      <c r="K268" s="46">
        <f t="shared" si="25"/>
        <v>0</v>
      </c>
      <c r="L268" s="49" t="str">
        <f t="shared" si="26"/>
        <v/>
      </c>
      <c r="M268" s="49" t="str">
        <f t="shared" si="26"/>
        <v/>
      </c>
      <c r="N268" s="49" t="str">
        <f t="shared" si="26"/>
        <v>Within Tolerance</v>
      </c>
    </row>
    <row r="269" spans="1:14" s="43" customFormat="1" hidden="1" x14ac:dyDescent="0.3">
      <c r="A269" s="169">
        <v>46155</v>
      </c>
      <c r="B269" s="64">
        <v>46155.166666666701</v>
      </c>
      <c r="C269" s="142">
        <f t="shared" si="22"/>
        <v>46155.166666666701</v>
      </c>
      <c r="D269" s="19" t="s">
        <v>41</v>
      </c>
      <c r="E269" s="7" t="s">
        <v>15</v>
      </c>
      <c r="F269" s="114" t="s">
        <v>93</v>
      </c>
      <c r="G269" s="115">
        <v>0.51</v>
      </c>
      <c r="H269" s="116">
        <v>0.53</v>
      </c>
      <c r="I269" s="46" t="str">
        <f t="shared" si="23"/>
        <v/>
      </c>
      <c r="J269" s="46" t="str">
        <f t="shared" si="24"/>
        <v/>
      </c>
      <c r="K269" s="46">
        <f t="shared" si="25"/>
        <v>2.0000000000000018E-2</v>
      </c>
      <c r="L269" s="49" t="str">
        <f t="shared" si="26"/>
        <v/>
      </c>
      <c r="M269" s="49" t="str">
        <f t="shared" si="26"/>
        <v/>
      </c>
      <c r="N269" s="49" t="str">
        <f t="shared" si="26"/>
        <v>Within Tolerance</v>
      </c>
    </row>
    <row r="270" spans="1:14" s="43" customFormat="1" hidden="1" x14ac:dyDescent="0.3">
      <c r="A270" s="168">
        <v>46155</v>
      </c>
      <c r="B270" s="64">
        <v>46155.25</v>
      </c>
      <c r="C270" s="142">
        <f t="shared" si="22"/>
        <v>46155.25</v>
      </c>
      <c r="D270" s="19" t="s">
        <v>41</v>
      </c>
      <c r="E270" s="7" t="s">
        <v>15</v>
      </c>
      <c r="F270" s="114" t="s">
        <v>93</v>
      </c>
      <c r="G270" s="115">
        <v>0.53</v>
      </c>
      <c r="H270" s="116">
        <v>0.53</v>
      </c>
      <c r="I270" s="46" t="str">
        <f t="shared" si="23"/>
        <v/>
      </c>
      <c r="J270" s="46" t="str">
        <f t="shared" si="24"/>
        <v/>
      </c>
      <c r="K270" s="46">
        <f t="shared" si="25"/>
        <v>0</v>
      </c>
      <c r="L270" s="49" t="str">
        <f t="shared" si="26"/>
        <v/>
      </c>
      <c r="M270" s="49" t="str">
        <f t="shared" si="26"/>
        <v/>
      </c>
      <c r="N270" s="49" t="str">
        <f t="shared" si="26"/>
        <v>Within Tolerance</v>
      </c>
    </row>
    <row r="271" spans="1:14" s="43" customFormat="1" x14ac:dyDescent="0.3">
      <c r="A271" s="169">
        <v>46154</v>
      </c>
      <c r="B271" s="64">
        <v>46154.416666666701</v>
      </c>
      <c r="C271" s="142">
        <f t="shared" si="22"/>
        <v>46154.416666666701</v>
      </c>
      <c r="D271" s="19" t="s">
        <v>21</v>
      </c>
      <c r="E271" s="7" t="s">
        <v>19</v>
      </c>
      <c r="F271" s="114">
        <v>0.56000000000000005</v>
      </c>
      <c r="G271" s="115">
        <v>0.56000000000000005</v>
      </c>
      <c r="H271" s="116"/>
      <c r="I271" s="46">
        <f t="shared" si="23"/>
        <v>0</v>
      </c>
      <c r="J271" s="46" t="str">
        <f t="shared" si="24"/>
        <v/>
      </c>
      <c r="K271" s="46" t="str">
        <f t="shared" si="25"/>
        <v/>
      </c>
      <c r="L271" s="49" t="str">
        <f t="shared" si="26"/>
        <v>Within Tolerance</v>
      </c>
      <c r="M271" s="49" t="str">
        <f t="shared" si="26"/>
        <v/>
      </c>
      <c r="N271" s="49" t="str">
        <f t="shared" si="26"/>
        <v/>
      </c>
    </row>
    <row r="272" spans="1:14" s="43" customFormat="1" x14ac:dyDescent="0.3">
      <c r="A272" s="168">
        <v>46154</v>
      </c>
      <c r="B272" s="64">
        <v>46154.444444444402</v>
      </c>
      <c r="C272" s="142">
        <f t="shared" si="22"/>
        <v>46154.444444444402</v>
      </c>
      <c r="D272" s="19" t="s">
        <v>37</v>
      </c>
      <c r="E272" s="7" t="s">
        <v>19</v>
      </c>
      <c r="F272" s="114">
        <v>0.44</v>
      </c>
      <c r="G272" s="115">
        <v>0.45</v>
      </c>
      <c r="H272" s="116"/>
      <c r="I272" s="46">
        <f t="shared" si="23"/>
        <v>1.0000000000000009E-2</v>
      </c>
      <c r="J272" s="46" t="str">
        <f>IF(OR(TRIM(F272&amp;"")="",TRIM(H272&amp;"")="",F272="-",H272="-"),"",H272-F272)</f>
        <v/>
      </c>
      <c r="K272" s="46" t="str">
        <f t="shared" si="25"/>
        <v/>
      </c>
      <c r="L272" s="49" t="str">
        <f t="shared" si="26"/>
        <v>Within Tolerance</v>
      </c>
      <c r="M272" s="49" t="str">
        <f t="shared" si="26"/>
        <v/>
      </c>
      <c r="N272" s="49" t="str">
        <f t="shared" si="26"/>
        <v/>
      </c>
    </row>
    <row r="273" spans="1:14" s="43" customFormat="1" hidden="1" x14ac:dyDescent="0.3">
      <c r="A273" s="169">
        <v>46154</v>
      </c>
      <c r="B273" s="64">
        <v>46154.472222222197</v>
      </c>
      <c r="C273" s="142">
        <f t="shared" si="22"/>
        <v>46154.472222222197</v>
      </c>
      <c r="D273" s="19" t="s">
        <v>20</v>
      </c>
      <c r="E273" s="7" t="s">
        <v>19</v>
      </c>
      <c r="F273" s="114">
        <v>0.56999999999999995</v>
      </c>
      <c r="G273" s="115">
        <v>0.56999999999999995</v>
      </c>
      <c r="H273" s="116">
        <v>0.56999999999999995</v>
      </c>
      <c r="I273" s="46">
        <f t="shared" si="23"/>
        <v>0</v>
      </c>
      <c r="J273" s="46">
        <f t="shared" si="24"/>
        <v>0</v>
      </c>
      <c r="K273" s="46">
        <f t="shared" si="25"/>
        <v>0</v>
      </c>
      <c r="L273" s="49" t="str">
        <f t="shared" si="26"/>
        <v>Within Tolerance</v>
      </c>
      <c r="M273" s="49" t="str">
        <f t="shared" si="26"/>
        <v>Within Tolerance</v>
      </c>
      <c r="N273" s="49" t="str">
        <f t="shared" si="26"/>
        <v>Within Tolerance</v>
      </c>
    </row>
    <row r="274" spans="1:14" s="43" customFormat="1" hidden="1" x14ac:dyDescent="0.3">
      <c r="A274" s="168">
        <v>46154</v>
      </c>
      <c r="B274" s="64">
        <v>46154.527777777803</v>
      </c>
      <c r="C274" s="142">
        <f t="shared" si="22"/>
        <v>46154.527777777803</v>
      </c>
      <c r="D274" s="19" t="s">
        <v>30</v>
      </c>
      <c r="E274" s="7" t="s">
        <v>19</v>
      </c>
      <c r="F274" s="114">
        <v>0.61</v>
      </c>
      <c r="G274" s="115">
        <v>0.6</v>
      </c>
      <c r="H274" s="116">
        <v>0.57999999999999996</v>
      </c>
      <c r="I274" s="46">
        <f t="shared" si="23"/>
        <v>-1.0000000000000009E-2</v>
      </c>
      <c r="J274" s="46">
        <f t="shared" si="24"/>
        <v>-3.0000000000000027E-2</v>
      </c>
      <c r="K274" s="46">
        <f t="shared" si="25"/>
        <v>-2.0000000000000018E-2</v>
      </c>
      <c r="L274" s="49" t="str">
        <f t="shared" si="26"/>
        <v>Within Tolerance</v>
      </c>
      <c r="M274" s="49" t="str">
        <f t="shared" si="26"/>
        <v>Out of Tolerance</v>
      </c>
      <c r="N274" s="49" t="str">
        <f t="shared" si="26"/>
        <v>Within Tolerance</v>
      </c>
    </row>
    <row r="275" spans="1:14" s="43" customFormat="1" hidden="1" x14ac:dyDescent="0.3">
      <c r="A275" s="169">
        <v>46154</v>
      </c>
      <c r="B275" s="64">
        <v>46154.552083333299</v>
      </c>
      <c r="C275" s="142">
        <f t="shared" si="22"/>
        <v>46154.552083333299</v>
      </c>
      <c r="D275" s="7" t="s">
        <v>22</v>
      </c>
      <c r="E275" s="7" t="s">
        <v>19</v>
      </c>
      <c r="F275" s="114">
        <v>0.55000000000000004</v>
      </c>
      <c r="G275" s="115">
        <v>0.56000000000000005</v>
      </c>
      <c r="H275" s="116">
        <v>0.55000000000000004</v>
      </c>
      <c r="I275" s="46">
        <f t="shared" si="23"/>
        <v>1.0000000000000009E-2</v>
      </c>
      <c r="J275" s="46">
        <f t="shared" si="24"/>
        <v>0</v>
      </c>
      <c r="K275" s="46">
        <f t="shared" si="25"/>
        <v>-1.0000000000000009E-2</v>
      </c>
      <c r="L275" s="49" t="str">
        <f t="shared" si="26"/>
        <v>Within Tolerance</v>
      </c>
      <c r="M275" s="49" t="str">
        <f t="shared" si="26"/>
        <v>Within Tolerance</v>
      </c>
      <c r="N275" s="49" t="str">
        <f t="shared" si="26"/>
        <v>Within Tolerance</v>
      </c>
    </row>
    <row r="276" spans="1:14" s="43" customFormat="1" hidden="1" x14ac:dyDescent="0.3">
      <c r="A276" s="168">
        <v>46154</v>
      </c>
      <c r="B276" s="64">
        <v>46154.607638888898</v>
      </c>
      <c r="C276" s="142">
        <f t="shared" si="22"/>
        <v>46154.607638888898</v>
      </c>
      <c r="D276" s="19" t="s">
        <v>42</v>
      </c>
      <c r="E276" s="7" t="s">
        <v>19</v>
      </c>
      <c r="F276" s="114">
        <v>0.39</v>
      </c>
      <c r="G276" s="115">
        <v>0.4</v>
      </c>
      <c r="H276" s="116">
        <v>0.38</v>
      </c>
      <c r="I276" s="46">
        <f t="shared" si="23"/>
        <v>1.0000000000000009E-2</v>
      </c>
      <c r="J276" s="46">
        <f t="shared" si="24"/>
        <v>-1.0000000000000009E-2</v>
      </c>
      <c r="K276" s="46">
        <f t="shared" si="25"/>
        <v>-2.0000000000000018E-2</v>
      </c>
      <c r="L276" s="49" t="str">
        <f t="shared" si="26"/>
        <v>Within Tolerance</v>
      </c>
      <c r="M276" s="49" t="str">
        <f t="shared" si="26"/>
        <v>Within Tolerance</v>
      </c>
      <c r="N276" s="49" t="str">
        <f t="shared" si="26"/>
        <v>Within Tolerance</v>
      </c>
    </row>
    <row r="277" spans="1:14" s="43" customFormat="1" hidden="1" x14ac:dyDescent="0.3">
      <c r="A277" s="169">
        <v>46154</v>
      </c>
      <c r="B277" s="64">
        <v>46154.645833333299</v>
      </c>
      <c r="C277" s="142">
        <f t="shared" si="22"/>
        <v>46154.645833333299</v>
      </c>
      <c r="D277" s="19" t="s">
        <v>56</v>
      </c>
      <c r="E277" s="7" t="s">
        <v>19</v>
      </c>
      <c r="F277" s="114" t="s">
        <v>93</v>
      </c>
      <c r="G277" s="115">
        <v>1.91</v>
      </c>
      <c r="H277" s="116">
        <v>1.1499999999999999</v>
      </c>
      <c r="I277" s="46" t="str">
        <f t="shared" si="23"/>
        <v/>
      </c>
      <c r="J277" s="46" t="str">
        <f t="shared" si="24"/>
        <v/>
      </c>
      <c r="K277" s="46">
        <f t="shared" si="25"/>
        <v>-0.76</v>
      </c>
      <c r="L277" s="49" t="str">
        <f t="shared" si="26"/>
        <v/>
      </c>
      <c r="M277" s="49" t="str">
        <f t="shared" si="26"/>
        <v/>
      </c>
      <c r="N277" s="49" t="str">
        <f t="shared" si="26"/>
        <v>Out of Tolerance</v>
      </c>
    </row>
    <row r="278" spans="1:14" s="43" customFormat="1" hidden="1" x14ac:dyDescent="0.3">
      <c r="A278" s="168">
        <v>46154</v>
      </c>
      <c r="B278" s="64">
        <v>46154.4375</v>
      </c>
      <c r="C278" s="142">
        <f t="shared" si="22"/>
        <v>46154.4375</v>
      </c>
      <c r="D278" s="7" t="s">
        <v>26</v>
      </c>
      <c r="E278" s="7" t="s">
        <v>24</v>
      </c>
      <c r="F278" s="114">
        <v>0.66</v>
      </c>
      <c r="G278" s="115">
        <v>0.66</v>
      </c>
      <c r="H278" s="116">
        <v>0.64</v>
      </c>
      <c r="I278" s="46">
        <f t="shared" si="23"/>
        <v>0</v>
      </c>
      <c r="J278" s="46">
        <f t="shared" si="24"/>
        <v>-2.0000000000000018E-2</v>
      </c>
      <c r="K278" s="46">
        <f t="shared" si="25"/>
        <v>-2.0000000000000018E-2</v>
      </c>
      <c r="L278" s="49" t="str">
        <f t="shared" si="26"/>
        <v>Within Tolerance</v>
      </c>
      <c r="M278" s="49" t="str">
        <f t="shared" si="26"/>
        <v>Within Tolerance</v>
      </c>
      <c r="N278" s="49" t="str">
        <f t="shared" si="26"/>
        <v>Within Tolerance</v>
      </c>
    </row>
    <row r="279" spans="1:14" s="43" customFormat="1" hidden="1" x14ac:dyDescent="0.3">
      <c r="A279" s="169">
        <v>46154</v>
      </c>
      <c r="B279" s="64">
        <v>46154.694444444402</v>
      </c>
      <c r="C279" s="142">
        <f t="shared" si="22"/>
        <v>46154.694444444402</v>
      </c>
      <c r="D279" s="7" t="s">
        <v>25</v>
      </c>
      <c r="E279" s="7" t="s">
        <v>24</v>
      </c>
      <c r="F279" s="114">
        <v>0.59</v>
      </c>
      <c r="G279" s="115">
        <v>0.59</v>
      </c>
      <c r="H279" s="116">
        <v>0.56999999999999995</v>
      </c>
      <c r="I279" s="46">
        <f t="shared" si="23"/>
        <v>0</v>
      </c>
      <c r="J279" s="46">
        <f t="shared" si="24"/>
        <v>-2.0000000000000018E-2</v>
      </c>
      <c r="K279" s="46">
        <f t="shared" si="25"/>
        <v>-2.0000000000000018E-2</v>
      </c>
      <c r="L279" s="49" t="str">
        <f t="shared" si="26"/>
        <v>Within Tolerance</v>
      </c>
      <c r="M279" s="49" t="str">
        <f t="shared" si="26"/>
        <v>Within Tolerance</v>
      </c>
      <c r="N279" s="49" t="str">
        <f t="shared" si="26"/>
        <v>Within Tolerance</v>
      </c>
    </row>
    <row r="280" spans="1:14" s="43" customFormat="1" hidden="1" x14ac:dyDescent="0.3">
      <c r="A280" s="168">
        <v>46155</v>
      </c>
      <c r="B280" s="64">
        <v>46155.333333333299</v>
      </c>
      <c r="C280" s="142">
        <f t="shared" si="22"/>
        <v>46155.333333333299</v>
      </c>
      <c r="D280" s="19" t="s">
        <v>41</v>
      </c>
      <c r="E280" s="7" t="s">
        <v>11</v>
      </c>
      <c r="F280" s="116">
        <v>0.5</v>
      </c>
      <c r="G280" s="115">
        <v>0.5</v>
      </c>
      <c r="H280" s="116">
        <v>0.53</v>
      </c>
      <c r="I280" s="46">
        <f t="shared" si="23"/>
        <v>0</v>
      </c>
      <c r="J280" s="46">
        <f t="shared" si="24"/>
        <v>3.0000000000000027E-2</v>
      </c>
      <c r="K280" s="46">
        <f t="shared" si="25"/>
        <v>3.0000000000000027E-2</v>
      </c>
      <c r="L280" s="49" t="str">
        <f t="shared" si="26"/>
        <v>Within Tolerance</v>
      </c>
      <c r="M280" s="49" t="str">
        <f t="shared" si="26"/>
        <v>Out of Tolerance</v>
      </c>
      <c r="N280" s="49" t="str">
        <f t="shared" si="26"/>
        <v>Out of Tolerance</v>
      </c>
    </row>
    <row r="281" spans="1:14" s="43" customFormat="1" x14ac:dyDescent="0.3">
      <c r="A281" s="169">
        <v>46155</v>
      </c>
      <c r="B281" s="64">
        <v>46155.46875</v>
      </c>
      <c r="C281" s="142">
        <f t="shared" si="22"/>
        <v>46155.46875</v>
      </c>
      <c r="D281" s="19" t="s">
        <v>41</v>
      </c>
      <c r="E281" s="7" t="s">
        <v>11</v>
      </c>
      <c r="F281" s="116"/>
      <c r="G281" s="115">
        <v>0.53</v>
      </c>
      <c r="H281" s="116"/>
      <c r="I281" s="46" t="str">
        <f t="shared" si="23"/>
        <v/>
      </c>
      <c r="J281" s="46" t="str">
        <f t="shared" si="24"/>
        <v/>
      </c>
      <c r="K281" s="46" t="str">
        <f t="shared" si="25"/>
        <v/>
      </c>
      <c r="L281" s="49" t="str">
        <f t="shared" si="26"/>
        <v/>
      </c>
      <c r="M281" s="49" t="str">
        <f t="shared" si="26"/>
        <v/>
      </c>
      <c r="N281" s="49" t="str">
        <f t="shared" si="26"/>
        <v/>
      </c>
    </row>
    <row r="282" spans="1:14" s="43" customFormat="1" hidden="1" x14ac:dyDescent="0.3">
      <c r="A282" s="168">
        <v>46155</v>
      </c>
      <c r="B282" s="64">
        <v>46155.5</v>
      </c>
      <c r="C282" s="142">
        <f t="shared" si="22"/>
        <v>46155.5</v>
      </c>
      <c r="D282" s="19" t="s">
        <v>41</v>
      </c>
      <c r="E282" s="7" t="s">
        <v>11</v>
      </c>
      <c r="F282" s="116"/>
      <c r="G282" s="115">
        <v>0.51</v>
      </c>
      <c r="H282" s="116">
        <v>0.55000000000000004</v>
      </c>
      <c r="I282" s="46" t="str">
        <f t="shared" si="23"/>
        <v/>
      </c>
      <c r="J282" s="46" t="str">
        <f t="shared" si="24"/>
        <v/>
      </c>
      <c r="K282" s="46">
        <f t="shared" si="25"/>
        <v>4.0000000000000036E-2</v>
      </c>
      <c r="L282" s="49" t="str">
        <f t="shared" si="26"/>
        <v/>
      </c>
      <c r="M282" s="49" t="str">
        <f t="shared" si="26"/>
        <v/>
      </c>
      <c r="N282" s="49" t="str">
        <f t="shared" si="26"/>
        <v>Out of Tolerance</v>
      </c>
    </row>
    <row r="283" spans="1:14" s="43" customFormat="1" hidden="1" x14ac:dyDescent="0.3">
      <c r="A283" s="169">
        <v>46155</v>
      </c>
      <c r="B283" s="64">
        <v>46155.583333333299</v>
      </c>
      <c r="C283" s="142">
        <f t="shared" si="22"/>
        <v>46155.583333333299</v>
      </c>
      <c r="D283" s="19" t="s">
        <v>41</v>
      </c>
      <c r="E283" s="7" t="s">
        <v>11</v>
      </c>
      <c r="F283" s="116"/>
      <c r="G283" s="115">
        <v>0.55000000000000004</v>
      </c>
      <c r="H283" s="116">
        <v>0.56999999999999995</v>
      </c>
      <c r="I283" s="46" t="str">
        <f t="shared" si="23"/>
        <v/>
      </c>
      <c r="J283" s="46" t="str">
        <f t="shared" si="24"/>
        <v/>
      </c>
      <c r="K283" s="46">
        <f t="shared" si="25"/>
        <v>1.9999999999999907E-2</v>
      </c>
      <c r="L283" s="49" t="str">
        <f t="shared" si="26"/>
        <v/>
      </c>
      <c r="M283" s="49" t="str">
        <f t="shared" si="26"/>
        <v/>
      </c>
      <c r="N283" s="49" t="str">
        <f t="shared" si="26"/>
        <v>Within Tolerance</v>
      </c>
    </row>
    <row r="284" spans="1:14" s="43" customFormat="1" hidden="1" x14ac:dyDescent="0.3">
      <c r="A284" s="168">
        <v>46155</v>
      </c>
      <c r="B284" s="64">
        <v>46155.666666666701</v>
      </c>
      <c r="C284" s="142">
        <f t="shared" si="22"/>
        <v>46155.666666666701</v>
      </c>
      <c r="D284" s="19" t="s">
        <v>41</v>
      </c>
      <c r="E284" s="7" t="s">
        <v>11</v>
      </c>
      <c r="F284" s="116">
        <v>0.53</v>
      </c>
      <c r="G284" s="115">
        <v>0.56000000000000005</v>
      </c>
      <c r="H284" s="116">
        <v>0.56000000000000005</v>
      </c>
      <c r="I284" s="46">
        <f t="shared" si="23"/>
        <v>3.0000000000000027E-2</v>
      </c>
      <c r="J284" s="46">
        <f t="shared" si="24"/>
        <v>3.0000000000000027E-2</v>
      </c>
      <c r="K284" s="46">
        <f t="shared" si="25"/>
        <v>0</v>
      </c>
      <c r="L284" s="49" t="str">
        <f t="shared" si="26"/>
        <v>Out of Tolerance</v>
      </c>
      <c r="M284" s="49" t="str">
        <f t="shared" si="26"/>
        <v>Out of Tolerance</v>
      </c>
      <c r="N284" s="49" t="str">
        <f t="shared" si="26"/>
        <v>Within Tolerance</v>
      </c>
    </row>
    <row r="285" spans="1:14" s="43" customFormat="1" hidden="1" x14ac:dyDescent="0.3">
      <c r="A285" s="169">
        <v>46155</v>
      </c>
      <c r="B285" s="64">
        <v>46155.75</v>
      </c>
      <c r="C285" s="142">
        <f t="shared" si="22"/>
        <v>46155.75</v>
      </c>
      <c r="D285" s="19" t="s">
        <v>41</v>
      </c>
      <c r="E285" s="7" t="s">
        <v>11</v>
      </c>
      <c r="F285" s="116"/>
      <c r="G285" s="115">
        <v>0.55000000000000004</v>
      </c>
      <c r="H285" s="116">
        <v>0.56000000000000005</v>
      </c>
      <c r="I285" s="46" t="str">
        <f t="shared" si="23"/>
        <v/>
      </c>
      <c r="J285" s="46" t="str">
        <f t="shared" si="24"/>
        <v/>
      </c>
      <c r="K285" s="46">
        <f t="shared" si="25"/>
        <v>1.0000000000000009E-2</v>
      </c>
      <c r="L285" s="49" t="str">
        <f t="shared" si="26"/>
        <v/>
      </c>
      <c r="M285" s="49" t="str">
        <f t="shared" si="26"/>
        <v/>
      </c>
      <c r="N285" s="49" t="str">
        <f t="shared" si="26"/>
        <v>Within Tolerance</v>
      </c>
    </row>
    <row r="286" spans="1:14" s="43" customFormat="1" hidden="1" x14ac:dyDescent="0.3">
      <c r="A286" s="168">
        <v>46155</v>
      </c>
      <c r="B286" s="64">
        <v>46155.833333333299</v>
      </c>
      <c r="C286" s="142">
        <f t="shared" si="22"/>
        <v>46155.833333333299</v>
      </c>
      <c r="D286" s="19" t="s">
        <v>41</v>
      </c>
      <c r="E286" s="7" t="s">
        <v>11</v>
      </c>
      <c r="F286" s="116"/>
      <c r="G286" s="115">
        <v>0.56000000000000005</v>
      </c>
      <c r="H286" s="116">
        <v>0.57999999999999996</v>
      </c>
      <c r="I286" s="46" t="str">
        <f t="shared" si="23"/>
        <v/>
      </c>
      <c r="J286" s="46" t="str">
        <f t="shared" si="24"/>
        <v/>
      </c>
      <c r="K286" s="46">
        <f t="shared" si="25"/>
        <v>1.9999999999999907E-2</v>
      </c>
      <c r="L286" s="49" t="str">
        <f t="shared" si="26"/>
        <v/>
      </c>
      <c r="M286" s="49" t="str">
        <f t="shared" si="26"/>
        <v/>
      </c>
      <c r="N286" s="49" t="str">
        <f t="shared" si="26"/>
        <v>Within Tolerance</v>
      </c>
    </row>
    <row r="287" spans="1:14" s="43" customFormat="1" hidden="1" x14ac:dyDescent="0.3">
      <c r="A287" s="169">
        <v>46155</v>
      </c>
      <c r="B287" s="64">
        <v>46155.916666666701</v>
      </c>
      <c r="C287" s="142">
        <f t="shared" si="22"/>
        <v>46155.916666666701</v>
      </c>
      <c r="D287" s="19" t="s">
        <v>41</v>
      </c>
      <c r="E287" s="7" t="s">
        <v>11</v>
      </c>
      <c r="F287" s="116"/>
      <c r="G287" s="115">
        <v>0.55000000000000004</v>
      </c>
      <c r="H287" s="116">
        <v>0.56000000000000005</v>
      </c>
      <c r="I287" s="46" t="str">
        <f t="shared" si="23"/>
        <v/>
      </c>
      <c r="J287" s="46" t="str">
        <f t="shared" si="24"/>
        <v/>
      </c>
      <c r="K287" s="46">
        <f t="shared" si="25"/>
        <v>1.0000000000000009E-2</v>
      </c>
      <c r="L287" s="49" t="str">
        <f t="shared" si="26"/>
        <v/>
      </c>
      <c r="M287" s="49" t="str">
        <f t="shared" si="26"/>
        <v/>
      </c>
      <c r="N287" s="49" t="str">
        <f t="shared" si="26"/>
        <v>Within Tolerance</v>
      </c>
    </row>
    <row r="288" spans="1:14" s="43" customFormat="1" hidden="1" x14ac:dyDescent="0.3">
      <c r="A288" s="168">
        <v>46156</v>
      </c>
      <c r="B288" s="64">
        <v>46156</v>
      </c>
      <c r="C288" s="142">
        <f t="shared" si="22"/>
        <v>46156</v>
      </c>
      <c r="D288" s="19" t="s">
        <v>41</v>
      </c>
      <c r="E288" s="7" t="s">
        <v>11</v>
      </c>
      <c r="F288" s="116">
        <v>0.53</v>
      </c>
      <c r="G288" s="115">
        <v>0.54</v>
      </c>
      <c r="H288" s="116">
        <v>0.56000000000000005</v>
      </c>
      <c r="I288" s="46">
        <f t="shared" si="23"/>
        <v>1.0000000000000009E-2</v>
      </c>
      <c r="J288" s="46">
        <f t="shared" si="24"/>
        <v>3.0000000000000027E-2</v>
      </c>
      <c r="K288" s="46">
        <f t="shared" si="25"/>
        <v>2.0000000000000018E-2</v>
      </c>
      <c r="L288" s="49" t="str">
        <f t="shared" si="26"/>
        <v>Within Tolerance</v>
      </c>
      <c r="M288" s="49" t="str">
        <f t="shared" si="26"/>
        <v>Out of Tolerance</v>
      </c>
      <c r="N288" s="49" t="str">
        <f t="shared" si="26"/>
        <v>Within Tolerance</v>
      </c>
    </row>
    <row r="289" spans="1:14" s="43" customFormat="1" hidden="1" x14ac:dyDescent="0.3">
      <c r="A289" s="169">
        <v>46156</v>
      </c>
      <c r="B289" s="64">
        <v>46156.083333333299</v>
      </c>
      <c r="C289" s="142">
        <f t="shared" si="22"/>
        <v>46156.083333333299</v>
      </c>
      <c r="D289" s="19" t="s">
        <v>41</v>
      </c>
      <c r="E289" s="7" t="s">
        <v>11</v>
      </c>
      <c r="F289" s="116"/>
      <c r="G289" s="115">
        <v>0.53</v>
      </c>
      <c r="H289" s="116">
        <v>0.56000000000000005</v>
      </c>
      <c r="I289" s="46" t="str">
        <f t="shared" si="23"/>
        <v/>
      </c>
      <c r="J289" s="46" t="str">
        <f t="shared" si="24"/>
        <v/>
      </c>
      <c r="K289" s="46">
        <f t="shared" si="25"/>
        <v>3.0000000000000027E-2</v>
      </c>
      <c r="L289" s="49" t="str">
        <f t="shared" si="26"/>
        <v/>
      </c>
      <c r="M289" s="49" t="str">
        <f t="shared" si="26"/>
        <v/>
      </c>
      <c r="N289" s="49" t="str">
        <f t="shared" si="26"/>
        <v>Out of Tolerance</v>
      </c>
    </row>
    <row r="290" spans="1:14" s="43" customFormat="1" hidden="1" x14ac:dyDescent="0.3">
      <c r="A290" s="168">
        <v>46156</v>
      </c>
      <c r="B290" s="64">
        <v>46156.166666666701</v>
      </c>
      <c r="C290" s="142">
        <f t="shared" si="22"/>
        <v>46156.166666666701</v>
      </c>
      <c r="D290" s="19" t="s">
        <v>41</v>
      </c>
      <c r="E290" s="7" t="s">
        <v>11</v>
      </c>
      <c r="F290" s="116"/>
      <c r="G290" s="115">
        <v>0.53</v>
      </c>
      <c r="H290" s="116">
        <v>0.56999999999999995</v>
      </c>
      <c r="I290" s="46" t="str">
        <f t="shared" si="23"/>
        <v/>
      </c>
      <c r="J290" s="46" t="str">
        <f t="shared" si="24"/>
        <v/>
      </c>
      <c r="K290" s="46">
        <f t="shared" si="25"/>
        <v>3.9999999999999925E-2</v>
      </c>
      <c r="L290" s="49" t="str">
        <f t="shared" si="26"/>
        <v/>
      </c>
      <c r="M290" s="49" t="str">
        <f t="shared" si="26"/>
        <v/>
      </c>
      <c r="N290" s="49" t="str">
        <f t="shared" si="26"/>
        <v>Out of Tolerance</v>
      </c>
    </row>
    <row r="291" spans="1:14" s="43" customFormat="1" hidden="1" x14ac:dyDescent="0.3">
      <c r="A291" s="169">
        <v>46156</v>
      </c>
      <c r="B291" s="64">
        <v>46156.28125</v>
      </c>
      <c r="C291" s="142">
        <f t="shared" si="22"/>
        <v>46156.28125</v>
      </c>
      <c r="D291" s="19" t="s">
        <v>41</v>
      </c>
      <c r="E291" s="7" t="s">
        <v>11</v>
      </c>
      <c r="F291" s="116"/>
      <c r="G291" s="115">
        <v>0.57999999999999996</v>
      </c>
      <c r="H291" s="116">
        <v>0.59</v>
      </c>
      <c r="I291" s="46" t="str">
        <f t="shared" si="23"/>
        <v/>
      </c>
      <c r="J291" s="46" t="str">
        <f t="shared" si="24"/>
        <v/>
      </c>
      <c r="K291" s="46">
        <f t="shared" si="25"/>
        <v>1.0000000000000009E-2</v>
      </c>
      <c r="L291" s="49" t="str">
        <f t="shared" si="26"/>
        <v/>
      </c>
      <c r="M291" s="49" t="str">
        <f t="shared" si="26"/>
        <v/>
      </c>
      <c r="N291" s="49" t="str">
        <f t="shared" si="26"/>
        <v>Within Tolerance</v>
      </c>
    </row>
    <row r="292" spans="1:14" s="43" customFormat="1" x14ac:dyDescent="0.3">
      <c r="A292" s="168">
        <v>46155</v>
      </c>
      <c r="B292" s="64">
        <v>46155.333333333299</v>
      </c>
      <c r="C292" s="142">
        <f t="shared" si="22"/>
        <v>46155.333333333299</v>
      </c>
      <c r="D292" s="19" t="s">
        <v>41</v>
      </c>
      <c r="E292" s="7" t="s">
        <v>15</v>
      </c>
      <c r="F292" s="116"/>
      <c r="G292" s="115">
        <v>0.49</v>
      </c>
      <c r="H292" s="116"/>
      <c r="I292" s="46" t="str">
        <f t="shared" si="23"/>
        <v/>
      </c>
      <c r="J292" s="46" t="str">
        <f t="shared" si="24"/>
        <v/>
      </c>
      <c r="K292" s="46" t="str">
        <f t="shared" si="25"/>
        <v/>
      </c>
      <c r="L292" s="49" t="str">
        <f t="shared" si="26"/>
        <v/>
      </c>
      <c r="M292" s="49" t="str">
        <f t="shared" si="26"/>
        <v/>
      </c>
      <c r="N292" s="49" t="str">
        <f t="shared" si="26"/>
        <v/>
      </c>
    </row>
    <row r="293" spans="1:14" s="43" customFormat="1" x14ac:dyDescent="0.3">
      <c r="A293" s="169">
        <v>46155</v>
      </c>
      <c r="B293" s="64">
        <v>46155.385416666701</v>
      </c>
      <c r="C293" s="142">
        <f t="shared" si="22"/>
        <v>46155.385416666701</v>
      </c>
      <c r="D293" s="19" t="s">
        <v>29</v>
      </c>
      <c r="E293" s="7" t="s">
        <v>15</v>
      </c>
      <c r="F293" s="116"/>
      <c r="G293" s="115">
        <v>0.54</v>
      </c>
      <c r="H293" s="116"/>
      <c r="I293" s="46" t="str">
        <f t="shared" si="23"/>
        <v/>
      </c>
      <c r="J293" s="46" t="str">
        <f t="shared" si="24"/>
        <v/>
      </c>
      <c r="K293" s="46" t="str">
        <f t="shared" si="25"/>
        <v/>
      </c>
      <c r="L293" s="49" t="str">
        <f t="shared" si="26"/>
        <v/>
      </c>
      <c r="M293" s="49" t="str">
        <f t="shared" si="26"/>
        <v/>
      </c>
      <c r="N293" s="49" t="str">
        <f t="shared" si="26"/>
        <v/>
      </c>
    </row>
    <row r="294" spans="1:14" s="43" customFormat="1" hidden="1" x14ac:dyDescent="0.3">
      <c r="A294" s="168">
        <v>46155</v>
      </c>
      <c r="B294" s="64">
        <v>46155.416666666701</v>
      </c>
      <c r="C294" s="142">
        <f t="shared" si="22"/>
        <v>46155.416666666701</v>
      </c>
      <c r="D294" s="19" t="s">
        <v>29</v>
      </c>
      <c r="E294" s="7" t="s">
        <v>15</v>
      </c>
      <c r="F294" s="116">
        <v>0.52</v>
      </c>
      <c r="G294" s="115">
        <v>0.53</v>
      </c>
      <c r="H294" s="116">
        <v>0.53</v>
      </c>
      <c r="I294" s="46">
        <f t="shared" si="23"/>
        <v>1.0000000000000009E-2</v>
      </c>
      <c r="J294" s="46">
        <f t="shared" si="24"/>
        <v>1.0000000000000009E-2</v>
      </c>
      <c r="K294" s="46">
        <f t="shared" si="25"/>
        <v>0</v>
      </c>
      <c r="L294" s="49" t="str">
        <f t="shared" si="26"/>
        <v>Within Tolerance</v>
      </c>
      <c r="M294" s="49" t="str">
        <f t="shared" si="26"/>
        <v>Within Tolerance</v>
      </c>
      <c r="N294" s="49" t="str">
        <f t="shared" si="26"/>
        <v>Within Tolerance</v>
      </c>
    </row>
    <row r="295" spans="1:14" s="43" customFormat="1" hidden="1" x14ac:dyDescent="0.3">
      <c r="A295" s="169">
        <v>46155</v>
      </c>
      <c r="B295" s="64">
        <v>46155.5</v>
      </c>
      <c r="C295" s="142">
        <f t="shared" si="22"/>
        <v>46155.5</v>
      </c>
      <c r="D295" s="19" t="s">
        <v>29</v>
      </c>
      <c r="E295" s="7" t="s">
        <v>15</v>
      </c>
      <c r="F295" s="116"/>
      <c r="G295" s="115">
        <v>0.52</v>
      </c>
      <c r="H295" s="116">
        <v>0.54</v>
      </c>
      <c r="I295" s="46" t="str">
        <f t="shared" si="23"/>
        <v/>
      </c>
      <c r="J295" s="46" t="str">
        <f t="shared" si="24"/>
        <v/>
      </c>
      <c r="K295" s="46">
        <f t="shared" si="25"/>
        <v>2.0000000000000018E-2</v>
      </c>
      <c r="L295" s="49" t="str">
        <f t="shared" si="26"/>
        <v/>
      </c>
      <c r="M295" s="49" t="str">
        <f t="shared" si="26"/>
        <v/>
      </c>
      <c r="N295" s="49" t="str">
        <f t="shared" si="26"/>
        <v>Within Tolerance</v>
      </c>
    </row>
    <row r="296" spans="1:14" s="43" customFormat="1" hidden="1" x14ac:dyDescent="0.3">
      <c r="A296" s="168">
        <v>46155</v>
      </c>
      <c r="B296" s="64">
        <v>46155.583333333299</v>
      </c>
      <c r="C296" s="142">
        <f t="shared" si="22"/>
        <v>46155.583333333299</v>
      </c>
      <c r="D296" s="19" t="s">
        <v>29</v>
      </c>
      <c r="E296" s="7" t="s">
        <v>15</v>
      </c>
      <c r="F296" s="116"/>
      <c r="G296" s="115">
        <v>0.54</v>
      </c>
      <c r="H296" s="116">
        <v>0.53</v>
      </c>
      <c r="I296" s="46" t="str">
        <f t="shared" si="23"/>
        <v/>
      </c>
      <c r="J296" s="46" t="str">
        <f t="shared" si="24"/>
        <v/>
      </c>
      <c r="K296" s="46">
        <f t="shared" si="25"/>
        <v>-1.0000000000000009E-2</v>
      </c>
      <c r="L296" s="49" t="str">
        <f t="shared" si="26"/>
        <v/>
      </c>
      <c r="M296" s="49" t="str">
        <f t="shared" si="26"/>
        <v/>
      </c>
      <c r="N296" s="49" t="str">
        <f t="shared" si="26"/>
        <v>Within Tolerance</v>
      </c>
    </row>
    <row r="297" spans="1:14" s="43" customFormat="1" hidden="1" x14ac:dyDescent="0.3">
      <c r="A297" s="169">
        <v>46155</v>
      </c>
      <c r="B297" s="64">
        <v>46155.666666666701</v>
      </c>
      <c r="C297" s="142">
        <f t="shared" si="22"/>
        <v>46155.666666666701</v>
      </c>
      <c r="D297" s="19" t="s">
        <v>29</v>
      </c>
      <c r="E297" s="7" t="s">
        <v>15</v>
      </c>
      <c r="F297" s="116">
        <v>0.53</v>
      </c>
      <c r="G297" s="115">
        <v>0.53</v>
      </c>
      <c r="H297" s="116">
        <v>0.54</v>
      </c>
      <c r="I297" s="46">
        <f t="shared" si="23"/>
        <v>0</v>
      </c>
      <c r="J297" s="46">
        <f t="shared" si="24"/>
        <v>1.0000000000000009E-2</v>
      </c>
      <c r="K297" s="46">
        <f t="shared" si="25"/>
        <v>1.0000000000000009E-2</v>
      </c>
      <c r="L297" s="49" t="str">
        <f t="shared" si="26"/>
        <v>Within Tolerance</v>
      </c>
      <c r="M297" s="49" t="str">
        <f t="shared" si="26"/>
        <v>Within Tolerance</v>
      </c>
      <c r="N297" s="49" t="str">
        <f t="shared" si="26"/>
        <v>Within Tolerance</v>
      </c>
    </row>
    <row r="298" spans="1:14" s="43" customFormat="1" hidden="1" x14ac:dyDescent="0.3">
      <c r="A298" s="168">
        <v>46155</v>
      </c>
      <c r="B298" s="64">
        <v>46155.75</v>
      </c>
      <c r="C298" s="142">
        <f t="shared" si="22"/>
        <v>46155.75</v>
      </c>
      <c r="D298" s="19" t="s">
        <v>29</v>
      </c>
      <c r="E298" s="7" t="s">
        <v>15</v>
      </c>
      <c r="F298" s="116"/>
      <c r="G298" s="115">
        <v>0.53</v>
      </c>
      <c r="H298" s="116">
        <v>0.55000000000000004</v>
      </c>
      <c r="I298" s="46" t="str">
        <f t="shared" si="23"/>
        <v/>
      </c>
      <c r="J298" s="46" t="str">
        <f t="shared" si="24"/>
        <v/>
      </c>
      <c r="K298" s="46">
        <f t="shared" si="25"/>
        <v>2.0000000000000018E-2</v>
      </c>
      <c r="L298" s="49" t="str">
        <f t="shared" si="26"/>
        <v/>
      </c>
      <c r="M298" s="49" t="str">
        <f t="shared" si="26"/>
        <v/>
      </c>
      <c r="N298" s="49" t="str">
        <f t="shared" si="26"/>
        <v>Within Tolerance</v>
      </c>
    </row>
    <row r="299" spans="1:14" s="43" customFormat="1" hidden="1" x14ac:dyDescent="0.3">
      <c r="A299" s="169">
        <v>46155</v>
      </c>
      <c r="B299" s="64">
        <v>46155.850694444402</v>
      </c>
      <c r="C299" s="142">
        <f t="shared" si="22"/>
        <v>46155.850694444402</v>
      </c>
      <c r="D299" s="19" t="s">
        <v>41</v>
      </c>
      <c r="E299" s="7" t="s">
        <v>15</v>
      </c>
      <c r="F299" s="116"/>
      <c r="G299" s="115">
        <v>0.54</v>
      </c>
      <c r="H299" s="116">
        <v>0.56000000000000005</v>
      </c>
      <c r="I299" s="46" t="str">
        <f t="shared" si="23"/>
        <v/>
      </c>
      <c r="J299" s="46" t="str">
        <f t="shared" si="24"/>
        <v/>
      </c>
      <c r="K299" s="46">
        <f t="shared" si="25"/>
        <v>2.0000000000000018E-2</v>
      </c>
      <c r="L299" s="49" t="str">
        <f t="shared" si="26"/>
        <v/>
      </c>
      <c r="M299" s="49" t="str">
        <f t="shared" si="26"/>
        <v/>
      </c>
      <c r="N299" s="49" t="str">
        <f t="shared" si="26"/>
        <v>Within Tolerance</v>
      </c>
    </row>
    <row r="300" spans="1:14" s="43" customFormat="1" hidden="1" x14ac:dyDescent="0.3">
      <c r="A300" s="168">
        <v>46155</v>
      </c>
      <c r="B300" s="64">
        <v>46155.916666666701</v>
      </c>
      <c r="C300" s="142">
        <f t="shared" si="22"/>
        <v>46155.916666666701</v>
      </c>
      <c r="D300" s="19" t="s">
        <v>41</v>
      </c>
      <c r="E300" s="7" t="s">
        <v>15</v>
      </c>
      <c r="F300" s="116"/>
      <c r="G300" s="115">
        <v>0.53</v>
      </c>
      <c r="H300" s="116">
        <v>0.55000000000000004</v>
      </c>
      <c r="I300" s="46" t="str">
        <f t="shared" si="23"/>
        <v/>
      </c>
      <c r="J300" s="46" t="str">
        <f t="shared" si="24"/>
        <v/>
      </c>
      <c r="K300" s="46">
        <f t="shared" si="25"/>
        <v>2.0000000000000018E-2</v>
      </c>
      <c r="L300" s="49" t="str">
        <f t="shared" si="26"/>
        <v/>
      </c>
      <c r="M300" s="49" t="str">
        <f t="shared" si="26"/>
        <v/>
      </c>
      <c r="N300" s="49" t="str">
        <f t="shared" si="26"/>
        <v>Within Tolerance</v>
      </c>
    </row>
    <row r="301" spans="1:14" s="43" customFormat="1" hidden="1" x14ac:dyDescent="0.3">
      <c r="A301" s="169">
        <v>46156</v>
      </c>
      <c r="B301" s="64">
        <v>46156</v>
      </c>
      <c r="C301" s="142">
        <f t="shared" si="22"/>
        <v>46156</v>
      </c>
      <c r="D301" s="19" t="s">
        <v>41</v>
      </c>
      <c r="E301" s="7" t="s">
        <v>15</v>
      </c>
      <c r="F301" s="116">
        <v>0.53</v>
      </c>
      <c r="G301" s="115">
        <v>0.53</v>
      </c>
      <c r="H301" s="116">
        <v>0.56000000000000005</v>
      </c>
      <c r="I301" s="46">
        <f t="shared" si="23"/>
        <v>0</v>
      </c>
      <c r="J301" s="46">
        <f t="shared" si="24"/>
        <v>3.0000000000000027E-2</v>
      </c>
      <c r="K301" s="46">
        <f t="shared" si="25"/>
        <v>3.0000000000000027E-2</v>
      </c>
      <c r="L301" s="49" t="str">
        <f t="shared" si="26"/>
        <v>Within Tolerance</v>
      </c>
      <c r="M301" s="49" t="str">
        <f t="shared" si="26"/>
        <v>Out of Tolerance</v>
      </c>
      <c r="N301" s="49" t="str">
        <f t="shared" si="26"/>
        <v>Out of Tolerance</v>
      </c>
    </row>
    <row r="302" spans="1:14" s="43" customFormat="1" hidden="1" x14ac:dyDescent="0.3">
      <c r="A302" s="168">
        <v>46156</v>
      </c>
      <c r="B302" s="64">
        <v>46156.083333333299</v>
      </c>
      <c r="C302" s="142">
        <f t="shared" si="22"/>
        <v>46156.083333333299</v>
      </c>
      <c r="D302" s="19" t="s">
        <v>41</v>
      </c>
      <c r="E302" s="7" t="s">
        <v>15</v>
      </c>
      <c r="F302" s="116"/>
      <c r="G302" s="115">
        <v>0.54</v>
      </c>
      <c r="H302" s="116">
        <v>0.56000000000000005</v>
      </c>
      <c r="I302" s="46" t="str">
        <f t="shared" si="23"/>
        <v/>
      </c>
      <c r="J302" s="46" t="str">
        <f t="shared" si="24"/>
        <v/>
      </c>
      <c r="K302" s="46">
        <f t="shared" si="25"/>
        <v>2.0000000000000018E-2</v>
      </c>
      <c r="L302" s="49" t="str">
        <f t="shared" si="26"/>
        <v/>
      </c>
      <c r="M302" s="49" t="str">
        <f t="shared" si="26"/>
        <v/>
      </c>
      <c r="N302" s="49" t="str">
        <f t="shared" si="26"/>
        <v>Within Tolerance</v>
      </c>
    </row>
    <row r="303" spans="1:14" s="43" customFormat="1" hidden="1" x14ac:dyDescent="0.3">
      <c r="A303" s="169">
        <v>46156</v>
      </c>
      <c r="B303" s="64">
        <v>46156.166666666701</v>
      </c>
      <c r="C303" s="142">
        <f t="shared" si="22"/>
        <v>46156.166666666701</v>
      </c>
      <c r="D303" s="19" t="s">
        <v>41</v>
      </c>
      <c r="E303" s="7" t="s">
        <v>15</v>
      </c>
      <c r="F303" s="116"/>
      <c r="G303" s="115">
        <v>0.53</v>
      </c>
      <c r="H303" s="116">
        <v>0.56000000000000005</v>
      </c>
      <c r="I303" s="46" t="str">
        <f t="shared" si="23"/>
        <v/>
      </c>
      <c r="J303" s="46" t="str">
        <f t="shared" si="24"/>
        <v/>
      </c>
      <c r="K303" s="46">
        <f t="shared" si="25"/>
        <v>3.0000000000000027E-2</v>
      </c>
      <c r="L303" s="49" t="str">
        <f t="shared" si="26"/>
        <v/>
      </c>
      <c r="M303" s="49" t="str">
        <f t="shared" si="26"/>
        <v/>
      </c>
      <c r="N303" s="49" t="str">
        <f t="shared" si="26"/>
        <v>Out of Tolerance</v>
      </c>
    </row>
    <row r="304" spans="1:14" s="43" customFormat="1" hidden="1" x14ac:dyDescent="0.3">
      <c r="A304" s="168">
        <v>46156</v>
      </c>
      <c r="B304" s="64">
        <v>46156.25</v>
      </c>
      <c r="C304" s="142">
        <f t="shared" si="22"/>
        <v>46156.25</v>
      </c>
      <c r="D304" s="19" t="s">
        <v>41</v>
      </c>
      <c r="E304" s="7" t="s">
        <v>15</v>
      </c>
      <c r="F304" s="116"/>
      <c r="G304" s="115">
        <v>0.53</v>
      </c>
      <c r="H304" s="116">
        <v>0.54</v>
      </c>
      <c r="I304" s="46" t="str">
        <f t="shared" si="23"/>
        <v/>
      </c>
      <c r="J304" s="46" t="str">
        <f t="shared" si="24"/>
        <v/>
      </c>
      <c r="K304" s="46">
        <f t="shared" si="25"/>
        <v>1.0000000000000009E-2</v>
      </c>
      <c r="L304" s="49" t="str">
        <f t="shared" si="26"/>
        <v/>
      </c>
      <c r="M304" s="49" t="str">
        <f t="shared" si="26"/>
        <v/>
      </c>
      <c r="N304" s="49" t="str">
        <f t="shared" si="26"/>
        <v>Within Tolerance</v>
      </c>
    </row>
    <row r="305" spans="1:14" s="43" customFormat="1" hidden="1" x14ac:dyDescent="0.3">
      <c r="A305" s="169">
        <v>46155</v>
      </c>
      <c r="B305" s="64">
        <v>46155.423611111102</v>
      </c>
      <c r="C305" s="142">
        <f t="shared" si="22"/>
        <v>46155.423611111102</v>
      </c>
      <c r="D305" s="7" t="s">
        <v>22</v>
      </c>
      <c r="E305" s="7" t="s">
        <v>19</v>
      </c>
      <c r="F305" s="116">
        <v>0.55000000000000004</v>
      </c>
      <c r="G305" s="115">
        <v>0.55000000000000004</v>
      </c>
      <c r="H305" s="116">
        <v>0.53</v>
      </c>
      <c r="I305" s="46">
        <f t="shared" si="23"/>
        <v>0</v>
      </c>
      <c r="J305" s="46">
        <f t="shared" si="24"/>
        <v>-2.0000000000000018E-2</v>
      </c>
      <c r="K305" s="46">
        <f t="shared" si="25"/>
        <v>-2.0000000000000018E-2</v>
      </c>
      <c r="L305" s="49" t="str">
        <f t="shared" si="26"/>
        <v>Within Tolerance</v>
      </c>
      <c r="M305" s="49" t="str">
        <f t="shared" si="26"/>
        <v>Within Tolerance</v>
      </c>
      <c r="N305" s="49" t="str">
        <f t="shared" si="26"/>
        <v>Within Tolerance</v>
      </c>
    </row>
    <row r="306" spans="1:14" s="43" customFormat="1" hidden="1" x14ac:dyDescent="0.3">
      <c r="A306" s="168">
        <v>46155</v>
      </c>
      <c r="B306" s="64">
        <v>46155.461805555598</v>
      </c>
      <c r="C306" s="142">
        <f t="shared" si="22"/>
        <v>46155.461805555598</v>
      </c>
      <c r="D306" s="19" t="s">
        <v>18</v>
      </c>
      <c r="E306" s="7" t="s">
        <v>19</v>
      </c>
      <c r="F306" s="116">
        <v>0.5</v>
      </c>
      <c r="G306" s="115">
        <v>0.5</v>
      </c>
      <c r="H306" s="116">
        <v>0.51</v>
      </c>
      <c r="I306" s="46">
        <f t="shared" si="23"/>
        <v>0</v>
      </c>
      <c r="J306" s="46">
        <f t="shared" si="24"/>
        <v>1.0000000000000009E-2</v>
      </c>
      <c r="K306" s="46">
        <f t="shared" si="25"/>
        <v>1.0000000000000009E-2</v>
      </c>
      <c r="L306" s="49" t="str">
        <f t="shared" si="26"/>
        <v>Within Tolerance</v>
      </c>
      <c r="M306" s="49" t="str">
        <f t="shared" si="26"/>
        <v>Within Tolerance</v>
      </c>
      <c r="N306" s="49" t="str">
        <f t="shared" si="26"/>
        <v>Within Tolerance</v>
      </c>
    </row>
    <row r="307" spans="1:14" s="43" customFormat="1" hidden="1" x14ac:dyDescent="0.3">
      <c r="A307" s="169">
        <v>46155</v>
      </c>
      <c r="B307" s="64">
        <v>46155.604166666701</v>
      </c>
      <c r="C307" s="142">
        <f t="shared" si="22"/>
        <v>46155.604166666701</v>
      </c>
      <c r="D307" s="19" t="s">
        <v>20</v>
      </c>
      <c r="E307" s="7" t="s">
        <v>19</v>
      </c>
      <c r="F307" s="116">
        <v>0.57999999999999996</v>
      </c>
      <c r="G307" s="115">
        <v>0.56999999999999995</v>
      </c>
      <c r="H307" s="116">
        <v>0.56000000000000005</v>
      </c>
      <c r="I307" s="46">
        <f t="shared" si="23"/>
        <v>-1.0000000000000009E-2</v>
      </c>
      <c r="J307" s="46">
        <f t="shared" si="24"/>
        <v>-1.9999999999999907E-2</v>
      </c>
      <c r="K307" s="46">
        <f t="shared" si="25"/>
        <v>-9.9999999999998979E-3</v>
      </c>
      <c r="L307" s="49" t="str">
        <f t="shared" si="26"/>
        <v>Within Tolerance</v>
      </c>
      <c r="M307" s="49" t="str">
        <f t="shared" si="26"/>
        <v>Within Tolerance</v>
      </c>
      <c r="N307" s="49" t="str">
        <f t="shared" si="26"/>
        <v>Within Tolerance</v>
      </c>
    </row>
    <row r="308" spans="1:14" s="43" customFormat="1" hidden="1" x14ac:dyDescent="0.3">
      <c r="A308" s="168">
        <v>46155</v>
      </c>
      <c r="B308" s="64">
        <v>46155.75</v>
      </c>
      <c r="C308" s="142">
        <f t="shared" si="22"/>
        <v>46155.75</v>
      </c>
      <c r="D308" s="19" t="s">
        <v>42</v>
      </c>
      <c r="E308" s="7" t="s">
        <v>19</v>
      </c>
      <c r="F308" s="116">
        <v>0.48</v>
      </c>
      <c r="G308" s="115">
        <v>0.4</v>
      </c>
      <c r="H308" s="116">
        <v>0.4</v>
      </c>
      <c r="I308" s="46">
        <f t="shared" si="23"/>
        <v>-7.999999999999996E-2</v>
      </c>
      <c r="J308" s="46">
        <f t="shared" si="24"/>
        <v>-7.999999999999996E-2</v>
      </c>
      <c r="K308" s="46">
        <f t="shared" si="25"/>
        <v>0</v>
      </c>
      <c r="L308" s="49" t="str">
        <f t="shared" si="26"/>
        <v>Out of Tolerance</v>
      </c>
      <c r="M308" s="49" t="str">
        <f t="shared" si="26"/>
        <v>Out of Tolerance</v>
      </c>
      <c r="N308" s="49" t="str">
        <f t="shared" si="26"/>
        <v>Within Tolerance</v>
      </c>
    </row>
    <row r="309" spans="1:14" s="43" customFormat="1" hidden="1" x14ac:dyDescent="0.3">
      <c r="A309" s="169">
        <v>46155</v>
      </c>
      <c r="B309" s="64">
        <v>46155.930555555598</v>
      </c>
      <c r="C309" s="142">
        <f t="shared" si="22"/>
        <v>46155.930555555598</v>
      </c>
      <c r="D309" s="7" t="s">
        <v>31</v>
      </c>
      <c r="E309" s="7" t="s">
        <v>19</v>
      </c>
      <c r="F309" s="116">
        <v>0.54</v>
      </c>
      <c r="G309" s="115">
        <v>0.54</v>
      </c>
      <c r="H309" s="116">
        <v>0.54</v>
      </c>
      <c r="I309" s="46">
        <f t="shared" si="23"/>
        <v>0</v>
      </c>
      <c r="J309" s="46">
        <f t="shared" si="24"/>
        <v>0</v>
      </c>
      <c r="K309" s="46">
        <f t="shared" si="25"/>
        <v>0</v>
      </c>
      <c r="L309" s="49" t="str">
        <f t="shared" si="26"/>
        <v>Within Tolerance</v>
      </c>
      <c r="M309" s="49" t="str">
        <f t="shared" si="26"/>
        <v>Within Tolerance</v>
      </c>
      <c r="N309" s="49" t="str">
        <f t="shared" si="26"/>
        <v>Within Tolerance</v>
      </c>
    </row>
    <row r="310" spans="1:14" s="43" customFormat="1" hidden="1" x14ac:dyDescent="0.3">
      <c r="A310" s="168">
        <v>46155</v>
      </c>
      <c r="B310" s="64">
        <v>46155.472222222197</v>
      </c>
      <c r="C310" s="142">
        <f t="shared" si="22"/>
        <v>46155.472222222197</v>
      </c>
      <c r="D310" s="7" t="s">
        <v>26</v>
      </c>
      <c r="E310" s="7" t="s">
        <v>24</v>
      </c>
      <c r="F310" s="116">
        <v>0.65</v>
      </c>
      <c r="G310" s="115">
        <v>0.63</v>
      </c>
      <c r="H310" s="116">
        <v>0.63</v>
      </c>
      <c r="I310" s="46">
        <f t="shared" si="23"/>
        <v>-2.0000000000000018E-2</v>
      </c>
      <c r="J310" s="46">
        <f t="shared" si="24"/>
        <v>-2.0000000000000018E-2</v>
      </c>
      <c r="K310" s="46">
        <f t="shared" si="25"/>
        <v>0</v>
      </c>
      <c r="L310" s="49" t="str">
        <f t="shared" si="26"/>
        <v>Within Tolerance</v>
      </c>
      <c r="M310" s="49" t="str">
        <f t="shared" si="26"/>
        <v>Within Tolerance</v>
      </c>
      <c r="N310" s="49" t="str">
        <f t="shared" si="26"/>
        <v>Within Tolerance</v>
      </c>
    </row>
    <row r="311" spans="1:14" s="43" customFormat="1" hidden="1" x14ac:dyDescent="0.3">
      <c r="A311" s="169">
        <v>46155</v>
      </c>
      <c r="B311" s="64">
        <v>46155.586805555598</v>
      </c>
      <c r="C311" s="142">
        <f t="shared" si="22"/>
        <v>46155.586805555598</v>
      </c>
      <c r="D311" s="7" t="s">
        <v>25</v>
      </c>
      <c r="E311" s="7" t="s">
        <v>24</v>
      </c>
      <c r="F311" s="116">
        <v>0.57999999999999996</v>
      </c>
      <c r="G311" s="115">
        <v>0.57999999999999996</v>
      </c>
      <c r="H311" s="116">
        <v>0.59</v>
      </c>
      <c r="I311" s="46">
        <f t="shared" si="23"/>
        <v>0</v>
      </c>
      <c r="J311" s="46">
        <f t="shared" si="24"/>
        <v>1.0000000000000009E-2</v>
      </c>
      <c r="K311" s="46">
        <f t="shared" si="25"/>
        <v>1.0000000000000009E-2</v>
      </c>
      <c r="L311" s="49" t="str">
        <f t="shared" si="26"/>
        <v>Within Tolerance</v>
      </c>
      <c r="M311" s="49" t="str">
        <f t="shared" si="26"/>
        <v>Within Tolerance</v>
      </c>
      <c r="N311" s="49" t="str">
        <f t="shared" si="26"/>
        <v>Within Tolerance</v>
      </c>
    </row>
    <row r="312" spans="1:14" s="43" customFormat="1" hidden="1" x14ac:dyDescent="0.3">
      <c r="A312" s="168">
        <v>46156</v>
      </c>
      <c r="B312" s="64">
        <v>46156.333333333299</v>
      </c>
      <c r="C312" s="142">
        <f t="shared" si="22"/>
        <v>46156.333333333299</v>
      </c>
      <c r="D312" s="19" t="s">
        <v>41</v>
      </c>
      <c r="E312" s="7" t="s">
        <v>11</v>
      </c>
      <c r="F312" s="118" t="s">
        <v>93</v>
      </c>
      <c r="G312" s="115">
        <v>0.59</v>
      </c>
      <c r="H312" s="116">
        <v>0.59</v>
      </c>
      <c r="I312" s="46" t="str">
        <f t="shared" si="23"/>
        <v/>
      </c>
      <c r="J312" s="46" t="str">
        <f t="shared" si="24"/>
        <v/>
      </c>
      <c r="K312" s="46">
        <f t="shared" si="25"/>
        <v>0</v>
      </c>
      <c r="L312" s="49" t="str">
        <f t="shared" si="26"/>
        <v/>
      </c>
      <c r="M312" s="49" t="str">
        <f t="shared" si="26"/>
        <v/>
      </c>
      <c r="N312" s="49" t="str">
        <f t="shared" si="26"/>
        <v>Within Tolerance</v>
      </c>
    </row>
    <row r="313" spans="1:14" s="43" customFormat="1" x14ac:dyDescent="0.3">
      <c r="A313" s="169">
        <v>46156</v>
      </c>
      <c r="B313" s="64">
        <v>46156.552083333299</v>
      </c>
      <c r="C313" s="142">
        <f t="shared" si="22"/>
        <v>46156.552083333299</v>
      </c>
      <c r="D313" s="19" t="s">
        <v>18</v>
      </c>
      <c r="E313" s="7" t="s">
        <v>11</v>
      </c>
      <c r="F313" s="118" t="s">
        <v>93</v>
      </c>
      <c r="G313" s="115">
        <v>0.56000000000000005</v>
      </c>
      <c r="H313" s="116"/>
      <c r="I313" s="46" t="str">
        <f t="shared" si="23"/>
        <v/>
      </c>
      <c r="J313" s="46" t="str">
        <f t="shared" si="24"/>
        <v/>
      </c>
      <c r="K313" s="46" t="str">
        <f t="shared" si="25"/>
        <v/>
      </c>
      <c r="L313" s="49" t="str">
        <f t="shared" si="26"/>
        <v/>
      </c>
      <c r="M313" s="49" t="str">
        <f t="shared" si="26"/>
        <v/>
      </c>
      <c r="N313" s="49" t="str">
        <f t="shared" si="26"/>
        <v/>
      </c>
    </row>
    <row r="314" spans="1:14" s="43" customFormat="1" hidden="1" x14ac:dyDescent="0.3">
      <c r="A314" s="168">
        <v>46156</v>
      </c>
      <c r="B314" s="64">
        <v>46156.576388888898</v>
      </c>
      <c r="C314" s="142">
        <f t="shared" si="22"/>
        <v>46156.576388888898</v>
      </c>
      <c r="D314" s="19" t="s">
        <v>18</v>
      </c>
      <c r="E314" s="7" t="s">
        <v>11</v>
      </c>
      <c r="F314" s="118" t="s">
        <v>93</v>
      </c>
      <c r="G314" s="115">
        <v>0.55000000000000004</v>
      </c>
      <c r="H314" s="116">
        <v>0.54</v>
      </c>
      <c r="I314" s="46" t="str">
        <f t="shared" si="23"/>
        <v/>
      </c>
      <c r="J314" s="46" t="str">
        <f t="shared" si="24"/>
        <v/>
      </c>
      <c r="K314" s="46">
        <f t="shared" si="25"/>
        <v>-1.0000000000000009E-2</v>
      </c>
      <c r="L314" s="49" t="str">
        <f t="shared" si="26"/>
        <v/>
      </c>
      <c r="M314" s="49" t="str">
        <f t="shared" si="26"/>
        <v/>
      </c>
      <c r="N314" s="49" t="str">
        <f t="shared" si="26"/>
        <v>Within Tolerance</v>
      </c>
    </row>
    <row r="315" spans="1:14" s="43" customFormat="1" hidden="1" x14ac:dyDescent="0.3">
      <c r="A315" s="169">
        <v>46156</v>
      </c>
      <c r="B315" s="64">
        <v>46156.666666666701</v>
      </c>
      <c r="C315" s="142">
        <f t="shared" si="22"/>
        <v>46156.666666666701</v>
      </c>
      <c r="D315" s="19" t="s">
        <v>18</v>
      </c>
      <c r="E315" s="7" t="s">
        <v>11</v>
      </c>
      <c r="F315" s="118">
        <v>0.56000000000000005</v>
      </c>
      <c r="G315" s="115">
        <v>0.54</v>
      </c>
      <c r="H315" s="116">
        <v>0.52</v>
      </c>
      <c r="I315" s="46">
        <f t="shared" si="23"/>
        <v>-2.0000000000000018E-2</v>
      </c>
      <c r="J315" s="46">
        <f t="shared" si="24"/>
        <v>-4.0000000000000036E-2</v>
      </c>
      <c r="K315" s="46">
        <f t="shared" si="25"/>
        <v>-2.0000000000000018E-2</v>
      </c>
      <c r="L315" s="49" t="str">
        <f t="shared" si="26"/>
        <v>Within Tolerance</v>
      </c>
      <c r="M315" s="49" t="str">
        <f t="shared" si="26"/>
        <v>Out of Tolerance</v>
      </c>
      <c r="N315" s="49" t="str">
        <f t="shared" si="26"/>
        <v>Within Tolerance</v>
      </c>
    </row>
    <row r="316" spans="1:14" s="43" customFormat="1" hidden="1" x14ac:dyDescent="0.3">
      <c r="A316" s="168">
        <v>46156</v>
      </c>
      <c r="B316" s="64">
        <v>46156.75</v>
      </c>
      <c r="C316" s="142">
        <f t="shared" si="22"/>
        <v>46156.75</v>
      </c>
      <c r="D316" s="19" t="s">
        <v>18</v>
      </c>
      <c r="E316" s="7" t="s">
        <v>11</v>
      </c>
      <c r="F316" s="118" t="s">
        <v>93</v>
      </c>
      <c r="G316" s="115">
        <v>0.54</v>
      </c>
      <c r="H316" s="116">
        <v>0.53</v>
      </c>
      <c r="I316" s="46" t="str">
        <f t="shared" si="23"/>
        <v/>
      </c>
      <c r="J316" s="46" t="str">
        <f t="shared" si="24"/>
        <v/>
      </c>
      <c r="K316" s="46">
        <f t="shared" si="25"/>
        <v>-1.0000000000000009E-2</v>
      </c>
      <c r="L316" s="49" t="str">
        <f t="shared" si="26"/>
        <v/>
      </c>
      <c r="M316" s="49" t="str">
        <f t="shared" si="26"/>
        <v/>
      </c>
      <c r="N316" s="49" t="str">
        <f t="shared" si="26"/>
        <v>Within Tolerance</v>
      </c>
    </row>
    <row r="317" spans="1:14" s="43" customFormat="1" hidden="1" x14ac:dyDescent="0.3">
      <c r="A317" s="169">
        <v>46156</v>
      </c>
      <c r="B317" s="64">
        <v>46156.833333333299</v>
      </c>
      <c r="C317" s="142">
        <f t="shared" si="22"/>
        <v>46156.833333333299</v>
      </c>
      <c r="D317" s="19" t="s">
        <v>18</v>
      </c>
      <c r="E317" s="7" t="s">
        <v>11</v>
      </c>
      <c r="F317" s="118" t="s">
        <v>93</v>
      </c>
      <c r="G317" s="115">
        <v>0.51</v>
      </c>
      <c r="H317" s="116">
        <v>0.52</v>
      </c>
      <c r="I317" s="46" t="str">
        <f t="shared" si="23"/>
        <v/>
      </c>
      <c r="J317" s="46" t="str">
        <f t="shared" si="24"/>
        <v/>
      </c>
      <c r="K317" s="46">
        <f t="shared" si="25"/>
        <v>1.0000000000000009E-2</v>
      </c>
      <c r="L317" s="49" t="str">
        <f t="shared" si="26"/>
        <v/>
      </c>
      <c r="M317" s="49" t="str">
        <f t="shared" si="26"/>
        <v/>
      </c>
      <c r="N317" s="49" t="str">
        <f t="shared" si="26"/>
        <v>Within Tolerance</v>
      </c>
    </row>
    <row r="318" spans="1:14" s="43" customFormat="1" hidden="1" x14ac:dyDescent="0.3">
      <c r="A318" s="168">
        <v>46156</v>
      </c>
      <c r="B318" s="64">
        <v>46156.916666666701</v>
      </c>
      <c r="C318" s="142">
        <f t="shared" si="22"/>
        <v>46156.916666666701</v>
      </c>
      <c r="D318" s="19" t="s">
        <v>18</v>
      </c>
      <c r="E318" s="7" t="s">
        <v>11</v>
      </c>
      <c r="F318" s="118" t="s">
        <v>93</v>
      </c>
      <c r="G318" s="115">
        <v>0.51</v>
      </c>
      <c r="H318" s="116">
        <v>0.52</v>
      </c>
      <c r="I318" s="46" t="str">
        <f t="shared" si="23"/>
        <v/>
      </c>
      <c r="J318" s="46" t="str">
        <f t="shared" si="24"/>
        <v/>
      </c>
      <c r="K318" s="46">
        <f t="shared" si="25"/>
        <v>1.0000000000000009E-2</v>
      </c>
      <c r="L318" s="49" t="str">
        <f t="shared" si="26"/>
        <v/>
      </c>
      <c r="M318" s="49" t="str">
        <f t="shared" si="26"/>
        <v/>
      </c>
      <c r="N318" s="49" t="str">
        <f t="shared" si="26"/>
        <v>Within Tolerance</v>
      </c>
    </row>
    <row r="319" spans="1:14" s="43" customFormat="1" hidden="1" x14ac:dyDescent="0.3">
      <c r="A319" s="169">
        <v>46156</v>
      </c>
      <c r="B319" s="64">
        <v>46156</v>
      </c>
      <c r="C319" s="142">
        <f t="shared" si="22"/>
        <v>46156</v>
      </c>
      <c r="D319" s="19" t="s">
        <v>18</v>
      </c>
      <c r="E319" s="7" t="s">
        <v>11</v>
      </c>
      <c r="F319" s="118" t="s">
        <v>93</v>
      </c>
      <c r="G319" s="115">
        <v>0.53</v>
      </c>
      <c r="H319" s="116">
        <v>0.54</v>
      </c>
      <c r="I319" s="46" t="str">
        <f t="shared" si="23"/>
        <v/>
      </c>
      <c r="J319" s="46" t="str">
        <f t="shared" si="24"/>
        <v/>
      </c>
      <c r="K319" s="46">
        <f t="shared" si="25"/>
        <v>1.0000000000000009E-2</v>
      </c>
      <c r="L319" s="49" t="str">
        <f t="shared" si="26"/>
        <v/>
      </c>
      <c r="M319" s="49" t="str">
        <f t="shared" si="26"/>
        <v/>
      </c>
      <c r="N319" s="49" t="str">
        <f t="shared" si="26"/>
        <v>Within Tolerance</v>
      </c>
    </row>
    <row r="320" spans="1:14" s="43" customFormat="1" hidden="1" x14ac:dyDescent="0.3">
      <c r="A320" s="168">
        <v>46156</v>
      </c>
      <c r="B320" s="64">
        <v>46156.083333333299</v>
      </c>
      <c r="C320" s="142">
        <f t="shared" si="22"/>
        <v>46156.083333333299</v>
      </c>
      <c r="D320" s="19" t="s">
        <v>18</v>
      </c>
      <c r="E320" s="7" t="s">
        <v>11</v>
      </c>
      <c r="F320" s="118" t="s">
        <v>93</v>
      </c>
      <c r="G320" s="115">
        <v>0.52</v>
      </c>
      <c r="H320" s="116">
        <v>0.54</v>
      </c>
      <c r="I320" s="46" t="str">
        <f t="shared" si="23"/>
        <v/>
      </c>
      <c r="J320" s="46" t="str">
        <f t="shared" si="24"/>
        <v/>
      </c>
      <c r="K320" s="46">
        <f t="shared" si="25"/>
        <v>2.0000000000000018E-2</v>
      </c>
      <c r="L320" s="49" t="str">
        <f t="shared" si="26"/>
        <v/>
      </c>
      <c r="M320" s="49" t="str">
        <f t="shared" si="26"/>
        <v/>
      </c>
      <c r="N320" s="49" t="str">
        <f t="shared" si="26"/>
        <v>Within Tolerance</v>
      </c>
    </row>
    <row r="321" spans="1:14" s="43" customFormat="1" hidden="1" x14ac:dyDescent="0.3">
      <c r="A321" s="169">
        <v>46157</v>
      </c>
      <c r="B321" s="64">
        <v>46156.166666666701</v>
      </c>
      <c r="C321" s="142">
        <f t="shared" si="22"/>
        <v>46157.166666666701</v>
      </c>
      <c r="D321" s="19" t="s">
        <v>18</v>
      </c>
      <c r="E321" s="7" t="s">
        <v>11</v>
      </c>
      <c r="F321" s="118" t="s">
        <v>93</v>
      </c>
      <c r="G321" s="115">
        <v>0.51</v>
      </c>
      <c r="H321" s="116">
        <v>0.53</v>
      </c>
      <c r="I321" s="46" t="str">
        <f t="shared" si="23"/>
        <v/>
      </c>
      <c r="J321" s="46" t="str">
        <f t="shared" si="24"/>
        <v/>
      </c>
      <c r="K321" s="46">
        <f t="shared" si="25"/>
        <v>2.0000000000000018E-2</v>
      </c>
      <c r="L321" s="49" t="str">
        <f t="shared" si="26"/>
        <v/>
      </c>
      <c r="M321" s="49" t="str">
        <f t="shared" si="26"/>
        <v/>
      </c>
      <c r="N321" s="49" t="str">
        <f t="shared" si="26"/>
        <v>Within Tolerance</v>
      </c>
    </row>
    <row r="322" spans="1:14" s="43" customFormat="1" hidden="1" x14ac:dyDescent="0.3">
      <c r="A322" s="168">
        <v>46157</v>
      </c>
      <c r="B322" s="64">
        <v>46156.239583333336</v>
      </c>
      <c r="C322" s="142">
        <f t="shared" ref="C322:C385" si="27">A322+MOD(B322,1)</f>
        <v>46157.239583333336</v>
      </c>
      <c r="D322" s="19" t="s">
        <v>18</v>
      </c>
      <c r="E322" s="7" t="s">
        <v>11</v>
      </c>
      <c r="F322" s="118" t="s">
        <v>93</v>
      </c>
      <c r="G322" s="115">
        <v>0.52</v>
      </c>
      <c r="H322" s="116">
        <v>0.55000000000000004</v>
      </c>
      <c r="I322" s="46" t="str">
        <f t="shared" si="23"/>
        <v/>
      </c>
      <c r="J322" s="46" t="str">
        <f t="shared" si="24"/>
        <v/>
      </c>
      <c r="K322" s="46">
        <f t="shared" si="25"/>
        <v>3.0000000000000027E-2</v>
      </c>
      <c r="L322" s="49" t="str">
        <f t="shared" si="26"/>
        <v/>
      </c>
      <c r="M322" s="49" t="str">
        <f t="shared" si="26"/>
        <v/>
      </c>
      <c r="N322" s="49" t="str">
        <f t="shared" si="26"/>
        <v>Out of Tolerance</v>
      </c>
    </row>
    <row r="323" spans="1:14" s="43" customFormat="1" hidden="1" x14ac:dyDescent="0.3">
      <c r="A323" s="169">
        <v>46157</v>
      </c>
      <c r="B323" s="64">
        <v>46156.28125</v>
      </c>
      <c r="C323" s="142">
        <f t="shared" si="27"/>
        <v>46157.28125</v>
      </c>
      <c r="D323" s="19" t="s">
        <v>13</v>
      </c>
      <c r="E323" s="7" t="s">
        <v>11</v>
      </c>
      <c r="F323" s="118" t="s">
        <v>93</v>
      </c>
      <c r="G323" s="115">
        <v>0.55000000000000004</v>
      </c>
      <c r="H323" s="116">
        <v>0.56000000000000005</v>
      </c>
      <c r="I323" s="46" t="str">
        <f t="shared" ref="I323:I386" si="28">IF(OR(TRIM(F323&amp;"")="",TRIM(G323&amp;"")="",F323="-",G323="-"),"",G323-F323)</f>
        <v/>
      </c>
      <c r="J323" s="46" t="str">
        <f t="shared" ref="J323:J386" si="29">IF(OR(TRIM(F323&amp;"")="",TRIM(H323&amp;"")="",F323="-",H323="-"),"",H323-F323)</f>
        <v/>
      </c>
      <c r="K323" s="46">
        <f t="shared" ref="K323:K386" si="30">IF(OR(TRIM(G323&amp;"")="",TRIM(H323&amp;"")="",G323="-",H323="-"),"",H323-G323)</f>
        <v>1.0000000000000009E-2</v>
      </c>
      <c r="L323" s="49" t="str">
        <f t="shared" ref="L323:N386" si="31">IF(ISNUMBER(I323),IF(ABS(I323)&lt;=0.02,"Within Tolerance","Out of Tolerance"),"")</f>
        <v/>
      </c>
      <c r="M323" s="49" t="str">
        <f t="shared" si="31"/>
        <v/>
      </c>
      <c r="N323" s="49" t="str">
        <f t="shared" si="31"/>
        <v>Within Tolerance</v>
      </c>
    </row>
    <row r="324" spans="1:14" s="43" customFormat="1" x14ac:dyDescent="0.3">
      <c r="A324" s="168">
        <v>46157</v>
      </c>
      <c r="B324" s="64">
        <v>46157.305555555598</v>
      </c>
      <c r="C324" s="142">
        <f t="shared" si="27"/>
        <v>46157.305555555598</v>
      </c>
      <c r="D324" s="19" t="s">
        <v>13</v>
      </c>
      <c r="E324" s="7" t="s">
        <v>11</v>
      </c>
      <c r="F324" s="118" t="s">
        <v>93</v>
      </c>
      <c r="G324" s="115">
        <v>0.55000000000000004</v>
      </c>
      <c r="H324" s="116"/>
      <c r="I324" s="46" t="str">
        <f t="shared" si="28"/>
        <v/>
      </c>
      <c r="J324" s="46" t="str">
        <f t="shared" si="29"/>
        <v/>
      </c>
      <c r="K324" s="46" t="str">
        <f t="shared" si="30"/>
        <v/>
      </c>
      <c r="L324" s="49" t="str">
        <f t="shared" si="31"/>
        <v/>
      </c>
      <c r="M324" s="49" t="str">
        <f t="shared" si="31"/>
        <v/>
      </c>
      <c r="N324" s="49" t="str">
        <f t="shared" si="31"/>
        <v/>
      </c>
    </row>
    <row r="325" spans="1:14" s="43" customFormat="1" hidden="1" x14ac:dyDescent="0.3">
      <c r="A325" s="169">
        <v>46156</v>
      </c>
      <c r="B325" s="64">
        <v>46156.381944444402</v>
      </c>
      <c r="C325" s="142">
        <f t="shared" si="27"/>
        <v>46156.381944444402</v>
      </c>
      <c r="D325" s="19" t="s">
        <v>40</v>
      </c>
      <c r="E325" s="7" t="s">
        <v>15</v>
      </c>
      <c r="F325" s="118" t="s">
        <v>93</v>
      </c>
      <c r="G325" s="115">
        <v>0.52</v>
      </c>
      <c r="H325" s="116">
        <v>0.53</v>
      </c>
      <c r="I325" s="46" t="str">
        <f t="shared" si="28"/>
        <v/>
      </c>
      <c r="J325" s="46" t="str">
        <f t="shared" si="29"/>
        <v/>
      </c>
      <c r="K325" s="46">
        <f t="shared" si="30"/>
        <v>1.0000000000000009E-2</v>
      </c>
      <c r="L325" s="49" t="str">
        <f t="shared" si="31"/>
        <v/>
      </c>
      <c r="M325" s="49" t="str">
        <f t="shared" si="31"/>
        <v/>
      </c>
      <c r="N325" s="49" t="str">
        <f t="shared" si="31"/>
        <v>Within Tolerance</v>
      </c>
    </row>
    <row r="326" spans="1:14" s="43" customFormat="1" hidden="1" x14ac:dyDescent="0.3">
      <c r="A326" s="168">
        <v>46156</v>
      </c>
      <c r="B326" s="64">
        <v>46156.458333333299</v>
      </c>
      <c r="C326" s="142">
        <f t="shared" si="27"/>
        <v>46156.458333333299</v>
      </c>
      <c r="D326" s="19" t="s">
        <v>40</v>
      </c>
      <c r="E326" s="7" t="s">
        <v>15</v>
      </c>
      <c r="F326" s="118">
        <v>0.52</v>
      </c>
      <c r="G326" s="115">
        <v>0.51</v>
      </c>
      <c r="H326" s="116">
        <v>0.52</v>
      </c>
      <c r="I326" s="46">
        <f t="shared" si="28"/>
        <v>-1.0000000000000009E-2</v>
      </c>
      <c r="J326" s="46">
        <f t="shared" si="29"/>
        <v>0</v>
      </c>
      <c r="K326" s="46">
        <f t="shared" si="30"/>
        <v>1.0000000000000009E-2</v>
      </c>
      <c r="L326" s="49" t="str">
        <f t="shared" si="31"/>
        <v>Within Tolerance</v>
      </c>
      <c r="M326" s="49" t="str">
        <f t="shared" si="31"/>
        <v>Within Tolerance</v>
      </c>
      <c r="N326" s="49" t="str">
        <f t="shared" si="31"/>
        <v>Within Tolerance</v>
      </c>
    </row>
    <row r="327" spans="1:14" s="43" customFormat="1" hidden="1" x14ac:dyDescent="0.3">
      <c r="A327" s="169">
        <v>46156</v>
      </c>
      <c r="B327" s="64">
        <v>46156.5625</v>
      </c>
      <c r="C327" s="142">
        <f t="shared" si="27"/>
        <v>46156.5625</v>
      </c>
      <c r="D327" s="19" t="s">
        <v>40</v>
      </c>
      <c r="E327" s="7" t="s">
        <v>15</v>
      </c>
      <c r="F327" s="118" t="s">
        <v>93</v>
      </c>
      <c r="G327" s="115">
        <v>0.55000000000000004</v>
      </c>
      <c r="H327" s="116">
        <v>0.55000000000000004</v>
      </c>
      <c r="I327" s="46" t="str">
        <f t="shared" si="28"/>
        <v/>
      </c>
      <c r="J327" s="46" t="str">
        <f t="shared" si="29"/>
        <v/>
      </c>
      <c r="K327" s="46">
        <f t="shared" si="30"/>
        <v>0</v>
      </c>
      <c r="L327" s="49" t="str">
        <f t="shared" si="31"/>
        <v/>
      </c>
      <c r="M327" s="49" t="str">
        <f t="shared" si="31"/>
        <v/>
      </c>
      <c r="N327" s="49" t="str">
        <f t="shared" si="31"/>
        <v>Within Tolerance</v>
      </c>
    </row>
    <row r="328" spans="1:14" s="43" customFormat="1" hidden="1" x14ac:dyDescent="0.3">
      <c r="A328" s="168">
        <v>46156</v>
      </c>
      <c r="B328" s="64">
        <v>46156.729166666701</v>
      </c>
      <c r="C328" s="142">
        <f t="shared" si="27"/>
        <v>46156.729166666701</v>
      </c>
      <c r="D328" s="19" t="s">
        <v>40</v>
      </c>
      <c r="E328" s="7" t="s">
        <v>15</v>
      </c>
      <c r="F328" s="118">
        <v>0.56000000000000005</v>
      </c>
      <c r="G328" s="115">
        <v>0.55000000000000004</v>
      </c>
      <c r="H328" s="116">
        <v>0.53</v>
      </c>
      <c r="I328" s="46">
        <f t="shared" si="28"/>
        <v>-1.0000000000000009E-2</v>
      </c>
      <c r="J328" s="46">
        <f t="shared" si="29"/>
        <v>-3.0000000000000027E-2</v>
      </c>
      <c r="K328" s="46">
        <f t="shared" si="30"/>
        <v>-2.0000000000000018E-2</v>
      </c>
      <c r="L328" s="49" t="str">
        <f t="shared" si="31"/>
        <v>Within Tolerance</v>
      </c>
      <c r="M328" s="49" t="str">
        <f t="shared" si="31"/>
        <v>Out of Tolerance</v>
      </c>
      <c r="N328" s="49" t="str">
        <f t="shared" si="31"/>
        <v>Within Tolerance</v>
      </c>
    </row>
    <row r="329" spans="1:14" s="43" customFormat="1" hidden="1" x14ac:dyDescent="0.3">
      <c r="A329" s="169">
        <v>46156</v>
      </c>
      <c r="B329" s="64">
        <v>46156.833333333299</v>
      </c>
      <c r="C329" s="142">
        <f t="shared" si="27"/>
        <v>46156.833333333299</v>
      </c>
      <c r="D329" s="19" t="s">
        <v>40</v>
      </c>
      <c r="E329" s="7" t="s">
        <v>15</v>
      </c>
      <c r="F329" s="118" t="s">
        <v>93</v>
      </c>
      <c r="G329" s="115">
        <v>0.53</v>
      </c>
      <c r="H329" s="116">
        <v>0.53</v>
      </c>
      <c r="I329" s="46" t="str">
        <f t="shared" si="28"/>
        <v/>
      </c>
      <c r="J329" s="46" t="str">
        <f t="shared" si="29"/>
        <v/>
      </c>
      <c r="K329" s="46">
        <f t="shared" si="30"/>
        <v>0</v>
      </c>
      <c r="L329" s="49" t="str">
        <f t="shared" si="31"/>
        <v/>
      </c>
      <c r="M329" s="49" t="str">
        <f t="shared" si="31"/>
        <v/>
      </c>
      <c r="N329" s="49" t="str">
        <f t="shared" si="31"/>
        <v>Within Tolerance</v>
      </c>
    </row>
    <row r="330" spans="1:14" s="43" customFormat="1" hidden="1" x14ac:dyDescent="0.3">
      <c r="A330" s="168">
        <v>46156</v>
      </c>
      <c r="B330" s="64">
        <v>46156.916666666701</v>
      </c>
      <c r="C330" s="142">
        <f t="shared" si="27"/>
        <v>46156.916666666701</v>
      </c>
      <c r="D330" s="19" t="s">
        <v>40</v>
      </c>
      <c r="E330" s="7" t="s">
        <v>15</v>
      </c>
      <c r="F330" s="118" t="s">
        <v>93</v>
      </c>
      <c r="G330" s="115">
        <v>0.55000000000000004</v>
      </c>
      <c r="H330" s="116">
        <v>0.54</v>
      </c>
      <c r="I330" s="46" t="str">
        <f t="shared" si="28"/>
        <v/>
      </c>
      <c r="J330" s="46" t="str">
        <f t="shared" si="29"/>
        <v/>
      </c>
      <c r="K330" s="46">
        <f t="shared" si="30"/>
        <v>-1.0000000000000009E-2</v>
      </c>
      <c r="L330" s="49" t="str">
        <f t="shared" si="31"/>
        <v/>
      </c>
      <c r="M330" s="49" t="str">
        <f t="shared" si="31"/>
        <v/>
      </c>
      <c r="N330" s="49" t="str">
        <f t="shared" si="31"/>
        <v>Within Tolerance</v>
      </c>
    </row>
    <row r="331" spans="1:14" s="43" customFormat="1" x14ac:dyDescent="0.3">
      <c r="A331" s="169">
        <v>46156</v>
      </c>
      <c r="B331" s="64">
        <v>46156.961805555598</v>
      </c>
      <c r="C331" s="142">
        <f t="shared" si="27"/>
        <v>46156.961805555598</v>
      </c>
      <c r="D331" s="19" t="s">
        <v>29</v>
      </c>
      <c r="E331" s="7" t="s">
        <v>15</v>
      </c>
      <c r="F331" s="118" t="s">
        <v>93</v>
      </c>
      <c r="G331" s="115">
        <v>0.53</v>
      </c>
      <c r="H331" s="116"/>
      <c r="I331" s="46" t="str">
        <f t="shared" si="28"/>
        <v/>
      </c>
      <c r="J331" s="46" t="str">
        <f t="shared" si="29"/>
        <v/>
      </c>
      <c r="K331" s="46" t="str">
        <f t="shared" si="30"/>
        <v/>
      </c>
      <c r="L331" s="49" t="str">
        <f t="shared" si="31"/>
        <v/>
      </c>
      <c r="M331" s="49" t="str">
        <f t="shared" si="31"/>
        <v/>
      </c>
      <c r="N331" s="49" t="str">
        <f t="shared" si="31"/>
        <v/>
      </c>
    </row>
    <row r="332" spans="1:14" s="43" customFormat="1" hidden="1" x14ac:dyDescent="0.3">
      <c r="A332" s="168">
        <v>46156</v>
      </c>
      <c r="B332" s="64">
        <v>46157</v>
      </c>
      <c r="C332" s="142">
        <f t="shared" si="27"/>
        <v>46156</v>
      </c>
      <c r="D332" s="19" t="s">
        <v>29</v>
      </c>
      <c r="E332" s="7" t="s">
        <v>15</v>
      </c>
      <c r="F332" s="118" t="s">
        <v>93</v>
      </c>
      <c r="G332" s="115">
        <v>0.54</v>
      </c>
      <c r="H332" s="116">
        <v>0.52</v>
      </c>
      <c r="I332" s="46" t="str">
        <f t="shared" si="28"/>
        <v/>
      </c>
      <c r="J332" s="46" t="str">
        <f t="shared" si="29"/>
        <v/>
      </c>
      <c r="K332" s="46">
        <f t="shared" si="30"/>
        <v>-2.0000000000000018E-2</v>
      </c>
      <c r="L332" s="49" t="str">
        <f t="shared" si="31"/>
        <v/>
      </c>
      <c r="M332" s="49" t="str">
        <f t="shared" si="31"/>
        <v/>
      </c>
      <c r="N332" s="49" t="str">
        <f t="shared" si="31"/>
        <v>Within Tolerance</v>
      </c>
    </row>
    <row r="333" spans="1:14" s="43" customFormat="1" hidden="1" x14ac:dyDescent="0.3">
      <c r="A333" s="169">
        <v>46157</v>
      </c>
      <c r="B333" s="64">
        <v>46157.083333333299</v>
      </c>
      <c r="C333" s="142">
        <f t="shared" si="27"/>
        <v>46157.083333333299</v>
      </c>
      <c r="D333" s="19" t="s">
        <v>29</v>
      </c>
      <c r="E333" s="7" t="s">
        <v>15</v>
      </c>
      <c r="F333" s="118" t="s">
        <v>93</v>
      </c>
      <c r="G333" s="115">
        <v>0.53</v>
      </c>
      <c r="H333" s="116">
        <v>0.52</v>
      </c>
      <c r="I333" s="46" t="str">
        <f t="shared" si="28"/>
        <v/>
      </c>
      <c r="J333" s="46" t="str">
        <f t="shared" si="29"/>
        <v/>
      </c>
      <c r="K333" s="46">
        <f t="shared" si="30"/>
        <v>-1.0000000000000009E-2</v>
      </c>
      <c r="L333" s="49" t="str">
        <f t="shared" si="31"/>
        <v/>
      </c>
      <c r="M333" s="49" t="str">
        <f t="shared" si="31"/>
        <v/>
      </c>
      <c r="N333" s="49" t="str">
        <f t="shared" si="31"/>
        <v>Within Tolerance</v>
      </c>
    </row>
    <row r="334" spans="1:14" s="43" customFormat="1" hidden="1" x14ac:dyDescent="0.3">
      <c r="A334" s="168">
        <v>46157</v>
      </c>
      <c r="B334" s="64">
        <v>46157.166666666701</v>
      </c>
      <c r="C334" s="142">
        <f t="shared" si="27"/>
        <v>46157.166666666701</v>
      </c>
      <c r="D334" s="19" t="s">
        <v>29</v>
      </c>
      <c r="E334" s="7" t="s">
        <v>15</v>
      </c>
      <c r="F334" s="118" t="s">
        <v>93</v>
      </c>
      <c r="G334" s="115">
        <v>0.51</v>
      </c>
      <c r="H334" s="116">
        <v>0.54</v>
      </c>
      <c r="I334" s="46" t="str">
        <f t="shared" si="28"/>
        <v/>
      </c>
      <c r="J334" s="46" t="str">
        <f t="shared" si="29"/>
        <v/>
      </c>
      <c r="K334" s="46">
        <f t="shared" si="30"/>
        <v>3.0000000000000027E-2</v>
      </c>
      <c r="L334" s="49" t="str">
        <f t="shared" si="31"/>
        <v/>
      </c>
      <c r="M334" s="49" t="str">
        <f t="shared" si="31"/>
        <v/>
      </c>
      <c r="N334" s="49" t="str">
        <f t="shared" si="31"/>
        <v>Out of Tolerance</v>
      </c>
    </row>
    <row r="335" spans="1:14" s="43" customFormat="1" hidden="1" x14ac:dyDescent="0.3">
      <c r="A335" s="169">
        <v>46157</v>
      </c>
      <c r="B335" s="64">
        <v>46157.25</v>
      </c>
      <c r="C335" s="142">
        <f t="shared" si="27"/>
        <v>46157.25</v>
      </c>
      <c r="D335" s="19" t="s">
        <v>29</v>
      </c>
      <c r="E335" s="7" t="s">
        <v>15</v>
      </c>
      <c r="F335" s="118" t="s">
        <v>93</v>
      </c>
      <c r="G335" s="115">
        <v>0.52</v>
      </c>
      <c r="H335" s="116">
        <v>0.54</v>
      </c>
      <c r="I335" s="46" t="str">
        <f t="shared" si="28"/>
        <v/>
      </c>
      <c r="J335" s="46" t="str">
        <f t="shared" si="29"/>
        <v/>
      </c>
      <c r="K335" s="46">
        <f t="shared" si="30"/>
        <v>2.0000000000000018E-2</v>
      </c>
      <c r="L335" s="49" t="str">
        <f t="shared" si="31"/>
        <v/>
      </c>
      <c r="M335" s="49" t="str">
        <f t="shared" si="31"/>
        <v/>
      </c>
      <c r="N335" s="49" t="str">
        <f t="shared" si="31"/>
        <v>Within Tolerance</v>
      </c>
    </row>
    <row r="336" spans="1:14" s="43" customFormat="1" hidden="1" x14ac:dyDescent="0.3">
      <c r="A336" s="190">
        <v>46156</v>
      </c>
      <c r="B336" s="65">
        <v>46156.475694444445</v>
      </c>
      <c r="C336" s="145">
        <f t="shared" si="27"/>
        <v>46156.475694444445</v>
      </c>
      <c r="D336" s="7" t="s">
        <v>22</v>
      </c>
      <c r="E336" s="7" t="s">
        <v>19</v>
      </c>
      <c r="F336" s="118">
        <v>0.57999999999999996</v>
      </c>
      <c r="G336" s="115">
        <v>0.56999999999999995</v>
      </c>
      <c r="H336" s="116">
        <v>0.56000000000000005</v>
      </c>
      <c r="I336" s="46">
        <f t="shared" si="28"/>
        <v>-1.0000000000000009E-2</v>
      </c>
      <c r="J336" s="46">
        <f t="shared" si="29"/>
        <v>-1.9999999999999907E-2</v>
      </c>
      <c r="K336" s="46">
        <f t="shared" si="30"/>
        <v>-9.9999999999998979E-3</v>
      </c>
      <c r="L336" s="49" t="str">
        <f t="shared" si="31"/>
        <v>Within Tolerance</v>
      </c>
      <c r="M336" s="49" t="str">
        <f t="shared" si="31"/>
        <v>Within Tolerance</v>
      </c>
      <c r="N336" s="49" t="str">
        <f t="shared" si="31"/>
        <v>Within Tolerance</v>
      </c>
    </row>
    <row r="337" spans="1:14" s="43" customFormat="1" hidden="1" x14ac:dyDescent="0.3">
      <c r="A337" s="177">
        <v>46156</v>
      </c>
      <c r="B337" s="66">
        <v>46156.565972222197</v>
      </c>
      <c r="C337" s="144">
        <f t="shared" si="27"/>
        <v>46156.565972222197</v>
      </c>
      <c r="D337" s="19" t="s">
        <v>18</v>
      </c>
      <c r="E337" s="7" t="s">
        <v>19</v>
      </c>
      <c r="F337" s="118">
        <v>0.56000000000000005</v>
      </c>
      <c r="G337" s="115">
        <v>0.51</v>
      </c>
      <c r="H337" s="116">
        <v>0.53</v>
      </c>
      <c r="I337" s="46">
        <f t="shared" si="28"/>
        <v>-5.0000000000000044E-2</v>
      </c>
      <c r="J337" s="46">
        <f t="shared" si="29"/>
        <v>-3.0000000000000027E-2</v>
      </c>
      <c r="K337" s="46">
        <f t="shared" si="30"/>
        <v>2.0000000000000018E-2</v>
      </c>
      <c r="L337" s="49" t="str">
        <f t="shared" si="31"/>
        <v>Out of Tolerance</v>
      </c>
      <c r="M337" s="49" t="str">
        <f t="shared" si="31"/>
        <v>Out of Tolerance</v>
      </c>
      <c r="N337" s="49" t="str">
        <f t="shared" si="31"/>
        <v>Within Tolerance</v>
      </c>
    </row>
    <row r="338" spans="1:14" s="43" customFormat="1" hidden="1" x14ac:dyDescent="0.3">
      <c r="A338" s="190">
        <v>46156</v>
      </c>
      <c r="B338" s="67">
        <v>46156.819444444402</v>
      </c>
      <c r="C338" s="145">
        <f t="shared" si="27"/>
        <v>46156.819444444402</v>
      </c>
      <c r="D338" s="19" t="s">
        <v>42</v>
      </c>
      <c r="E338" s="7" t="s">
        <v>19</v>
      </c>
      <c r="F338" s="118">
        <v>0.39</v>
      </c>
      <c r="G338" s="115">
        <v>0.4</v>
      </c>
      <c r="H338" s="116">
        <v>0.41</v>
      </c>
      <c r="I338" s="46">
        <f t="shared" si="28"/>
        <v>1.0000000000000009E-2</v>
      </c>
      <c r="J338" s="46">
        <f t="shared" si="29"/>
        <v>1.9999999999999962E-2</v>
      </c>
      <c r="K338" s="46">
        <f t="shared" si="30"/>
        <v>9.9999999999999534E-3</v>
      </c>
      <c r="L338" s="49" t="str">
        <f t="shared" si="31"/>
        <v>Within Tolerance</v>
      </c>
      <c r="M338" s="49" t="str">
        <f t="shared" si="31"/>
        <v>Within Tolerance</v>
      </c>
      <c r="N338" s="49" t="str">
        <f t="shared" si="31"/>
        <v>Within Tolerance</v>
      </c>
    </row>
    <row r="339" spans="1:14" s="43" customFormat="1" hidden="1" x14ac:dyDescent="0.3">
      <c r="A339" s="196">
        <v>46156</v>
      </c>
      <c r="B339" s="68">
        <v>46156.857638888898</v>
      </c>
      <c r="C339" s="146">
        <f t="shared" si="27"/>
        <v>46156.857638888898</v>
      </c>
      <c r="D339" s="19" t="s">
        <v>34</v>
      </c>
      <c r="E339" s="7" t="s">
        <v>19</v>
      </c>
      <c r="F339" s="118">
        <v>0.56000000000000005</v>
      </c>
      <c r="G339" s="115">
        <v>0.56000000000000005</v>
      </c>
      <c r="H339" s="116">
        <v>0.55000000000000004</v>
      </c>
      <c r="I339" s="46">
        <f t="shared" si="28"/>
        <v>0</v>
      </c>
      <c r="J339" s="46">
        <f t="shared" si="29"/>
        <v>-1.0000000000000009E-2</v>
      </c>
      <c r="K339" s="46">
        <f t="shared" si="30"/>
        <v>-1.0000000000000009E-2</v>
      </c>
      <c r="L339" s="49" t="str">
        <f t="shared" si="31"/>
        <v>Within Tolerance</v>
      </c>
      <c r="M339" s="49" t="str">
        <f t="shared" si="31"/>
        <v>Within Tolerance</v>
      </c>
      <c r="N339" s="49" t="str">
        <f t="shared" si="31"/>
        <v>Within Tolerance</v>
      </c>
    </row>
    <row r="340" spans="1:14" s="43" customFormat="1" hidden="1" x14ac:dyDescent="0.3">
      <c r="A340" s="174">
        <v>46156</v>
      </c>
      <c r="B340" s="66">
        <v>46156.888888888898</v>
      </c>
      <c r="C340" s="144">
        <f t="shared" si="27"/>
        <v>46156.888888888898</v>
      </c>
      <c r="D340" s="19" t="s">
        <v>20</v>
      </c>
      <c r="E340" s="7" t="s">
        <v>19</v>
      </c>
      <c r="F340" s="118" t="s">
        <v>93</v>
      </c>
      <c r="G340" s="115">
        <v>0.56999999999999995</v>
      </c>
      <c r="H340" s="116">
        <v>0.57999999999999996</v>
      </c>
      <c r="I340" s="46" t="str">
        <f t="shared" si="28"/>
        <v/>
      </c>
      <c r="J340" s="46" t="str">
        <f t="shared" si="29"/>
        <v/>
      </c>
      <c r="K340" s="46">
        <f t="shared" si="30"/>
        <v>1.0000000000000009E-2</v>
      </c>
      <c r="L340" s="49" t="str">
        <f t="shared" si="31"/>
        <v/>
      </c>
      <c r="M340" s="49" t="str">
        <f t="shared" si="31"/>
        <v/>
      </c>
      <c r="N340" s="49" t="str">
        <f t="shared" si="31"/>
        <v>Within Tolerance</v>
      </c>
    </row>
    <row r="341" spans="1:14" s="43" customFormat="1" hidden="1" x14ac:dyDescent="0.3">
      <c r="A341" s="175">
        <v>46156</v>
      </c>
      <c r="B341" s="67">
        <v>46156.440972222197</v>
      </c>
      <c r="C341" s="145">
        <f t="shared" si="27"/>
        <v>46156.440972222197</v>
      </c>
      <c r="D341" s="7" t="s">
        <v>26</v>
      </c>
      <c r="E341" s="7" t="s">
        <v>24</v>
      </c>
      <c r="F341" s="118">
        <v>0.64</v>
      </c>
      <c r="G341" s="116">
        <v>0.64</v>
      </c>
      <c r="H341" s="116">
        <v>0.65</v>
      </c>
      <c r="I341" s="46">
        <f t="shared" si="28"/>
        <v>0</v>
      </c>
      <c r="J341" s="46">
        <f t="shared" si="29"/>
        <v>1.0000000000000009E-2</v>
      </c>
      <c r="K341" s="46">
        <f t="shared" si="30"/>
        <v>1.0000000000000009E-2</v>
      </c>
      <c r="L341" s="49" t="str">
        <f t="shared" si="31"/>
        <v>Within Tolerance</v>
      </c>
      <c r="M341" s="49" t="str">
        <f t="shared" si="31"/>
        <v>Within Tolerance</v>
      </c>
      <c r="N341" s="49" t="str">
        <f t="shared" si="31"/>
        <v>Within Tolerance</v>
      </c>
    </row>
    <row r="342" spans="1:14" s="43" customFormat="1" hidden="1" x14ac:dyDescent="0.3">
      <c r="A342" s="176">
        <v>46156</v>
      </c>
      <c r="B342" s="68">
        <v>46156.520833333299</v>
      </c>
      <c r="C342" s="146">
        <f t="shared" si="27"/>
        <v>46156.520833333299</v>
      </c>
      <c r="D342" s="7" t="s">
        <v>25</v>
      </c>
      <c r="E342" s="7" t="s">
        <v>24</v>
      </c>
      <c r="F342" s="118">
        <v>0.61</v>
      </c>
      <c r="G342" s="115">
        <v>0.56999999999999995</v>
      </c>
      <c r="H342" s="116">
        <v>0.57999999999999996</v>
      </c>
      <c r="I342" s="46">
        <f t="shared" si="28"/>
        <v>-4.0000000000000036E-2</v>
      </c>
      <c r="J342" s="46">
        <f t="shared" si="29"/>
        <v>-3.0000000000000027E-2</v>
      </c>
      <c r="K342" s="46">
        <f t="shared" si="30"/>
        <v>1.0000000000000009E-2</v>
      </c>
      <c r="L342" s="49" t="str">
        <f t="shared" si="31"/>
        <v>Out of Tolerance</v>
      </c>
      <c r="M342" s="49" t="str">
        <f t="shared" si="31"/>
        <v>Out of Tolerance</v>
      </c>
      <c r="N342" s="49" t="str">
        <f t="shared" si="31"/>
        <v>Within Tolerance</v>
      </c>
    </row>
    <row r="343" spans="1:14" s="43" customFormat="1" hidden="1" x14ac:dyDescent="0.3">
      <c r="A343" s="199">
        <v>46156</v>
      </c>
      <c r="B343" s="66">
        <v>46156.579861111102</v>
      </c>
      <c r="C343" s="148">
        <f t="shared" si="27"/>
        <v>46156.579861111102</v>
      </c>
      <c r="D343" s="23" t="s">
        <v>49</v>
      </c>
      <c r="E343" s="7" t="s">
        <v>24</v>
      </c>
      <c r="F343" s="118">
        <v>0.63</v>
      </c>
      <c r="G343" s="115">
        <v>0.66</v>
      </c>
      <c r="H343" s="116">
        <v>0.61</v>
      </c>
      <c r="I343" s="46">
        <f t="shared" si="28"/>
        <v>3.0000000000000027E-2</v>
      </c>
      <c r="J343" s="46">
        <f t="shared" si="29"/>
        <v>-2.0000000000000018E-2</v>
      </c>
      <c r="K343" s="46">
        <f t="shared" si="30"/>
        <v>-5.0000000000000044E-2</v>
      </c>
      <c r="L343" s="49" t="str">
        <f t="shared" si="31"/>
        <v>Out of Tolerance</v>
      </c>
      <c r="M343" s="49" t="str">
        <f t="shared" si="31"/>
        <v>Within Tolerance</v>
      </c>
      <c r="N343" s="49" t="str">
        <f t="shared" si="31"/>
        <v>Out of Tolerance</v>
      </c>
    </row>
    <row r="344" spans="1:14" s="43" customFormat="1" hidden="1" x14ac:dyDescent="0.3">
      <c r="A344" s="187">
        <v>46156</v>
      </c>
      <c r="B344" s="67">
        <v>46156.392361111109</v>
      </c>
      <c r="C344" s="143">
        <f t="shared" si="27"/>
        <v>46156.392361111109</v>
      </c>
      <c r="D344" s="23" t="s">
        <v>49</v>
      </c>
      <c r="E344" s="7" t="s">
        <v>24</v>
      </c>
      <c r="F344" s="116">
        <v>0.63</v>
      </c>
      <c r="G344" s="116">
        <v>0.68</v>
      </c>
      <c r="H344" s="116">
        <v>0.62</v>
      </c>
      <c r="I344" s="46">
        <f t="shared" si="28"/>
        <v>5.0000000000000044E-2</v>
      </c>
      <c r="J344" s="46">
        <f t="shared" si="29"/>
        <v>-1.0000000000000009E-2</v>
      </c>
      <c r="K344" s="46">
        <f t="shared" si="30"/>
        <v>-6.0000000000000053E-2</v>
      </c>
      <c r="L344" s="49" t="str">
        <f t="shared" si="31"/>
        <v>Out of Tolerance</v>
      </c>
      <c r="M344" s="49" t="str">
        <f t="shared" si="31"/>
        <v>Within Tolerance</v>
      </c>
      <c r="N344" s="49" t="str">
        <f t="shared" si="31"/>
        <v>Out of Tolerance</v>
      </c>
    </row>
    <row r="345" spans="1:14" s="43" customFormat="1" hidden="1" x14ac:dyDescent="0.3">
      <c r="A345" s="199">
        <v>46156</v>
      </c>
      <c r="B345" s="66">
        <v>46156.46875</v>
      </c>
      <c r="C345" s="148">
        <f t="shared" si="27"/>
        <v>46156.46875</v>
      </c>
      <c r="D345" s="23" t="s">
        <v>49</v>
      </c>
      <c r="E345" s="7" t="s">
        <v>24</v>
      </c>
      <c r="F345" s="116">
        <v>0.63</v>
      </c>
      <c r="G345" s="116">
        <v>0.67</v>
      </c>
      <c r="H345" s="116">
        <v>0.62</v>
      </c>
      <c r="I345" s="46">
        <f t="shared" si="28"/>
        <v>4.0000000000000036E-2</v>
      </c>
      <c r="J345" s="46">
        <f t="shared" si="29"/>
        <v>-1.0000000000000009E-2</v>
      </c>
      <c r="K345" s="46">
        <f t="shared" si="30"/>
        <v>-5.0000000000000044E-2</v>
      </c>
      <c r="L345" s="49" t="str">
        <f t="shared" si="31"/>
        <v>Out of Tolerance</v>
      </c>
      <c r="M345" s="49" t="str">
        <f t="shared" si="31"/>
        <v>Within Tolerance</v>
      </c>
      <c r="N345" s="49" t="str">
        <f t="shared" si="31"/>
        <v>Out of Tolerance</v>
      </c>
    </row>
    <row r="346" spans="1:14" s="43" customFormat="1" hidden="1" x14ac:dyDescent="0.3">
      <c r="A346" s="168">
        <v>46157</v>
      </c>
      <c r="B346" s="64">
        <v>46157.354166666701</v>
      </c>
      <c r="C346" s="142">
        <f t="shared" si="27"/>
        <v>46157.354166666701</v>
      </c>
      <c r="D346" s="19" t="s">
        <v>13</v>
      </c>
      <c r="E346" s="7" t="s">
        <v>11</v>
      </c>
      <c r="F346" s="116">
        <v>0.52</v>
      </c>
      <c r="G346" s="115">
        <v>0.53</v>
      </c>
      <c r="H346" s="116">
        <v>0.55000000000000004</v>
      </c>
      <c r="I346" s="46">
        <f t="shared" si="28"/>
        <v>1.0000000000000009E-2</v>
      </c>
      <c r="J346" s="46">
        <f t="shared" si="29"/>
        <v>3.0000000000000027E-2</v>
      </c>
      <c r="K346" s="46">
        <f t="shared" si="30"/>
        <v>2.0000000000000018E-2</v>
      </c>
      <c r="L346" s="49" t="str">
        <f t="shared" si="31"/>
        <v>Within Tolerance</v>
      </c>
      <c r="M346" s="49" t="str">
        <f t="shared" si="31"/>
        <v>Out of Tolerance</v>
      </c>
      <c r="N346" s="49" t="str">
        <f t="shared" si="31"/>
        <v>Within Tolerance</v>
      </c>
    </row>
    <row r="347" spans="1:14" s="43" customFormat="1" hidden="1" x14ac:dyDescent="0.3">
      <c r="A347" s="169">
        <v>46157</v>
      </c>
      <c r="B347" s="64">
        <v>46157.524305555598</v>
      </c>
      <c r="C347" s="142">
        <f t="shared" si="27"/>
        <v>46157.524305555598</v>
      </c>
      <c r="D347" s="19" t="s">
        <v>13</v>
      </c>
      <c r="E347" s="7" t="s">
        <v>11</v>
      </c>
      <c r="F347" s="116">
        <v>0.51</v>
      </c>
      <c r="G347" s="115">
        <v>0.52</v>
      </c>
      <c r="H347" s="116">
        <v>0.57999999999999996</v>
      </c>
      <c r="I347" s="46">
        <f t="shared" si="28"/>
        <v>1.0000000000000009E-2</v>
      </c>
      <c r="J347" s="46">
        <f t="shared" si="29"/>
        <v>6.9999999999999951E-2</v>
      </c>
      <c r="K347" s="46">
        <f t="shared" si="30"/>
        <v>5.9999999999999942E-2</v>
      </c>
      <c r="L347" s="49" t="str">
        <f t="shared" si="31"/>
        <v>Within Tolerance</v>
      </c>
      <c r="M347" s="49" t="str">
        <f t="shared" si="31"/>
        <v>Out of Tolerance</v>
      </c>
      <c r="N347" s="49" t="str">
        <f t="shared" si="31"/>
        <v>Out of Tolerance</v>
      </c>
    </row>
    <row r="348" spans="1:14" s="43" customFormat="1" hidden="1" x14ac:dyDescent="0.3">
      <c r="A348" s="168">
        <v>46157</v>
      </c>
      <c r="B348" s="64">
        <v>46157.541666666701</v>
      </c>
      <c r="C348" s="142">
        <f t="shared" si="27"/>
        <v>46157.541666666701</v>
      </c>
      <c r="D348" s="19" t="s">
        <v>13</v>
      </c>
      <c r="E348" s="7" t="s">
        <v>11</v>
      </c>
      <c r="F348" s="116"/>
      <c r="G348" s="115">
        <v>0.52</v>
      </c>
      <c r="H348" s="116">
        <v>0.56999999999999995</v>
      </c>
      <c r="I348" s="46" t="str">
        <f t="shared" si="28"/>
        <v/>
      </c>
      <c r="J348" s="46" t="str">
        <f t="shared" si="29"/>
        <v/>
      </c>
      <c r="K348" s="46">
        <f t="shared" si="30"/>
        <v>4.9999999999999933E-2</v>
      </c>
      <c r="L348" s="49" t="str">
        <f t="shared" si="31"/>
        <v/>
      </c>
      <c r="M348" s="49" t="str">
        <f t="shared" si="31"/>
        <v/>
      </c>
      <c r="N348" s="49" t="str">
        <f t="shared" si="31"/>
        <v>Out of Tolerance</v>
      </c>
    </row>
    <row r="349" spans="1:14" s="43" customFormat="1" hidden="1" x14ac:dyDescent="0.3">
      <c r="A349" s="169">
        <v>46157</v>
      </c>
      <c r="B349" s="64">
        <v>46157.604166666701</v>
      </c>
      <c r="C349" s="142">
        <f t="shared" si="27"/>
        <v>46157.604166666701</v>
      </c>
      <c r="D349" s="19" t="s">
        <v>13</v>
      </c>
      <c r="E349" s="7" t="s">
        <v>11</v>
      </c>
      <c r="F349" s="118" t="s">
        <v>93</v>
      </c>
      <c r="G349" s="115">
        <v>0.52</v>
      </c>
      <c r="H349" s="116">
        <v>0.55000000000000004</v>
      </c>
      <c r="I349" s="46" t="str">
        <f t="shared" si="28"/>
        <v/>
      </c>
      <c r="J349" s="46" t="str">
        <f t="shared" si="29"/>
        <v/>
      </c>
      <c r="K349" s="46">
        <f t="shared" si="30"/>
        <v>3.0000000000000027E-2</v>
      </c>
      <c r="L349" s="49" t="str">
        <f t="shared" si="31"/>
        <v/>
      </c>
      <c r="M349" s="49" t="str">
        <f t="shared" si="31"/>
        <v/>
      </c>
      <c r="N349" s="49" t="str">
        <f t="shared" si="31"/>
        <v>Out of Tolerance</v>
      </c>
    </row>
    <row r="350" spans="1:14" s="43" customFormat="1" hidden="1" x14ac:dyDescent="0.3">
      <c r="A350" s="168">
        <v>46157</v>
      </c>
      <c r="B350" s="64">
        <v>46157.666666666701</v>
      </c>
      <c r="C350" s="142">
        <f t="shared" si="27"/>
        <v>46157.666666666701</v>
      </c>
      <c r="D350" s="19" t="s">
        <v>13</v>
      </c>
      <c r="E350" s="7" t="s">
        <v>11</v>
      </c>
      <c r="F350" s="118">
        <v>0.53</v>
      </c>
      <c r="G350" s="115">
        <v>0.5</v>
      </c>
      <c r="H350" s="116">
        <v>0.52</v>
      </c>
      <c r="I350" s="46">
        <f t="shared" si="28"/>
        <v>-3.0000000000000027E-2</v>
      </c>
      <c r="J350" s="46">
        <f t="shared" si="29"/>
        <v>-1.0000000000000009E-2</v>
      </c>
      <c r="K350" s="46">
        <f t="shared" si="30"/>
        <v>2.0000000000000018E-2</v>
      </c>
      <c r="L350" s="49" t="str">
        <f t="shared" si="31"/>
        <v>Out of Tolerance</v>
      </c>
      <c r="M350" s="49" t="str">
        <f t="shared" si="31"/>
        <v>Within Tolerance</v>
      </c>
      <c r="N350" s="49" t="str">
        <f t="shared" si="31"/>
        <v>Within Tolerance</v>
      </c>
    </row>
    <row r="351" spans="1:14" s="43" customFormat="1" x14ac:dyDescent="0.3">
      <c r="A351" s="169">
        <v>46157</v>
      </c>
      <c r="B351" s="64">
        <v>46157.875</v>
      </c>
      <c r="C351" s="142">
        <f t="shared" si="27"/>
        <v>46157.875</v>
      </c>
      <c r="D351" s="19" t="s">
        <v>13</v>
      </c>
      <c r="E351" s="7" t="s">
        <v>11</v>
      </c>
      <c r="F351" s="118" t="s">
        <v>93</v>
      </c>
      <c r="G351" s="115">
        <v>0.5</v>
      </c>
      <c r="H351" s="116"/>
      <c r="I351" s="46" t="str">
        <f t="shared" si="28"/>
        <v/>
      </c>
      <c r="J351" s="46" t="str">
        <f t="shared" si="29"/>
        <v/>
      </c>
      <c r="K351" s="46" t="str">
        <f t="shared" si="30"/>
        <v/>
      </c>
      <c r="L351" s="49" t="str">
        <f t="shared" si="31"/>
        <v/>
      </c>
      <c r="M351" s="49" t="str">
        <f t="shared" si="31"/>
        <v/>
      </c>
      <c r="N351" s="49" t="str">
        <f t="shared" si="31"/>
        <v/>
      </c>
    </row>
    <row r="352" spans="1:14" s="43" customFormat="1" hidden="1" x14ac:dyDescent="0.3">
      <c r="A352" s="168">
        <v>46157</v>
      </c>
      <c r="B352" s="64">
        <v>46157.895833333299</v>
      </c>
      <c r="C352" s="142">
        <f t="shared" si="27"/>
        <v>46157.895833333299</v>
      </c>
      <c r="D352" s="19" t="s">
        <v>13</v>
      </c>
      <c r="E352" s="7" t="s">
        <v>11</v>
      </c>
      <c r="F352" s="118" t="s">
        <v>93</v>
      </c>
      <c r="G352" s="115">
        <v>0.51</v>
      </c>
      <c r="H352" s="116">
        <v>0.54</v>
      </c>
      <c r="I352" s="46" t="str">
        <f t="shared" si="28"/>
        <v/>
      </c>
      <c r="J352" s="46" t="str">
        <f t="shared" si="29"/>
        <v/>
      </c>
      <c r="K352" s="46">
        <f t="shared" si="30"/>
        <v>3.0000000000000027E-2</v>
      </c>
      <c r="L352" s="49" t="str">
        <f t="shared" si="31"/>
        <v/>
      </c>
      <c r="M352" s="49" t="str">
        <f t="shared" si="31"/>
        <v/>
      </c>
      <c r="N352" s="49" t="str">
        <f t="shared" si="31"/>
        <v>Out of Tolerance</v>
      </c>
    </row>
    <row r="353" spans="1:14" s="43" customFormat="1" hidden="1" x14ac:dyDescent="0.3">
      <c r="A353" s="169">
        <v>46157</v>
      </c>
      <c r="B353" s="64">
        <v>46158</v>
      </c>
      <c r="C353" s="142">
        <f t="shared" si="27"/>
        <v>46157</v>
      </c>
      <c r="D353" s="19" t="s">
        <v>13</v>
      </c>
      <c r="E353" s="7" t="s">
        <v>11</v>
      </c>
      <c r="F353" s="118" t="s">
        <v>93</v>
      </c>
      <c r="G353" s="115">
        <v>0.59</v>
      </c>
      <c r="H353" s="116">
        <v>0.59</v>
      </c>
      <c r="I353" s="46" t="str">
        <f t="shared" si="28"/>
        <v/>
      </c>
      <c r="J353" s="46" t="str">
        <f t="shared" si="29"/>
        <v/>
      </c>
      <c r="K353" s="46">
        <f t="shared" si="30"/>
        <v>0</v>
      </c>
      <c r="L353" s="49" t="str">
        <f t="shared" si="31"/>
        <v/>
      </c>
      <c r="M353" s="49" t="str">
        <f t="shared" si="31"/>
        <v/>
      </c>
      <c r="N353" s="49" t="str">
        <f t="shared" si="31"/>
        <v>Within Tolerance</v>
      </c>
    </row>
    <row r="354" spans="1:14" s="43" customFormat="1" hidden="1" x14ac:dyDescent="0.3">
      <c r="A354" s="168">
        <v>46158</v>
      </c>
      <c r="B354" s="64">
        <v>46158.083333333299</v>
      </c>
      <c r="C354" s="142">
        <f t="shared" si="27"/>
        <v>46158.083333333299</v>
      </c>
      <c r="D354" s="19" t="s">
        <v>13</v>
      </c>
      <c r="E354" s="7" t="s">
        <v>11</v>
      </c>
      <c r="F354" s="118" t="s">
        <v>93</v>
      </c>
      <c r="G354" s="115">
        <v>0.55000000000000004</v>
      </c>
      <c r="H354" s="116">
        <v>0.56999999999999995</v>
      </c>
      <c r="I354" s="46" t="str">
        <f t="shared" si="28"/>
        <v/>
      </c>
      <c r="J354" s="46" t="str">
        <f t="shared" si="29"/>
        <v/>
      </c>
      <c r="K354" s="46">
        <f t="shared" si="30"/>
        <v>1.9999999999999907E-2</v>
      </c>
      <c r="L354" s="49" t="str">
        <f t="shared" si="31"/>
        <v/>
      </c>
      <c r="M354" s="49" t="str">
        <f t="shared" si="31"/>
        <v/>
      </c>
      <c r="N354" s="49" t="str">
        <f t="shared" si="31"/>
        <v>Within Tolerance</v>
      </c>
    </row>
    <row r="355" spans="1:14" s="43" customFormat="1" hidden="1" x14ac:dyDescent="0.3">
      <c r="A355" s="169">
        <v>46158</v>
      </c>
      <c r="B355" s="64">
        <v>46158.204861111102</v>
      </c>
      <c r="C355" s="142">
        <f t="shared" si="27"/>
        <v>46158.204861111102</v>
      </c>
      <c r="D355" s="19" t="s">
        <v>35</v>
      </c>
      <c r="E355" s="7" t="s">
        <v>11</v>
      </c>
      <c r="F355" s="118" t="s">
        <v>93</v>
      </c>
      <c r="G355" s="115">
        <v>0.55000000000000004</v>
      </c>
      <c r="H355" s="116">
        <v>0.57999999999999996</v>
      </c>
      <c r="I355" s="46" t="str">
        <f t="shared" si="28"/>
        <v/>
      </c>
      <c r="J355" s="46" t="str">
        <f t="shared" si="29"/>
        <v/>
      </c>
      <c r="K355" s="46">
        <f t="shared" si="30"/>
        <v>2.9999999999999916E-2</v>
      </c>
      <c r="L355" s="49" t="str">
        <f t="shared" si="31"/>
        <v/>
      </c>
      <c r="M355" s="49" t="str">
        <f t="shared" si="31"/>
        <v/>
      </c>
      <c r="N355" s="49" t="str">
        <f t="shared" si="31"/>
        <v>Out of Tolerance</v>
      </c>
    </row>
    <row r="356" spans="1:14" s="43" customFormat="1" hidden="1" x14ac:dyDescent="0.3">
      <c r="A356" s="168">
        <v>46158</v>
      </c>
      <c r="B356" s="64">
        <v>46158.270833333299</v>
      </c>
      <c r="C356" s="142">
        <f t="shared" si="27"/>
        <v>46158.270833333299</v>
      </c>
      <c r="D356" s="19" t="s">
        <v>35</v>
      </c>
      <c r="E356" s="7" t="s">
        <v>11</v>
      </c>
      <c r="F356" s="118" t="s">
        <v>93</v>
      </c>
      <c r="G356" s="115">
        <v>0.56999999999999995</v>
      </c>
      <c r="H356" s="116">
        <v>0.6</v>
      </c>
      <c r="I356" s="46" t="str">
        <f t="shared" si="28"/>
        <v/>
      </c>
      <c r="J356" s="46" t="str">
        <f t="shared" si="29"/>
        <v/>
      </c>
      <c r="K356" s="46">
        <f t="shared" si="30"/>
        <v>3.0000000000000027E-2</v>
      </c>
      <c r="L356" s="49" t="str">
        <f t="shared" si="31"/>
        <v/>
      </c>
      <c r="M356" s="49" t="str">
        <f t="shared" si="31"/>
        <v/>
      </c>
      <c r="N356" s="49" t="str">
        <f t="shared" si="31"/>
        <v>Out of Tolerance</v>
      </c>
    </row>
    <row r="357" spans="1:14" s="43" customFormat="1" hidden="1" x14ac:dyDescent="0.3">
      <c r="A357" s="169">
        <v>46157</v>
      </c>
      <c r="B357" s="64">
        <v>46157.333333333299</v>
      </c>
      <c r="C357" s="142">
        <f t="shared" si="27"/>
        <v>46157.333333333299</v>
      </c>
      <c r="D357" s="19" t="s">
        <v>29</v>
      </c>
      <c r="E357" s="7" t="s">
        <v>15</v>
      </c>
      <c r="F357" s="118" t="s">
        <v>93</v>
      </c>
      <c r="G357" s="115">
        <v>0.52</v>
      </c>
      <c r="H357" s="116">
        <v>0.53</v>
      </c>
      <c r="I357" s="46" t="str">
        <f t="shared" si="28"/>
        <v/>
      </c>
      <c r="J357" s="46" t="str">
        <f t="shared" si="29"/>
        <v/>
      </c>
      <c r="K357" s="46">
        <f t="shared" si="30"/>
        <v>1.0000000000000009E-2</v>
      </c>
      <c r="L357" s="49" t="str">
        <f t="shared" si="31"/>
        <v/>
      </c>
      <c r="M357" s="49" t="str">
        <f t="shared" si="31"/>
        <v/>
      </c>
      <c r="N357" s="49" t="str">
        <f t="shared" si="31"/>
        <v>Within Tolerance</v>
      </c>
    </row>
    <row r="358" spans="1:14" s="43" customFormat="1" hidden="1" x14ac:dyDescent="0.3">
      <c r="A358" s="168">
        <v>46157</v>
      </c>
      <c r="B358" s="64">
        <v>46157.770833333299</v>
      </c>
      <c r="C358" s="142">
        <f t="shared" si="27"/>
        <v>46157.770833333299</v>
      </c>
      <c r="D358" s="19" t="s">
        <v>29</v>
      </c>
      <c r="E358" s="7" t="s">
        <v>15</v>
      </c>
      <c r="F358" s="118" t="s">
        <v>93</v>
      </c>
      <c r="G358" s="115">
        <v>0.56000000000000005</v>
      </c>
      <c r="H358" s="116">
        <v>0.56000000000000005</v>
      </c>
      <c r="I358" s="46" t="str">
        <f t="shared" si="28"/>
        <v/>
      </c>
      <c r="J358" s="46" t="str">
        <f t="shared" si="29"/>
        <v/>
      </c>
      <c r="K358" s="46">
        <f t="shared" si="30"/>
        <v>0</v>
      </c>
      <c r="L358" s="49" t="str">
        <f t="shared" si="31"/>
        <v/>
      </c>
      <c r="M358" s="49" t="str">
        <f t="shared" si="31"/>
        <v/>
      </c>
      <c r="N358" s="49" t="str">
        <f t="shared" si="31"/>
        <v>Within Tolerance</v>
      </c>
    </row>
    <row r="359" spans="1:14" s="43" customFormat="1" hidden="1" x14ac:dyDescent="0.3">
      <c r="A359" s="169">
        <v>46157</v>
      </c>
      <c r="B359" s="64">
        <v>46157.784722222197</v>
      </c>
      <c r="C359" s="142">
        <f t="shared" si="27"/>
        <v>46157.784722222197</v>
      </c>
      <c r="D359" s="19" t="s">
        <v>29</v>
      </c>
      <c r="E359" s="7" t="s">
        <v>15</v>
      </c>
      <c r="F359" s="118" t="s">
        <v>93</v>
      </c>
      <c r="G359" s="115">
        <v>0.55000000000000004</v>
      </c>
      <c r="H359" s="116">
        <v>0.56000000000000005</v>
      </c>
      <c r="I359" s="46" t="str">
        <f t="shared" si="28"/>
        <v/>
      </c>
      <c r="J359" s="46" t="str">
        <f t="shared" si="29"/>
        <v/>
      </c>
      <c r="K359" s="46">
        <f t="shared" si="30"/>
        <v>1.0000000000000009E-2</v>
      </c>
      <c r="L359" s="49" t="str">
        <f t="shared" si="31"/>
        <v/>
      </c>
      <c r="M359" s="49" t="str">
        <f t="shared" si="31"/>
        <v/>
      </c>
      <c r="N359" s="49" t="str">
        <f t="shared" si="31"/>
        <v>Within Tolerance</v>
      </c>
    </row>
    <row r="360" spans="1:14" s="43" customFormat="1" hidden="1" x14ac:dyDescent="0.3">
      <c r="A360" s="168">
        <v>46157</v>
      </c>
      <c r="B360" s="64">
        <v>46157.833333333299</v>
      </c>
      <c r="C360" s="142">
        <f t="shared" si="27"/>
        <v>46157.833333333299</v>
      </c>
      <c r="D360" s="19" t="s">
        <v>29</v>
      </c>
      <c r="E360" s="7" t="s">
        <v>15</v>
      </c>
      <c r="F360" s="118">
        <v>0.57999999999999996</v>
      </c>
      <c r="G360" s="115">
        <v>0.56000000000000005</v>
      </c>
      <c r="H360" s="116">
        <v>0.54</v>
      </c>
      <c r="I360" s="46">
        <f t="shared" si="28"/>
        <v>-1.9999999999999907E-2</v>
      </c>
      <c r="J360" s="46">
        <f t="shared" si="29"/>
        <v>-3.9999999999999925E-2</v>
      </c>
      <c r="K360" s="46">
        <f t="shared" si="30"/>
        <v>-2.0000000000000018E-2</v>
      </c>
      <c r="L360" s="49" t="str">
        <f t="shared" si="31"/>
        <v>Within Tolerance</v>
      </c>
      <c r="M360" s="49" t="str">
        <f t="shared" si="31"/>
        <v>Out of Tolerance</v>
      </c>
      <c r="N360" s="49" t="str">
        <f t="shared" si="31"/>
        <v>Within Tolerance</v>
      </c>
    </row>
    <row r="361" spans="1:14" s="43" customFormat="1" hidden="1" x14ac:dyDescent="0.3">
      <c r="A361" s="169">
        <v>46157</v>
      </c>
      <c r="B361" s="64">
        <v>46157.916666666701</v>
      </c>
      <c r="C361" s="142">
        <f t="shared" si="27"/>
        <v>46157.916666666701</v>
      </c>
      <c r="D361" s="19" t="s">
        <v>29</v>
      </c>
      <c r="E361" s="7" t="s">
        <v>15</v>
      </c>
      <c r="F361" s="118" t="s">
        <v>93</v>
      </c>
      <c r="G361" s="115">
        <v>0.53</v>
      </c>
      <c r="H361" s="116">
        <v>0.51</v>
      </c>
      <c r="I361" s="46" t="str">
        <f t="shared" si="28"/>
        <v/>
      </c>
      <c r="J361" s="46" t="str">
        <f t="shared" si="29"/>
        <v/>
      </c>
      <c r="K361" s="46">
        <f t="shared" si="30"/>
        <v>-2.0000000000000018E-2</v>
      </c>
      <c r="L361" s="49" t="str">
        <f t="shared" si="31"/>
        <v/>
      </c>
      <c r="M361" s="49" t="str">
        <f t="shared" si="31"/>
        <v/>
      </c>
      <c r="N361" s="49" t="str">
        <f t="shared" si="31"/>
        <v>Within Tolerance</v>
      </c>
    </row>
    <row r="362" spans="1:14" s="43" customFormat="1" hidden="1" x14ac:dyDescent="0.3">
      <c r="A362" s="168">
        <v>46157</v>
      </c>
      <c r="B362" s="64">
        <v>46158</v>
      </c>
      <c r="C362" s="142">
        <f t="shared" si="27"/>
        <v>46157</v>
      </c>
      <c r="D362" s="19" t="s">
        <v>29</v>
      </c>
      <c r="E362" s="7" t="s">
        <v>15</v>
      </c>
      <c r="F362" s="118" t="s">
        <v>93</v>
      </c>
      <c r="G362" s="115">
        <v>0.53</v>
      </c>
      <c r="H362" s="116">
        <v>0.51</v>
      </c>
      <c r="I362" s="46" t="str">
        <f t="shared" si="28"/>
        <v/>
      </c>
      <c r="J362" s="46" t="str">
        <f t="shared" si="29"/>
        <v/>
      </c>
      <c r="K362" s="46">
        <f t="shared" si="30"/>
        <v>-2.0000000000000018E-2</v>
      </c>
      <c r="L362" s="49" t="str">
        <f t="shared" si="31"/>
        <v/>
      </c>
      <c r="M362" s="49" t="str">
        <f t="shared" si="31"/>
        <v/>
      </c>
      <c r="N362" s="49" t="str">
        <f t="shared" si="31"/>
        <v>Within Tolerance</v>
      </c>
    </row>
    <row r="363" spans="1:14" s="43" customFormat="1" hidden="1" x14ac:dyDescent="0.3">
      <c r="A363" s="169">
        <v>46158</v>
      </c>
      <c r="B363" s="64">
        <v>46158.083333333299</v>
      </c>
      <c r="C363" s="142">
        <f t="shared" si="27"/>
        <v>46158.083333333299</v>
      </c>
      <c r="D363" s="19" t="s">
        <v>29</v>
      </c>
      <c r="E363" s="7" t="s">
        <v>15</v>
      </c>
      <c r="F363" s="118" t="s">
        <v>93</v>
      </c>
      <c r="G363" s="115">
        <v>0.52</v>
      </c>
      <c r="H363" s="116">
        <v>0.53</v>
      </c>
      <c r="I363" s="46" t="str">
        <f t="shared" si="28"/>
        <v/>
      </c>
      <c r="J363" s="46" t="str">
        <f t="shared" si="29"/>
        <v/>
      </c>
      <c r="K363" s="46">
        <f t="shared" si="30"/>
        <v>1.0000000000000009E-2</v>
      </c>
      <c r="L363" s="49" t="str">
        <f t="shared" si="31"/>
        <v/>
      </c>
      <c r="M363" s="49" t="str">
        <f t="shared" si="31"/>
        <v/>
      </c>
      <c r="N363" s="49" t="str">
        <f t="shared" si="31"/>
        <v>Within Tolerance</v>
      </c>
    </row>
    <row r="364" spans="1:14" s="43" customFormat="1" hidden="1" x14ac:dyDescent="0.3">
      <c r="A364" s="168">
        <v>46158</v>
      </c>
      <c r="B364" s="64">
        <v>46158.166666666701</v>
      </c>
      <c r="C364" s="142">
        <f t="shared" si="27"/>
        <v>46158.166666666701</v>
      </c>
      <c r="D364" s="19" t="s">
        <v>29</v>
      </c>
      <c r="E364" s="7" t="s">
        <v>15</v>
      </c>
      <c r="F364" s="118" t="s">
        <v>93</v>
      </c>
      <c r="G364" s="115">
        <v>0.53</v>
      </c>
      <c r="H364" s="116">
        <v>0.54</v>
      </c>
      <c r="I364" s="46" t="str">
        <f t="shared" si="28"/>
        <v/>
      </c>
      <c r="J364" s="46" t="str">
        <f t="shared" si="29"/>
        <v/>
      </c>
      <c r="K364" s="46">
        <f t="shared" si="30"/>
        <v>1.0000000000000009E-2</v>
      </c>
      <c r="L364" s="49" t="str">
        <f t="shared" si="31"/>
        <v/>
      </c>
      <c r="M364" s="49" t="str">
        <f t="shared" si="31"/>
        <v/>
      </c>
      <c r="N364" s="49" t="str">
        <f t="shared" si="31"/>
        <v>Within Tolerance</v>
      </c>
    </row>
    <row r="365" spans="1:14" s="43" customFormat="1" hidden="1" x14ac:dyDescent="0.3">
      <c r="A365" s="169">
        <v>46158</v>
      </c>
      <c r="B365" s="64">
        <v>46158.267361111102</v>
      </c>
      <c r="C365" s="142">
        <f t="shared" si="27"/>
        <v>46158.267361111102</v>
      </c>
      <c r="D365" s="7" t="s">
        <v>28</v>
      </c>
      <c r="E365" s="7" t="s">
        <v>15</v>
      </c>
      <c r="F365" s="118" t="s">
        <v>93</v>
      </c>
      <c r="G365" s="115">
        <v>0.53</v>
      </c>
      <c r="H365" s="116">
        <v>0.5</v>
      </c>
      <c r="I365" s="46" t="str">
        <f t="shared" si="28"/>
        <v/>
      </c>
      <c r="J365" s="46" t="str">
        <f t="shared" si="29"/>
        <v/>
      </c>
      <c r="K365" s="46">
        <f t="shared" si="30"/>
        <v>-3.0000000000000027E-2</v>
      </c>
      <c r="L365" s="49" t="str">
        <f t="shared" si="31"/>
        <v/>
      </c>
      <c r="M365" s="49" t="str">
        <f t="shared" si="31"/>
        <v/>
      </c>
      <c r="N365" s="49" t="str">
        <f t="shared" si="31"/>
        <v>Out of Tolerance</v>
      </c>
    </row>
    <row r="366" spans="1:14" s="43" customFormat="1" hidden="1" x14ac:dyDescent="0.3">
      <c r="A366" s="190">
        <v>46158</v>
      </c>
      <c r="B366" s="65">
        <v>46157.520833333299</v>
      </c>
      <c r="C366" s="145">
        <f t="shared" si="27"/>
        <v>46158.520833333299</v>
      </c>
      <c r="D366" s="7" t="s">
        <v>22</v>
      </c>
      <c r="E366" s="7" t="s">
        <v>19</v>
      </c>
      <c r="F366" s="118">
        <v>0.57999999999999996</v>
      </c>
      <c r="G366" s="116">
        <v>0.56999999999999995</v>
      </c>
      <c r="H366" s="116">
        <v>0.56999999999999995</v>
      </c>
      <c r="I366" s="46">
        <f t="shared" si="28"/>
        <v>-1.0000000000000009E-2</v>
      </c>
      <c r="J366" s="46">
        <f t="shared" si="29"/>
        <v>-1.0000000000000009E-2</v>
      </c>
      <c r="K366" s="46">
        <f t="shared" si="30"/>
        <v>0</v>
      </c>
      <c r="L366" s="49" t="str">
        <f t="shared" si="31"/>
        <v>Within Tolerance</v>
      </c>
      <c r="M366" s="49" t="str">
        <f t="shared" si="31"/>
        <v>Within Tolerance</v>
      </c>
      <c r="N366" s="49" t="str">
        <f t="shared" si="31"/>
        <v>Within Tolerance</v>
      </c>
    </row>
    <row r="367" spans="1:14" s="43" customFormat="1" hidden="1" x14ac:dyDescent="0.3">
      <c r="A367" s="188">
        <v>46157</v>
      </c>
      <c r="B367" s="66">
        <v>46157.555555555598</v>
      </c>
      <c r="C367" s="220">
        <f t="shared" si="27"/>
        <v>46157.555555555598</v>
      </c>
      <c r="D367" s="28" t="s">
        <v>18</v>
      </c>
      <c r="E367" s="7" t="s">
        <v>19</v>
      </c>
      <c r="F367" s="118">
        <v>0.56999999999999995</v>
      </c>
      <c r="G367" s="116">
        <v>0.55000000000000004</v>
      </c>
      <c r="H367" s="116">
        <v>0.55000000000000004</v>
      </c>
      <c r="I367" s="46">
        <f t="shared" si="28"/>
        <v>-1.9999999999999907E-2</v>
      </c>
      <c r="J367" s="46">
        <f t="shared" si="29"/>
        <v>-1.9999999999999907E-2</v>
      </c>
      <c r="K367" s="46">
        <f t="shared" si="30"/>
        <v>0</v>
      </c>
      <c r="L367" s="49" t="str">
        <f t="shared" si="31"/>
        <v>Within Tolerance</v>
      </c>
      <c r="M367" s="49" t="str">
        <f t="shared" si="31"/>
        <v>Within Tolerance</v>
      </c>
      <c r="N367" s="49" t="str">
        <f t="shared" si="31"/>
        <v>Within Tolerance</v>
      </c>
    </row>
    <row r="368" spans="1:14" s="43" customFormat="1" hidden="1" x14ac:dyDescent="0.3">
      <c r="A368" s="187">
        <v>46157</v>
      </c>
      <c r="B368" s="89">
        <v>46157.451388888898</v>
      </c>
      <c r="C368" s="143">
        <f t="shared" si="27"/>
        <v>46157.451388888898</v>
      </c>
      <c r="D368" s="22" t="s">
        <v>49</v>
      </c>
      <c r="E368" s="7" t="s">
        <v>24</v>
      </c>
      <c r="F368" s="118">
        <v>0.69</v>
      </c>
      <c r="G368" s="115">
        <v>0.64</v>
      </c>
      <c r="H368" s="116">
        <v>0.64</v>
      </c>
      <c r="I368" s="46">
        <f t="shared" si="28"/>
        <v>-4.9999999999999933E-2</v>
      </c>
      <c r="J368" s="46">
        <f t="shared" si="29"/>
        <v>-4.9999999999999933E-2</v>
      </c>
      <c r="K368" s="46">
        <f t="shared" si="30"/>
        <v>0</v>
      </c>
      <c r="L368" s="49" t="str">
        <f t="shared" si="31"/>
        <v>Out of Tolerance</v>
      </c>
      <c r="M368" s="49" t="str">
        <f t="shared" si="31"/>
        <v>Out of Tolerance</v>
      </c>
      <c r="N368" s="49" t="str">
        <f t="shared" si="31"/>
        <v>Within Tolerance</v>
      </c>
    </row>
    <row r="369" spans="1:14" s="43" customFormat="1" hidden="1" x14ac:dyDescent="0.3">
      <c r="A369" s="199">
        <v>46157</v>
      </c>
      <c r="B369" s="90">
        <v>46157.479166666701</v>
      </c>
      <c r="C369" s="148">
        <f t="shared" si="27"/>
        <v>46157.479166666701</v>
      </c>
      <c r="D369" s="7" t="s">
        <v>26</v>
      </c>
      <c r="E369" s="7" t="s">
        <v>24</v>
      </c>
      <c r="F369" s="118">
        <v>0.64</v>
      </c>
      <c r="G369" s="115">
        <v>0.65</v>
      </c>
      <c r="H369" s="116">
        <v>0.66</v>
      </c>
      <c r="I369" s="46">
        <f t="shared" si="28"/>
        <v>1.0000000000000009E-2</v>
      </c>
      <c r="J369" s="46">
        <f t="shared" si="29"/>
        <v>2.0000000000000018E-2</v>
      </c>
      <c r="K369" s="46">
        <f t="shared" si="30"/>
        <v>1.0000000000000009E-2</v>
      </c>
      <c r="L369" s="49" t="str">
        <f t="shared" si="31"/>
        <v>Within Tolerance</v>
      </c>
      <c r="M369" s="49" t="str">
        <f t="shared" si="31"/>
        <v>Within Tolerance</v>
      </c>
      <c r="N369" s="49" t="str">
        <f t="shared" si="31"/>
        <v>Within Tolerance</v>
      </c>
    </row>
    <row r="370" spans="1:14" s="43" customFormat="1" hidden="1" x14ac:dyDescent="0.3">
      <c r="A370" s="200">
        <v>46157</v>
      </c>
      <c r="B370" s="91">
        <v>46157.715277777803</v>
      </c>
      <c r="C370" s="227">
        <f t="shared" si="27"/>
        <v>46157.715277777803</v>
      </c>
      <c r="D370" s="7" t="s">
        <v>25</v>
      </c>
      <c r="E370" s="7" t="s">
        <v>24</v>
      </c>
      <c r="F370" s="118">
        <v>0.57999999999999996</v>
      </c>
      <c r="G370" s="115">
        <v>0.57999999999999996</v>
      </c>
      <c r="H370" s="116">
        <v>0.59</v>
      </c>
      <c r="I370" s="46">
        <f t="shared" si="28"/>
        <v>0</v>
      </c>
      <c r="J370" s="46">
        <f t="shared" si="29"/>
        <v>1.0000000000000009E-2</v>
      </c>
      <c r="K370" s="46">
        <f t="shared" si="30"/>
        <v>1.0000000000000009E-2</v>
      </c>
      <c r="L370" s="49" t="str">
        <f t="shared" si="31"/>
        <v>Within Tolerance</v>
      </c>
      <c r="M370" s="49" t="str">
        <f t="shared" si="31"/>
        <v>Within Tolerance</v>
      </c>
      <c r="N370" s="49" t="str">
        <f t="shared" si="31"/>
        <v>Within Tolerance</v>
      </c>
    </row>
    <row r="371" spans="1:14" s="43" customFormat="1" hidden="1" x14ac:dyDescent="0.3">
      <c r="A371" s="171">
        <v>46158</v>
      </c>
      <c r="B371" s="92">
        <v>46158.333333333299</v>
      </c>
      <c r="C371" s="217">
        <f t="shared" si="27"/>
        <v>46158.333333333299</v>
      </c>
      <c r="D371" s="19" t="s">
        <v>35</v>
      </c>
      <c r="E371" s="7" t="s">
        <v>11</v>
      </c>
      <c r="F371" s="116">
        <v>0.56000000000000005</v>
      </c>
      <c r="G371" s="115">
        <v>0.56000000000000005</v>
      </c>
      <c r="H371" s="116">
        <v>0.59</v>
      </c>
      <c r="I371" s="46">
        <f t="shared" si="28"/>
        <v>0</v>
      </c>
      <c r="J371" s="46">
        <f t="shared" si="29"/>
        <v>2.9999999999999916E-2</v>
      </c>
      <c r="K371" s="46">
        <f t="shared" si="30"/>
        <v>2.9999999999999916E-2</v>
      </c>
      <c r="L371" s="49" t="str">
        <f t="shared" si="31"/>
        <v>Within Tolerance</v>
      </c>
      <c r="M371" s="49" t="str">
        <f t="shared" si="31"/>
        <v>Out of Tolerance</v>
      </c>
      <c r="N371" s="49" t="str">
        <f t="shared" si="31"/>
        <v>Out of Tolerance</v>
      </c>
    </row>
    <row r="372" spans="1:14" s="43" customFormat="1" hidden="1" x14ac:dyDescent="0.3">
      <c r="A372" s="170">
        <v>46158</v>
      </c>
      <c r="B372" s="92">
        <v>46158.416666666701</v>
      </c>
      <c r="C372" s="217">
        <f t="shared" si="27"/>
        <v>46158.416666666701</v>
      </c>
      <c r="D372" s="19" t="s">
        <v>35</v>
      </c>
      <c r="E372" s="7" t="s">
        <v>11</v>
      </c>
      <c r="F372" s="118" t="s">
        <v>93</v>
      </c>
      <c r="G372" s="115">
        <v>0.56000000000000005</v>
      </c>
      <c r="H372" s="116">
        <v>0.61</v>
      </c>
      <c r="I372" s="46" t="str">
        <f t="shared" si="28"/>
        <v/>
      </c>
      <c r="J372" s="46" t="str">
        <f t="shared" si="29"/>
        <v/>
      </c>
      <c r="K372" s="46">
        <f t="shared" si="30"/>
        <v>4.9999999999999933E-2</v>
      </c>
      <c r="L372" s="49" t="str">
        <f t="shared" si="31"/>
        <v/>
      </c>
      <c r="M372" s="49" t="str">
        <f t="shared" si="31"/>
        <v/>
      </c>
      <c r="N372" s="49" t="str">
        <f t="shared" si="31"/>
        <v>Out of Tolerance</v>
      </c>
    </row>
    <row r="373" spans="1:14" s="43" customFormat="1" hidden="1" x14ac:dyDescent="0.3">
      <c r="A373" s="171">
        <v>46158</v>
      </c>
      <c r="B373" s="92">
        <v>46158.5</v>
      </c>
      <c r="C373" s="217">
        <f t="shared" si="27"/>
        <v>46158.5</v>
      </c>
      <c r="D373" s="19" t="s">
        <v>35</v>
      </c>
      <c r="E373" s="7" t="s">
        <v>11</v>
      </c>
      <c r="F373" s="118" t="s">
        <v>93</v>
      </c>
      <c r="G373" s="115">
        <v>0.57999999999999996</v>
      </c>
      <c r="H373" s="116">
        <v>0.6</v>
      </c>
      <c r="I373" s="46" t="str">
        <f t="shared" si="28"/>
        <v/>
      </c>
      <c r="J373" s="46" t="str">
        <f t="shared" si="29"/>
        <v/>
      </c>
      <c r="K373" s="46">
        <f t="shared" si="30"/>
        <v>2.0000000000000018E-2</v>
      </c>
      <c r="L373" s="49" t="str">
        <f t="shared" si="31"/>
        <v/>
      </c>
      <c r="M373" s="49" t="str">
        <f t="shared" si="31"/>
        <v/>
      </c>
      <c r="N373" s="49" t="str">
        <f t="shared" si="31"/>
        <v>Within Tolerance</v>
      </c>
    </row>
    <row r="374" spans="1:14" s="43" customFormat="1" hidden="1" x14ac:dyDescent="0.3">
      <c r="A374" s="170">
        <v>46158</v>
      </c>
      <c r="B374" s="92">
        <v>46158.583333333299</v>
      </c>
      <c r="C374" s="217">
        <f t="shared" si="27"/>
        <v>46158.583333333299</v>
      </c>
      <c r="D374" s="19" t="s">
        <v>35</v>
      </c>
      <c r="E374" s="7" t="s">
        <v>11</v>
      </c>
      <c r="F374" s="118" t="s">
        <v>93</v>
      </c>
      <c r="G374" s="115">
        <v>0.57999999999999996</v>
      </c>
      <c r="H374" s="116">
        <v>0.61</v>
      </c>
      <c r="I374" s="46" t="str">
        <f t="shared" si="28"/>
        <v/>
      </c>
      <c r="J374" s="46" t="str">
        <f t="shared" si="29"/>
        <v/>
      </c>
      <c r="K374" s="46">
        <f t="shared" si="30"/>
        <v>3.0000000000000027E-2</v>
      </c>
      <c r="L374" s="49" t="str">
        <f t="shared" si="31"/>
        <v/>
      </c>
      <c r="M374" s="49" t="str">
        <f t="shared" si="31"/>
        <v/>
      </c>
      <c r="N374" s="49" t="str">
        <f t="shared" si="31"/>
        <v>Out of Tolerance</v>
      </c>
    </row>
    <row r="375" spans="1:14" s="43" customFormat="1" hidden="1" x14ac:dyDescent="0.3">
      <c r="A375" s="171">
        <v>46158</v>
      </c>
      <c r="B375" s="92">
        <v>46158.708333333299</v>
      </c>
      <c r="C375" s="217">
        <f t="shared" si="27"/>
        <v>46158.708333333299</v>
      </c>
      <c r="D375" s="19" t="s">
        <v>37</v>
      </c>
      <c r="E375" s="7" t="s">
        <v>11</v>
      </c>
      <c r="F375" s="118" t="s">
        <v>93</v>
      </c>
      <c r="G375" s="115">
        <v>0.45</v>
      </c>
      <c r="H375" s="116">
        <v>0.48</v>
      </c>
      <c r="I375" s="46" t="str">
        <f t="shared" si="28"/>
        <v/>
      </c>
      <c r="J375" s="46" t="str">
        <f t="shared" si="29"/>
        <v/>
      </c>
      <c r="K375" s="46">
        <f t="shared" si="30"/>
        <v>2.9999999999999971E-2</v>
      </c>
      <c r="L375" s="49" t="str">
        <f t="shared" si="31"/>
        <v/>
      </c>
      <c r="M375" s="49" t="str">
        <f t="shared" si="31"/>
        <v/>
      </c>
      <c r="N375" s="49" t="str">
        <f t="shared" si="31"/>
        <v>Out of Tolerance</v>
      </c>
    </row>
    <row r="376" spans="1:14" s="43" customFormat="1" hidden="1" x14ac:dyDescent="0.3">
      <c r="A376" s="170">
        <v>46158</v>
      </c>
      <c r="B376" s="92">
        <v>46158.770833333299</v>
      </c>
      <c r="C376" s="217">
        <f t="shared" si="27"/>
        <v>46158.770833333299</v>
      </c>
      <c r="D376" s="19" t="s">
        <v>37</v>
      </c>
      <c r="E376" s="7" t="s">
        <v>11</v>
      </c>
      <c r="F376" s="118">
        <v>0.42</v>
      </c>
      <c r="G376" s="115">
        <v>0.46</v>
      </c>
      <c r="H376" s="116">
        <v>0.46</v>
      </c>
      <c r="I376" s="46">
        <f t="shared" si="28"/>
        <v>4.0000000000000036E-2</v>
      </c>
      <c r="J376" s="46">
        <f t="shared" si="29"/>
        <v>4.0000000000000036E-2</v>
      </c>
      <c r="K376" s="46">
        <f t="shared" si="30"/>
        <v>0</v>
      </c>
      <c r="L376" s="49" t="str">
        <f t="shared" si="31"/>
        <v>Out of Tolerance</v>
      </c>
      <c r="M376" s="49" t="str">
        <f t="shared" si="31"/>
        <v>Out of Tolerance</v>
      </c>
      <c r="N376" s="49" t="str">
        <f t="shared" si="31"/>
        <v>Within Tolerance</v>
      </c>
    </row>
    <row r="377" spans="1:14" s="43" customFormat="1" hidden="1" x14ac:dyDescent="0.3">
      <c r="A377" s="171">
        <v>46158</v>
      </c>
      <c r="B377" s="92">
        <v>46158.833333333299</v>
      </c>
      <c r="C377" s="217">
        <f t="shared" si="27"/>
        <v>46158.833333333299</v>
      </c>
      <c r="D377" s="19" t="s">
        <v>37</v>
      </c>
      <c r="E377" s="7" t="s">
        <v>11</v>
      </c>
      <c r="F377" s="118">
        <v>0.42</v>
      </c>
      <c r="G377" s="115">
        <v>0.44</v>
      </c>
      <c r="H377" s="116">
        <v>0.44</v>
      </c>
      <c r="I377" s="46">
        <f t="shared" si="28"/>
        <v>2.0000000000000018E-2</v>
      </c>
      <c r="J377" s="46">
        <f t="shared" si="29"/>
        <v>2.0000000000000018E-2</v>
      </c>
      <c r="K377" s="46">
        <f t="shared" si="30"/>
        <v>0</v>
      </c>
      <c r="L377" s="49" t="str">
        <f t="shared" si="31"/>
        <v>Within Tolerance</v>
      </c>
      <c r="M377" s="49" t="str">
        <f t="shared" si="31"/>
        <v>Within Tolerance</v>
      </c>
      <c r="N377" s="49" t="str">
        <f t="shared" si="31"/>
        <v>Within Tolerance</v>
      </c>
    </row>
    <row r="378" spans="1:14" s="43" customFormat="1" hidden="1" x14ac:dyDescent="0.3">
      <c r="A378" s="170">
        <v>46158</v>
      </c>
      <c r="B378" s="92">
        <v>46158.895833333299</v>
      </c>
      <c r="C378" s="217">
        <f t="shared" si="27"/>
        <v>46158.895833333299</v>
      </c>
      <c r="D378" s="19" t="s">
        <v>37</v>
      </c>
      <c r="E378" s="7" t="s">
        <v>11</v>
      </c>
      <c r="F378" s="118" t="s">
        <v>93</v>
      </c>
      <c r="G378" s="115">
        <v>0.45</v>
      </c>
      <c r="H378" s="116">
        <v>0.49</v>
      </c>
      <c r="I378" s="46" t="str">
        <f t="shared" si="28"/>
        <v/>
      </c>
      <c r="J378" s="46" t="str">
        <f t="shared" si="29"/>
        <v/>
      </c>
      <c r="K378" s="46">
        <f t="shared" si="30"/>
        <v>3.999999999999998E-2</v>
      </c>
      <c r="L378" s="49" t="str">
        <f t="shared" si="31"/>
        <v/>
      </c>
      <c r="M378" s="49" t="str">
        <f t="shared" si="31"/>
        <v/>
      </c>
      <c r="N378" s="49" t="str">
        <f t="shared" si="31"/>
        <v>Out of Tolerance</v>
      </c>
    </row>
    <row r="379" spans="1:14" s="43" customFormat="1" hidden="1" x14ac:dyDescent="0.3">
      <c r="A379" s="171">
        <v>46158</v>
      </c>
      <c r="B379" s="92">
        <v>46159</v>
      </c>
      <c r="C379" s="217">
        <f t="shared" si="27"/>
        <v>46158</v>
      </c>
      <c r="D379" s="19" t="s">
        <v>37</v>
      </c>
      <c r="E379" s="7" t="s">
        <v>11</v>
      </c>
      <c r="F379" s="118">
        <v>0.42</v>
      </c>
      <c r="G379" s="115">
        <v>0.45</v>
      </c>
      <c r="H379" s="116">
        <v>0.45</v>
      </c>
      <c r="I379" s="46">
        <f t="shared" si="28"/>
        <v>3.0000000000000027E-2</v>
      </c>
      <c r="J379" s="46">
        <f t="shared" si="29"/>
        <v>3.0000000000000027E-2</v>
      </c>
      <c r="K379" s="46">
        <f t="shared" si="30"/>
        <v>0</v>
      </c>
      <c r="L379" s="49" t="str">
        <f t="shared" si="31"/>
        <v>Out of Tolerance</v>
      </c>
      <c r="M379" s="49" t="str">
        <f t="shared" si="31"/>
        <v>Out of Tolerance</v>
      </c>
      <c r="N379" s="49" t="str">
        <f t="shared" si="31"/>
        <v>Within Tolerance</v>
      </c>
    </row>
    <row r="380" spans="1:14" s="43" customFormat="1" hidden="1" x14ac:dyDescent="0.3">
      <c r="A380" s="170">
        <v>46159</v>
      </c>
      <c r="B380" s="92">
        <v>46159.083333333299</v>
      </c>
      <c r="C380" s="217">
        <f t="shared" si="27"/>
        <v>46159.083333333299</v>
      </c>
      <c r="D380" s="19" t="s">
        <v>37</v>
      </c>
      <c r="E380" s="7" t="s">
        <v>11</v>
      </c>
      <c r="F380" s="118" t="s">
        <v>93</v>
      </c>
      <c r="G380" s="115">
        <v>0.45</v>
      </c>
      <c r="H380" s="116">
        <v>0.47</v>
      </c>
      <c r="I380" s="46" t="str">
        <f t="shared" si="28"/>
        <v/>
      </c>
      <c r="J380" s="46" t="str">
        <f t="shared" si="29"/>
        <v/>
      </c>
      <c r="K380" s="46">
        <f t="shared" si="30"/>
        <v>1.9999999999999962E-2</v>
      </c>
      <c r="L380" s="49" t="str">
        <f t="shared" si="31"/>
        <v/>
      </c>
      <c r="M380" s="49" t="str">
        <f t="shared" si="31"/>
        <v/>
      </c>
      <c r="N380" s="49" t="str">
        <f t="shared" si="31"/>
        <v>Within Tolerance</v>
      </c>
    </row>
    <row r="381" spans="1:14" s="43" customFormat="1" hidden="1" x14ac:dyDescent="0.3">
      <c r="A381" s="171">
        <v>46159</v>
      </c>
      <c r="B381" s="92">
        <v>46159.256944444402</v>
      </c>
      <c r="C381" s="217">
        <f t="shared" si="27"/>
        <v>46159.256944444402</v>
      </c>
      <c r="D381" s="19" t="s">
        <v>41</v>
      </c>
      <c r="E381" s="8" t="s">
        <v>11</v>
      </c>
      <c r="F381" s="118" t="s">
        <v>93</v>
      </c>
      <c r="G381" s="115">
        <v>0.54</v>
      </c>
      <c r="H381" s="116">
        <v>0.54</v>
      </c>
      <c r="I381" s="46" t="str">
        <f t="shared" si="28"/>
        <v/>
      </c>
      <c r="J381" s="46" t="str">
        <f t="shared" si="29"/>
        <v/>
      </c>
      <c r="K381" s="46">
        <f t="shared" si="30"/>
        <v>0</v>
      </c>
      <c r="L381" s="49" t="str">
        <f t="shared" si="31"/>
        <v/>
      </c>
      <c r="M381" s="49" t="str">
        <f t="shared" si="31"/>
        <v/>
      </c>
      <c r="N381" s="49" t="str">
        <f t="shared" si="31"/>
        <v>Within Tolerance</v>
      </c>
    </row>
    <row r="382" spans="1:14" s="43" customFormat="1" hidden="1" x14ac:dyDescent="0.3">
      <c r="A382" s="168">
        <v>46158</v>
      </c>
      <c r="B382" s="64">
        <v>46158.333333333299</v>
      </c>
      <c r="C382" s="142">
        <f t="shared" si="27"/>
        <v>46158.333333333299</v>
      </c>
      <c r="D382" s="7" t="s">
        <v>28</v>
      </c>
      <c r="E382" s="7" t="s">
        <v>15</v>
      </c>
      <c r="F382" s="118">
        <v>0.51</v>
      </c>
      <c r="G382" s="115">
        <v>0.54</v>
      </c>
      <c r="H382" s="116">
        <v>0.52</v>
      </c>
      <c r="I382" s="46">
        <f t="shared" si="28"/>
        <v>3.0000000000000027E-2</v>
      </c>
      <c r="J382" s="46">
        <f t="shared" si="29"/>
        <v>1.0000000000000009E-2</v>
      </c>
      <c r="K382" s="46">
        <f t="shared" si="30"/>
        <v>-2.0000000000000018E-2</v>
      </c>
      <c r="L382" s="49" t="str">
        <f t="shared" si="31"/>
        <v>Out of Tolerance</v>
      </c>
      <c r="M382" s="49" t="str">
        <f t="shared" si="31"/>
        <v>Within Tolerance</v>
      </c>
      <c r="N382" s="49" t="str">
        <f t="shared" si="31"/>
        <v>Within Tolerance</v>
      </c>
    </row>
    <row r="383" spans="1:14" s="43" customFormat="1" hidden="1" x14ac:dyDescent="0.3">
      <c r="A383" s="169">
        <v>46158</v>
      </c>
      <c r="B383" s="64">
        <v>46158.40625</v>
      </c>
      <c r="C383" s="142">
        <f t="shared" si="27"/>
        <v>46158.40625</v>
      </c>
      <c r="D383" s="19" t="s">
        <v>40</v>
      </c>
      <c r="E383" s="7" t="s">
        <v>15</v>
      </c>
      <c r="F383" s="118" t="s">
        <v>93</v>
      </c>
      <c r="G383" s="115">
        <v>0.52</v>
      </c>
      <c r="H383" s="116">
        <v>0.54</v>
      </c>
      <c r="I383" s="46" t="str">
        <f t="shared" si="28"/>
        <v/>
      </c>
      <c r="J383" s="46" t="str">
        <f t="shared" si="29"/>
        <v/>
      </c>
      <c r="K383" s="46">
        <f t="shared" si="30"/>
        <v>2.0000000000000018E-2</v>
      </c>
      <c r="L383" s="49" t="str">
        <f t="shared" si="31"/>
        <v/>
      </c>
      <c r="M383" s="49" t="str">
        <f t="shared" si="31"/>
        <v/>
      </c>
      <c r="N383" s="49" t="str">
        <f t="shared" si="31"/>
        <v>Within Tolerance</v>
      </c>
    </row>
    <row r="384" spans="1:14" hidden="1" x14ac:dyDescent="0.3">
      <c r="A384" s="168">
        <v>46158</v>
      </c>
      <c r="B384" s="64">
        <v>46158.5</v>
      </c>
      <c r="C384" s="142">
        <f t="shared" si="27"/>
        <v>46158.5</v>
      </c>
      <c r="D384" s="19" t="s">
        <v>40</v>
      </c>
      <c r="E384" s="7" t="s">
        <v>15</v>
      </c>
      <c r="F384" s="118" t="s">
        <v>93</v>
      </c>
      <c r="G384" s="115">
        <v>0.54</v>
      </c>
      <c r="H384" s="116">
        <v>0.53</v>
      </c>
      <c r="I384" s="46" t="str">
        <f t="shared" si="28"/>
        <v/>
      </c>
      <c r="J384" s="46" t="str">
        <f t="shared" si="29"/>
        <v/>
      </c>
      <c r="K384" s="46">
        <f t="shared" si="30"/>
        <v>-1.0000000000000009E-2</v>
      </c>
      <c r="L384" s="49" t="str">
        <f t="shared" si="31"/>
        <v/>
      </c>
      <c r="M384" s="49" t="str">
        <f t="shared" si="31"/>
        <v/>
      </c>
      <c r="N384" s="49" t="str">
        <f t="shared" si="31"/>
        <v>Within Tolerance</v>
      </c>
    </row>
    <row r="385" spans="1:14" hidden="1" x14ac:dyDescent="0.3">
      <c r="A385" s="169">
        <v>46158</v>
      </c>
      <c r="B385" s="64">
        <v>46158.583333333299</v>
      </c>
      <c r="C385" s="142">
        <f t="shared" si="27"/>
        <v>46158.583333333299</v>
      </c>
      <c r="D385" s="19" t="s">
        <v>40</v>
      </c>
      <c r="E385" s="7" t="s">
        <v>15</v>
      </c>
      <c r="F385" s="118" t="s">
        <v>93</v>
      </c>
      <c r="G385" s="115">
        <v>0.55000000000000004</v>
      </c>
      <c r="H385" s="116">
        <v>0.54</v>
      </c>
      <c r="I385" s="46" t="str">
        <f t="shared" si="28"/>
        <v/>
      </c>
      <c r="J385" s="46" t="str">
        <f t="shared" si="29"/>
        <v/>
      </c>
      <c r="K385" s="46">
        <f t="shared" si="30"/>
        <v>-1.0000000000000009E-2</v>
      </c>
      <c r="L385" s="49" t="str">
        <f t="shared" si="31"/>
        <v/>
      </c>
      <c r="M385" s="49" t="str">
        <f t="shared" si="31"/>
        <v/>
      </c>
      <c r="N385" s="49" t="str">
        <f t="shared" si="31"/>
        <v>Within Tolerance</v>
      </c>
    </row>
    <row r="386" spans="1:14" hidden="1" x14ac:dyDescent="0.3">
      <c r="A386" s="168">
        <v>46158</v>
      </c>
      <c r="B386" s="64">
        <v>46158.680555555598</v>
      </c>
      <c r="C386" s="142">
        <f t="shared" ref="C386:C449" si="32">A386+MOD(B386,1)</f>
        <v>46158.680555555598</v>
      </c>
      <c r="D386" s="19" t="s">
        <v>40</v>
      </c>
      <c r="E386" s="7" t="s">
        <v>15</v>
      </c>
      <c r="F386" s="118">
        <v>0.56000000000000005</v>
      </c>
      <c r="G386" s="115">
        <v>0.53</v>
      </c>
      <c r="H386" s="116">
        <v>0.53</v>
      </c>
      <c r="I386" s="46">
        <f t="shared" si="28"/>
        <v>-3.0000000000000027E-2</v>
      </c>
      <c r="J386" s="46">
        <f t="shared" si="29"/>
        <v>-3.0000000000000027E-2</v>
      </c>
      <c r="K386" s="46">
        <f t="shared" si="30"/>
        <v>0</v>
      </c>
      <c r="L386" s="49" t="str">
        <f t="shared" si="31"/>
        <v>Out of Tolerance</v>
      </c>
      <c r="M386" s="49" t="str">
        <f t="shared" si="31"/>
        <v>Out of Tolerance</v>
      </c>
      <c r="N386" s="49" t="str">
        <f t="shared" si="31"/>
        <v>Within Tolerance</v>
      </c>
    </row>
    <row r="387" spans="1:14" hidden="1" x14ac:dyDescent="0.3">
      <c r="A387" s="169">
        <v>46158</v>
      </c>
      <c r="B387" s="64">
        <v>46158.784722222197</v>
      </c>
      <c r="C387" s="142">
        <f t="shared" si="32"/>
        <v>46158.784722222197</v>
      </c>
      <c r="D387" s="19" t="s">
        <v>16</v>
      </c>
      <c r="E387" s="7" t="s">
        <v>15</v>
      </c>
      <c r="F387" s="118" t="s">
        <v>93</v>
      </c>
      <c r="G387" s="115">
        <v>0.51</v>
      </c>
      <c r="H387" s="116">
        <v>0.5</v>
      </c>
      <c r="I387" s="46" t="str">
        <f t="shared" ref="I387:I450" si="33">IF(OR(TRIM(F387&amp;"")="",TRIM(G387&amp;"")="",F387="-",G387="-"),"",G387-F387)</f>
        <v/>
      </c>
      <c r="J387" s="46" t="str">
        <f t="shared" ref="J387:J450" si="34">IF(OR(TRIM(F387&amp;"")="",TRIM(H387&amp;"")="",F387="-",H387="-"),"",H387-F387)</f>
        <v/>
      </c>
      <c r="K387" s="46">
        <f t="shared" ref="K387:K450" si="35">IF(OR(TRIM(G387&amp;"")="",TRIM(H387&amp;"")="",G387="-",H387="-"),"",H387-G387)</f>
        <v>-1.0000000000000009E-2</v>
      </c>
      <c r="L387" s="49" t="str">
        <f t="shared" ref="L387:N450" si="36">IF(ISNUMBER(I387),IF(ABS(I387)&lt;=0.02,"Within Tolerance","Out of Tolerance"),"")</f>
        <v/>
      </c>
      <c r="M387" s="49" t="str">
        <f t="shared" si="36"/>
        <v/>
      </c>
      <c r="N387" s="49" t="str">
        <f t="shared" si="36"/>
        <v>Within Tolerance</v>
      </c>
    </row>
    <row r="388" spans="1:14" hidden="1" x14ac:dyDescent="0.3">
      <c r="A388" s="168">
        <v>46158</v>
      </c>
      <c r="B388" s="64">
        <v>46158.833333333299</v>
      </c>
      <c r="C388" s="142">
        <f t="shared" si="32"/>
        <v>46158.833333333299</v>
      </c>
      <c r="D388" s="19" t="s">
        <v>16</v>
      </c>
      <c r="E388" s="7" t="s">
        <v>15</v>
      </c>
      <c r="F388" s="119">
        <v>0.56999999999999995</v>
      </c>
      <c r="G388" s="115">
        <v>0.52</v>
      </c>
      <c r="H388" s="116">
        <v>0.5</v>
      </c>
      <c r="I388" s="46">
        <f t="shared" si="33"/>
        <v>-4.9999999999999933E-2</v>
      </c>
      <c r="J388" s="46">
        <f t="shared" si="34"/>
        <v>-6.9999999999999951E-2</v>
      </c>
      <c r="K388" s="46">
        <f t="shared" si="35"/>
        <v>-2.0000000000000018E-2</v>
      </c>
      <c r="L388" s="49" t="str">
        <f t="shared" si="36"/>
        <v>Out of Tolerance</v>
      </c>
      <c r="M388" s="49" t="str">
        <f t="shared" si="36"/>
        <v>Out of Tolerance</v>
      </c>
      <c r="N388" s="49" t="str">
        <f t="shared" si="36"/>
        <v>Within Tolerance</v>
      </c>
    </row>
    <row r="389" spans="1:14" hidden="1" x14ac:dyDescent="0.3">
      <c r="A389" s="169">
        <v>46158</v>
      </c>
      <c r="B389" s="64">
        <v>46158.916666666701</v>
      </c>
      <c r="C389" s="142">
        <f t="shared" si="32"/>
        <v>46158.916666666701</v>
      </c>
      <c r="D389" s="19" t="s">
        <v>16</v>
      </c>
      <c r="E389" s="7" t="s">
        <v>15</v>
      </c>
      <c r="F389" s="118" t="s">
        <v>93</v>
      </c>
      <c r="G389" s="115">
        <v>0.5</v>
      </c>
      <c r="H389" s="116">
        <v>0.51</v>
      </c>
      <c r="I389" s="46" t="str">
        <f t="shared" si="33"/>
        <v/>
      </c>
      <c r="J389" s="46" t="str">
        <f t="shared" si="34"/>
        <v/>
      </c>
      <c r="K389" s="46">
        <f t="shared" si="35"/>
        <v>1.0000000000000009E-2</v>
      </c>
      <c r="L389" s="49" t="str">
        <f t="shared" si="36"/>
        <v/>
      </c>
      <c r="M389" s="49" t="str">
        <f t="shared" si="36"/>
        <v/>
      </c>
      <c r="N389" s="49" t="str">
        <f t="shared" si="36"/>
        <v>Within Tolerance</v>
      </c>
    </row>
    <row r="390" spans="1:14" hidden="1" x14ac:dyDescent="0.3">
      <c r="A390" s="168">
        <v>46158</v>
      </c>
      <c r="B390" s="64">
        <v>46159</v>
      </c>
      <c r="C390" s="142">
        <f t="shared" si="32"/>
        <v>46158</v>
      </c>
      <c r="D390" s="19" t="s">
        <v>16</v>
      </c>
      <c r="E390" s="7" t="s">
        <v>15</v>
      </c>
      <c r="F390" s="118" t="s">
        <v>93</v>
      </c>
      <c r="G390" s="115">
        <v>0.51</v>
      </c>
      <c r="H390" s="116">
        <v>0.49</v>
      </c>
      <c r="I390" s="46" t="str">
        <f t="shared" si="33"/>
        <v/>
      </c>
      <c r="J390" s="46" t="str">
        <f t="shared" si="34"/>
        <v/>
      </c>
      <c r="K390" s="46">
        <f t="shared" si="35"/>
        <v>-2.0000000000000018E-2</v>
      </c>
      <c r="L390" s="49" t="str">
        <f t="shared" si="36"/>
        <v/>
      </c>
      <c r="M390" s="49" t="str">
        <f t="shared" si="36"/>
        <v/>
      </c>
      <c r="N390" s="49" t="str">
        <f t="shared" si="36"/>
        <v>Within Tolerance</v>
      </c>
    </row>
    <row r="391" spans="1:14" hidden="1" x14ac:dyDescent="0.3">
      <c r="A391" s="169">
        <v>46159</v>
      </c>
      <c r="B391" s="64">
        <v>46159.083333333299</v>
      </c>
      <c r="C391" s="142">
        <f t="shared" si="32"/>
        <v>46159.083333333299</v>
      </c>
      <c r="D391" s="19" t="s">
        <v>41</v>
      </c>
      <c r="E391" s="7" t="s">
        <v>15</v>
      </c>
      <c r="F391" s="118" t="s">
        <v>93</v>
      </c>
      <c r="G391" s="115">
        <v>0.56000000000000005</v>
      </c>
      <c r="H391" s="116">
        <v>0.56999999999999995</v>
      </c>
      <c r="I391" s="46" t="str">
        <f t="shared" si="33"/>
        <v/>
      </c>
      <c r="J391" s="46" t="str">
        <f t="shared" si="34"/>
        <v/>
      </c>
      <c r="K391" s="46">
        <f t="shared" si="35"/>
        <v>9.9999999999998979E-3</v>
      </c>
      <c r="L391" s="49" t="str">
        <f t="shared" si="36"/>
        <v/>
      </c>
      <c r="M391" s="49" t="str">
        <f t="shared" si="36"/>
        <v/>
      </c>
      <c r="N391" s="49" t="str">
        <f t="shared" si="36"/>
        <v>Within Tolerance</v>
      </c>
    </row>
    <row r="392" spans="1:14" hidden="1" x14ac:dyDescent="0.3">
      <c r="A392" s="168">
        <v>46159</v>
      </c>
      <c r="B392" s="64">
        <v>46159.125</v>
      </c>
      <c r="C392" s="142">
        <f t="shared" si="32"/>
        <v>46159.125</v>
      </c>
      <c r="D392" s="19" t="s">
        <v>41</v>
      </c>
      <c r="E392" s="7" t="s">
        <v>15</v>
      </c>
      <c r="F392" s="118" t="s">
        <v>93</v>
      </c>
      <c r="G392" s="115">
        <v>0.53</v>
      </c>
      <c r="H392" s="116">
        <v>0.55000000000000004</v>
      </c>
      <c r="I392" s="46" t="str">
        <f t="shared" si="33"/>
        <v/>
      </c>
      <c r="J392" s="46" t="str">
        <f t="shared" si="34"/>
        <v/>
      </c>
      <c r="K392" s="46">
        <f t="shared" si="35"/>
        <v>2.0000000000000018E-2</v>
      </c>
      <c r="L392" s="49" t="str">
        <f t="shared" si="36"/>
        <v/>
      </c>
      <c r="M392" s="49" t="str">
        <f t="shared" si="36"/>
        <v/>
      </c>
      <c r="N392" s="49" t="str">
        <f t="shared" si="36"/>
        <v>Within Tolerance</v>
      </c>
    </row>
    <row r="393" spans="1:14" hidden="1" x14ac:dyDescent="0.3">
      <c r="A393" s="169">
        <v>46159</v>
      </c>
      <c r="B393" s="64">
        <v>46159.166666666701</v>
      </c>
      <c r="C393" s="142">
        <f t="shared" si="32"/>
        <v>46159.166666666701</v>
      </c>
      <c r="D393" s="19" t="s">
        <v>41</v>
      </c>
      <c r="E393" s="7" t="s">
        <v>15</v>
      </c>
      <c r="F393" s="118">
        <v>0.54</v>
      </c>
      <c r="G393" s="115">
        <v>0.54</v>
      </c>
      <c r="H393" s="116">
        <v>0.55000000000000004</v>
      </c>
      <c r="I393" s="46">
        <f t="shared" si="33"/>
        <v>0</v>
      </c>
      <c r="J393" s="46">
        <f t="shared" si="34"/>
        <v>1.0000000000000009E-2</v>
      </c>
      <c r="K393" s="46">
        <f t="shared" si="35"/>
        <v>1.0000000000000009E-2</v>
      </c>
      <c r="L393" s="49" t="str">
        <f t="shared" si="36"/>
        <v>Within Tolerance</v>
      </c>
      <c r="M393" s="49" t="str">
        <f t="shared" si="36"/>
        <v>Within Tolerance</v>
      </c>
      <c r="N393" s="49" t="str">
        <f t="shared" si="36"/>
        <v>Within Tolerance</v>
      </c>
    </row>
    <row r="394" spans="1:14" hidden="1" x14ac:dyDescent="0.3">
      <c r="A394" s="168">
        <v>46159</v>
      </c>
      <c r="B394" s="64">
        <v>46159.25</v>
      </c>
      <c r="C394" s="142">
        <f t="shared" si="32"/>
        <v>46159.25</v>
      </c>
      <c r="D394" s="19" t="s">
        <v>41</v>
      </c>
      <c r="E394" s="7" t="s">
        <v>15</v>
      </c>
      <c r="F394" s="118" t="s">
        <v>93</v>
      </c>
      <c r="G394" s="115">
        <v>0.53</v>
      </c>
      <c r="H394" s="116">
        <v>0.54</v>
      </c>
      <c r="I394" s="46" t="str">
        <f t="shared" si="33"/>
        <v/>
      </c>
      <c r="J394" s="46" t="str">
        <f t="shared" si="34"/>
        <v/>
      </c>
      <c r="K394" s="46">
        <f t="shared" si="35"/>
        <v>1.0000000000000009E-2</v>
      </c>
      <c r="L394" s="49" t="str">
        <f t="shared" si="36"/>
        <v/>
      </c>
      <c r="M394" s="49" t="str">
        <f t="shared" si="36"/>
        <v/>
      </c>
      <c r="N394" s="49" t="str">
        <f t="shared" si="36"/>
        <v>Within Tolerance</v>
      </c>
    </row>
    <row r="395" spans="1:14" hidden="1" x14ac:dyDescent="0.3">
      <c r="A395" s="173">
        <v>46158</v>
      </c>
      <c r="B395" s="93">
        <v>46158.399305555598</v>
      </c>
      <c r="C395" s="143">
        <f t="shared" si="32"/>
        <v>46158.399305555598</v>
      </c>
      <c r="D395" s="7" t="s">
        <v>22</v>
      </c>
      <c r="E395" s="15" t="s">
        <v>19</v>
      </c>
      <c r="F395" s="118">
        <v>0.55000000000000004</v>
      </c>
      <c r="G395" s="115">
        <v>0.56999999999999995</v>
      </c>
      <c r="H395" s="116">
        <v>0.56999999999999995</v>
      </c>
      <c r="I395" s="46">
        <f t="shared" si="33"/>
        <v>1.9999999999999907E-2</v>
      </c>
      <c r="J395" s="46">
        <f t="shared" si="34"/>
        <v>1.9999999999999907E-2</v>
      </c>
      <c r="K395" s="46">
        <f t="shared" si="35"/>
        <v>0</v>
      </c>
      <c r="L395" s="49" t="str">
        <f t="shared" si="36"/>
        <v>Within Tolerance</v>
      </c>
      <c r="M395" s="49" t="str">
        <f t="shared" si="36"/>
        <v>Within Tolerance</v>
      </c>
      <c r="N395" s="49" t="str">
        <f t="shared" si="36"/>
        <v>Within Tolerance</v>
      </c>
    </row>
    <row r="396" spans="1:14" hidden="1" x14ac:dyDescent="0.3">
      <c r="A396" s="201">
        <v>46158</v>
      </c>
      <c r="B396" s="94">
        <v>46158.458333333299</v>
      </c>
      <c r="C396" s="224">
        <f t="shared" si="32"/>
        <v>46158.458333333299</v>
      </c>
      <c r="D396" s="31" t="s">
        <v>20</v>
      </c>
      <c r="E396" s="15" t="s">
        <v>19</v>
      </c>
      <c r="F396" s="118">
        <v>0.57999999999999996</v>
      </c>
      <c r="G396" s="115">
        <v>0.57999999999999996</v>
      </c>
      <c r="H396" s="116">
        <v>0.57999999999999996</v>
      </c>
      <c r="I396" s="46">
        <f t="shared" si="33"/>
        <v>0</v>
      </c>
      <c r="J396" s="46">
        <f t="shared" si="34"/>
        <v>0</v>
      </c>
      <c r="K396" s="46">
        <f t="shared" si="35"/>
        <v>0</v>
      </c>
      <c r="L396" s="49" t="str">
        <f t="shared" si="36"/>
        <v>Within Tolerance</v>
      </c>
      <c r="M396" s="49" t="str">
        <f t="shared" si="36"/>
        <v>Within Tolerance</v>
      </c>
      <c r="N396" s="49" t="str">
        <f t="shared" si="36"/>
        <v>Within Tolerance</v>
      </c>
    </row>
    <row r="397" spans="1:14" hidden="1" x14ac:dyDescent="0.3">
      <c r="A397" s="189">
        <v>46158</v>
      </c>
      <c r="B397" s="95">
        <v>46158.482638888898</v>
      </c>
      <c r="C397" s="225">
        <f t="shared" si="32"/>
        <v>46158.482638888898</v>
      </c>
      <c r="D397" s="32" t="s">
        <v>21</v>
      </c>
      <c r="E397" s="15" t="s">
        <v>19</v>
      </c>
      <c r="F397" s="118">
        <v>0.54</v>
      </c>
      <c r="G397" s="115">
        <v>0.55000000000000004</v>
      </c>
      <c r="H397" s="116">
        <v>0.55000000000000004</v>
      </c>
      <c r="I397" s="46">
        <f t="shared" si="33"/>
        <v>1.0000000000000009E-2</v>
      </c>
      <c r="J397" s="46">
        <f t="shared" si="34"/>
        <v>1.0000000000000009E-2</v>
      </c>
      <c r="K397" s="46">
        <f t="shared" si="35"/>
        <v>0</v>
      </c>
      <c r="L397" s="49" t="str">
        <f t="shared" si="36"/>
        <v>Within Tolerance</v>
      </c>
      <c r="M397" s="49" t="str">
        <f t="shared" si="36"/>
        <v>Within Tolerance</v>
      </c>
      <c r="N397" s="49" t="str">
        <f t="shared" si="36"/>
        <v>Within Tolerance</v>
      </c>
    </row>
    <row r="398" spans="1:14" hidden="1" x14ac:dyDescent="0.3">
      <c r="A398" s="180">
        <v>46158</v>
      </c>
      <c r="B398" s="91">
        <v>46158.736111111102</v>
      </c>
      <c r="C398" s="148">
        <f t="shared" si="32"/>
        <v>46158.736111111102</v>
      </c>
      <c r="D398" s="50" t="s">
        <v>27</v>
      </c>
      <c r="E398" s="15" t="s">
        <v>19</v>
      </c>
      <c r="F398" s="118">
        <v>0.56000000000000005</v>
      </c>
      <c r="G398" s="115">
        <v>0.53</v>
      </c>
      <c r="H398" s="116">
        <v>0.55000000000000004</v>
      </c>
      <c r="I398" s="46">
        <f t="shared" si="33"/>
        <v>-3.0000000000000027E-2</v>
      </c>
      <c r="J398" s="46">
        <f t="shared" si="34"/>
        <v>-1.0000000000000009E-2</v>
      </c>
      <c r="K398" s="46">
        <f t="shared" si="35"/>
        <v>2.0000000000000018E-2</v>
      </c>
      <c r="L398" s="49" t="str">
        <f t="shared" si="36"/>
        <v>Out of Tolerance</v>
      </c>
      <c r="M398" s="49" t="str">
        <f t="shared" si="36"/>
        <v>Within Tolerance</v>
      </c>
      <c r="N398" s="49" t="str">
        <f t="shared" si="36"/>
        <v>Within Tolerance</v>
      </c>
    </row>
    <row r="399" spans="1:14" hidden="1" x14ac:dyDescent="0.3">
      <c r="A399" s="175">
        <v>46158</v>
      </c>
      <c r="B399" s="67">
        <v>46158.430555555598</v>
      </c>
      <c r="C399" s="145">
        <f t="shared" si="32"/>
        <v>46158.430555555598</v>
      </c>
      <c r="D399" s="7" t="s">
        <v>26</v>
      </c>
      <c r="E399" s="7" t="s">
        <v>24</v>
      </c>
      <c r="F399" s="118">
        <v>0.66</v>
      </c>
      <c r="G399" s="115">
        <v>0.66</v>
      </c>
      <c r="H399" s="116">
        <v>0.62</v>
      </c>
      <c r="I399" s="46">
        <f t="shared" si="33"/>
        <v>0</v>
      </c>
      <c r="J399" s="46">
        <f t="shared" si="34"/>
        <v>-4.0000000000000036E-2</v>
      </c>
      <c r="K399" s="46">
        <f t="shared" si="35"/>
        <v>-4.0000000000000036E-2</v>
      </c>
      <c r="L399" s="49" t="str">
        <f t="shared" si="36"/>
        <v>Within Tolerance</v>
      </c>
      <c r="M399" s="49" t="str">
        <f t="shared" si="36"/>
        <v>Out of Tolerance</v>
      </c>
      <c r="N399" s="49" t="str">
        <f t="shared" si="36"/>
        <v>Out of Tolerance</v>
      </c>
    </row>
    <row r="400" spans="1:14" s="43" customFormat="1" hidden="1" x14ac:dyDescent="0.3">
      <c r="A400" s="176">
        <v>46158</v>
      </c>
      <c r="B400" s="68">
        <v>46158.5</v>
      </c>
      <c r="C400" s="146">
        <f t="shared" si="32"/>
        <v>46158.5</v>
      </c>
      <c r="D400" s="7" t="s">
        <v>25</v>
      </c>
      <c r="E400" s="7" t="s">
        <v>24</v>
      </c>
      <c r="F400" s="118">
        <v>0.56000000000000005</v>
      </c>
      <c r="G400" s="115">
        <v>0.59</v>
      </c>
      <c r="H400" s="116">
        <v>0.59</v>
      </c>
      <c r="I400" s="46">
        <f t="shared" si="33"/>
        <v>2.9999999999999916E-2</v>
      </c>
      <c r="J400" s="46">
        <f t="shared" si="34"/>
        <v>2.9999999999999916E-2</v>
      </c>
      <c r="K400" s="46">
        <f t="shared" si="35"/>
        <v>0</v>
      </c>
      <c r="L400" s="49" t="str">
        <f t="shared" si="36"/>
        <v>Out of Tolerance</v>
      </c>
      <c r="M400" s="49" t="str">
        <f t="shared" si="36"/>
        <v>Out of Tolerance</v>
      </c>
      <c r="N400" s="49" t="str">
        <f t="shared" si="36"/>
        <v>Within Tolerance</v>
      </c>
    </row>
    <row r="401" spans="1:14" s="43" customFormat="1" hidden="1" x14ac:dyDescent="0.3">
      <c r="A401" s="196">
        <v>46158</v>
      </c>
      <c r="B401" s="66">
        <v>46158.569444444402</v>
      </c>
      <c r="C401" s="146">
        <f t="shared" si="32"/>
        <v>46158.569444444402</v>
      </c>
      <c r="D401" s="22" t="s">
        <v>49</v>
      </c>
      <c r="E401" s="7" t="s">
        <v>24</v>
      </c>
      <c r="F401" s="118">
        <v>0.63</v>
      </c>
      <c r="G401" s="115">
        <v>0.64</v>
      </c>
      <c r="H401" s="116">
        <v>0.61</v>
      </c>
      <c r="I401" s="46">
        <f t="shared" si="33"/>
        <v>1.0000000000000009E-2</v>
      </c>
      <c r="J401" s="46">
        <f t="shared" si="34"/>
        <v>-2.0000000000000018E-2</v>
      </c>
      <c r="K401" s="46">
        <f t="shared" si="35"/>
        <v>-3.0000000000000027E-2</v>
      </c>
      <c r="L401" s="49" t="str">
        <f t="shared" si="36"/>
        <v>Within Tolerance</v>
      </c>
      <c r="M401" s="49" t="str">
        <f t="shared" si="36"/>
        <v>Within Tolerance</v>
      </c>
      <c r="N401" s="49" t="str">
        <f t="shared" si="36"/>
        <v>Out of Tolerance</v>
      </c>
    </row>
    <row r="402" spans="1:14" s="43" customFormat="1" hidden="1" x14ac:dyDescent="0.3">
      <c r="A402" s="168">
        <v>46159</v>
      </c>
      <c r="B402" s="64">
        <v>46159.333333333299</v>
      </c>
      <c r="C402" s="142">
        <f t="shared" si="32"/>
        <v>46159.333333333299</v>
      </c>
      <c r="D402" s="19" t="s">
        <v>41</v>
      </c>
      <c r="E402" s="7" t="s">
        <v>11</v>
      </c>
      <c r="F402" s="118">
        <v>0.52</v>
      </c>
      <c r="G402" s="115">
        <v>0.53</v>
      </c>
      <c r="H402" s="116">
        <v>0.55000000000000004</v>
      </c>
      <c r="I402" s="46">
        <f t="shared" si="33"/>
        <v>1.0000000000000009E-2</v>
      </c>
      <c r="J402" s="46">
        <f t="shared" si="34"/>
        <v>3.0000000000000027E-2</v>
      </c>
      <c r="K402" s="46">
        <f t="shared" si="35"/>
        <v>2.0000000000000018E-2</v>
      </c>
      <c r="L402" s="49" t="str">
        <f t="shared" si="36"/>
        <v>Within Tolerance</v>
      </c>
      <c r="M402" s="49" t="str">
        <f t="shared" si="36"/>
        <v>Out of Tolerance</v>
      </c>
      <c r="N402" s="49" t="str">
        <f t="shared" si="36"/>
        <v>Within Tolerance</v>
      </c>
    </row>
    <row r="403" spans="1:14" s="43" customFormat="1" hidden="1" x14ac:dyDescent="0.3">
      <c r="A403" s="169">
        <v>46159</v>
      </c>
      <c r="B403" s="64">
        <v>46159.416666666701</v>
      </c>
      <c r="C403" s="142">
        <f t="shared" si="32"/>
        <v>46159.416666666701</v>
      </c>
      <c r="D403" s="19" t="s">
        <v>41</v>
      </c>
      <c r="E403" s="7" t="s">
        <v>11</v>
      </c>
      <c r="F403" s="118" t="s">
        <v>93</v>
      </c>
      <c r="G403" s="115">
        <v>0.53</v>
      </c>
      <c r="H403" s="116">
        <v>0.52</v>
      </c>
      <c r="I403" s="46" t="str">
        <f t="shared" si="33"/>
        <v/>
      </c>
      <c r="J403" s="46" t="str">
        <f t="shared" si="34"/>
        <v/>
      </c>
      <c r="K403" s="46">
        <f t="shared" si="35"/>
        <v>-1.0000000000000009E-2</v>
      </c>
      <c r="L403" s="49" t="str">
        <f t="shared" si="36"/>
        <v/>
      </c>
      <c r="M403" s="49" t="str">
        <f t="shared" si="36"/>
        <v/>
      </c>
      <c r="N403" s="49" t="str">
        <f t="shared" si="36"/>
        <v>Within Tolerance</v>
      </c>
    </row>
    <row r="404" spans="1:14" s="43" customFormat="1" hidden="1" x14ac:dyDescent="0.3">
      <c r="A404" s="168">
        <v>46159</v>
      </c>
      <c r="B404" s="64">
        <v>46159.5</v>
      </c>
      <c r="C404" s="142">
        <f t="shared" si="32"/>
        <v>46159.5</v>
      </c>
      <c r="D404" s="19" t="s">
        <v>41</v>
      </c>
      <c r="E404" s="7" t="s">
        <v>11</v>
      </c>
      <c r="F404" s="118" t="s">
        <v>93</v>
      </c>
      <c r="G404" s="115">
        <v>0.54</v>
      </c>
      <c r="H404" s="116">
        <v>0.56999999999999995</v>
      </c>
      <c r="I404" s="46" t="str">
        <f t="shared" si="33"/>
        <v/>
      </c>
      <c r="J404" s="46" t="str">
        <f t="shared" si="34"/>
        <v/>
      </c>
      <c r="K404" s="46">
        <f t="shared" si="35"/>
        <v>2.9999999999999916E-2</v>
      </c>
      <c r="L404" s="49" t="str">
        <f t="shared" si="36"/>
        <v/>
      </c>
      <c r="M404" s="49" t="str">
        <f t="shared" si="36"/>
        <v/>
      </c>
      <c r="N404" s="49" t="str">
        <f t="shared" si="36"/>
        <v>Out of Tolerance</v>
      </c>
    </row>
    <row r="405" spans="1:14" s="43" customFormat="1" hidden="1" x14ac:dyDescent="0.3">
      <c r="A405" s="169">
        <v>46159</v>
      </c>
      <c r="B405" s="64">
        <v>46159.583333333299</v>
      </c>
      <c r="C405" s="142">
        <f t="shared" si="32"/>
        <v>46159.583333333299</v>
      </c>
      <c r="D405" s="19" t="s">
        <v>41</v>
      </c>
      <c r="E405" s="7" t="s">
        <v>11</v>
      </c>
      <c r="F405" s="118" t="s">
        <v>93</v>
      </c>
      <c r="G405" s="115">
        <v>0.54</v>
      </c>
      <c r="H405" s="116">
        <v>0.56999999999999995</v>
      </c>
      <c r="I405" s="46" t="str">
        <f t="shared" si="33"/>
        <v/>
      </c>
      <c r="J405" s="46" t="str">
        <f t="shared" si="34"/>
        <v/>
      </c>
      <c r="K405" s="46">
        <f t="shared" si="35"/>
        <v>2.9999999999999916E-2</v>
      </c>
      <c r="L405" s="49" t="str">
        <f t="shared" si="36"/>
        <v/>
      </c>
      <c r="M405" s="49" t="str">
        <f t="shared" si="36"/>
        <v/>
      </c>
      <c r="N405" s="49" t="str">
        <f t="shared" si="36"/>
        <v>Out of Tolerance</v>
      </c>
    </row>
    <row r="406" spans="1:14" s="43" customFormat="1" hidden="1" x14ac:dyDescent="0.3">
      <c r="A406" s="168">
        <v>46159</v>
      </c>
      <c r="B406" s="64">
        <v>46159.666666666701</v>
      </c>
      <c r="C406" s="142">
        <f t="shared" si="32"/>
        <v>46159.666666666701</v>
      </c>
      <c r="D406" s="19" t="s">
        <v>41</v>
      </c>
      <c r="E406" s="7" t="s">
        <v>11</v>
      </c>
      <c r="F406" s="118">
        <v>0.55000000000000004</v>
      </c>
      <c r="G406" s="115">
        <v>0.55000000000000004</v>
      </c>
      <c r="H406" s="116">
        <v>0.56999999999999995</v>
      </c>
      <c r="I406" s="46">
        <f t="shared" si="33"/>
        <v>0</v>
      </c>
      <c r="J406" s="46">
        <f t="shared" si="34"/>
        <v>1.9999999999999907E-2</v>
      </c>
      <c r="K406" s="46">
        <f t="shared" si="35"/>
        <v>1.9999999999999907E-2</v>
      </c>
      <c r="L406" s="49" t="str">
        <f t="shared" si="36"/>
        <v>Within Tolerance</v>
      </c>
      <c r="M406" s="49" t="str">
        <f t="shared" si="36"/>
        <v>Within Tolerance</v>
      </c>
      <c r="N406" s="49" t="str">
        <f t="shared" si="36"/>
        <v>Within Tolerance</v>
      </c>
    </row>
    <row r="407" spans="1:14" s="43" customFormat="1" hidden="1" x14ac:dyDescent="0.3">
      <c r="A407" s="169">
        <v>46159</v>
      </c>
      <c r="B407" s="64">
        <v>46159.75</v>
      </c>
      <c r="C407" s="142">
        <f t="shared" si="32"/>
        <v>46159.75</v>
      </c>
      <c r="D407" s="19" t="s">
        <v>41</v>
      </c>
      <c r="E407" s="7" t="s">
        <v>11</v>
      </c>
      <c r="F407" s="118" t="s">
        <v>93</v>
      </c>
      <c r="G407" s="115">
        <v>0.55000000000000004</v>
      </c>
      <c r="H407" s="116">
        <v>0.56000000000000005</v>
      </c>
      <c r="I407" s="46" t="str">
        <f t="shared" si="33"/>
        <v/>
      </c>
      <c r="J407" s="46" t="str">
        <f t="shared" si="34"/>
        <v/>
      </c>
      <c r="K407" s="46">
        <f t="shared" si="35"/>
        <v>1.0000000000000009E-2</v>
      </c>
      <c r="L407" s="49" t="str">
        <f t="shared" si="36"/>
        <v/>
      </c>
      <c r="M407" s="49" t="str">
        <f t="shared" si="36"/>
        <v/>
      </c>
      <c r="N407" s="49" t="str">
        <f t="shared" si="36"/>
        <v>Within Tolerance</v>
      </c>
    </row>
    <row r="408" spans="1:14" s="43" customFormat="1" hidden="1" x14ac:dyDescent="0.3">
      <c r="A408" s="168">
        <v>46159</v>
      </c>
      <c r="B408" s="64">
        <v>46159.333333333299</v>
      </c>
      <c r="C408" s="142">
        <f t="shared" si="32"/>
        <v>46159.333333333299</v>
      </c>
      <c r="D408" s="19" t="s">
        <v>41</v>
      </c>
      <c r="E408" s="7" t="s">
        <v>15</v>
      </c>
      <c r="F408" s="118">
        <v>0.51</v>
      </c>
      <c r="G408" s="115">
        <v>0.51</v>
      </c>
      <c r="H408" s="116">
        <v>0.54</v>
      </c>
      <c r="I408" s="46">
        <f t="shared" si="33"/>
        <v>0</v>
      </c>
      <c r="J408" s="46">
        <f t="shared" si="34"/>
        <v>3.0000000000000027E-2</v>
      </c>
      <c r="K408" s="46">
        <f t="shared" si="35"/>
        <v>3.0000000000000027E-2</v>
      </c>
      <c r="L408" s="49" t="str">
        <f t="shared" si="36"/>
        <v>Within Tolerance</v>
      </c>
      <c r="M408" s="49" t="str">
        <f t="shared" si="36"/>
        <v>Out of Tolerance</v>
      </c>
      <c r="N408" s="49" t="str">
        <f t="shared" si="36"/>
        <v>Out of Tolerance</v>
      </c>
    </row>
    <row r="409" spans="1:14" s="43" customFormat="1" hidden="1" x14ac:dyDescent="0.3">
      <c r="A409" s="169">
        <v>46159</v>
      </c>
      <c r="B409" s="64">
        <v>46159.416666666701</v>
      </c>
      <c r="C409" s="142">
        <f t="shared" si="32"/>
        <v>46159.416666666701</v>
      </c>
      <c r="D409" s="19" t="s">
        <v>41</v>
      </c>
      <c r="E409" s="7" t="s">
        <v>15</v>
      </c>
      <c r="F409" s="118" t="s">
        <v>93</v>
      </c>
      <c r="G409" s="115">
        <v>0.55000000000000004</v>
      </c>
      <c r="H409" s="116">
        <v>0.56000000000000005</v>
      </c>
      <c r="I409" s="46" t="str">
        <f t="shared" si="33"/>
        <v/>
      </c>
      <c r="J409" s="46" t="str">
        <f t="shared" si="34"/>
        <v/>
      </c>
      <c r="K409" s="46">
        <f t="shared" si="35"/>
        <v>1.0000000000000009E-2</v>
      </c>
      <c r="L409" s="49" t="str">
        <f t="shared" si="36"/>
        <v/>
      </c>
      <c r="M409" s="49" t="str">
        <f t="shared" si="36"/>
        <v/>
      </c>
      <c r="N409" s="49" t="str">
        <f t="shared" si="36"/>
        <v>Within Tolerance</v>
      </c>
    </row>
    <row r="410" spans="1:14" s="43" customFormat="1" hidden="1" x14ac:dyDescent="0.3">
      <c r="A410" s="168">
        <v>46159</v>
      </c>
      <c r="B410" s="64">
        <v>46159.5</v>
      </c>
      <c r="C410" s="142">
        <f t="shared" si="32"/>
        <v>46159.5</v>
      </c>
      <c r="D410" s="19" t="s">
        <v>41</v>
      </c>
      <c r="E410" s="7" t="s">
        <v>15</v>
      </c>
      <c r="F410" s="118" t="s">
        <v>93</v>
      </c>
      <c r="G410" s="115">
        <v>0.56000000000000005</v>
      </c>
      <c r="H410" s="116">
        <v>0.56999999999999995</v>
      </c>
      <c r="I410" s="46" t="str">
        <f t="shared" si="33"/>
        <v/>
      </c>
      <c r="J410" s="46" t="str">
        <f t="shared" si="34"/>
        <v/>
      </c>
      <c r="K410" s="46">
        <f t="shared" si="35"/>
        <v>9.9999999999998979E-3</v>
      </c>
      <c r="L410" s="49" t="str">
        <f t="shared" si="36"/>
        <v/>
      </c>
      <c r="M410" s="49" t="str">
        <f t="shared" si="36"/>
        <v/>
      </c>
      <c r="N410" s="49" t="str">
        <f t="shared" si="36"/>
        <v>Within Tolerance</v>
      </c>
    </row>
    <row r="411" spans="1:14" s="43" customFormat="1" hidden="1" x14ac:dyDescent="0.3">
      <c r="A411" s="175">
        <v>46159</v>
      </c>
      <c r="B411" s="67">
        <v>46159.423611111102</v>
      </c>
      <c r="C411" s="145">
        <f t="shared" si="32"/>
        <v>46159.423611111102</v>
      </c>
      <c r="D411" s="7" t="s">
        <v>25</v>
      </c>
      <c r="E411" s="7" t="s">
        <v>24</v>
      </c>
      <c r="F411" s="118">
        <v>0.6</v>
      </c>
      <c r="G411" s="120">
        <v>0.56999999999999995</v>
      </c>
      <c r="H411" s="116">
        <v>0.6</v>
      </c>
      <c r="I411" s="46">
        <f t="shared" si="33"/>
        <v>-3.0000000000000027E-2</v>
      </c>
      <c r="J411" s="46">
        <f t="shared" si="34"/>
        <v>0</v>
      </c>
      <c r="K411" s="46">
        <f t="shared" si="35"/>
        <v>3.0000000000000027E-2</v>
      </c>
      <c r="L411" s="49" t="str">
        <f t="shared" si="36"/>
        <v>Out of Tolerance</v>
      </c>
      <c r="M411" s="49" t="str">
        <f t="shared" si="36"/>
        <v>Within Tolerance</v>
      </c>
      <c r="N411" s="49" t="str">
        <f t="shared" si="36"/>
        <v>Out of Tolerance</v>
      </c>
    </row>
    <row r="412" spans="1:14" s="43" customFormat="1" hidden="1" x14ac:dyDescent="0.3">
      <c r="A412" s="174">
        <v>46159</v>
      </c>
      <c r="B412" s="66">
        <v>46159.604166666701</v>
      </c>
      <c r="C412" s="144">
        <f t="shared" si="32"/>
        <v>46159.604166666701</v>
      </c>
      <c r="D412" s="7" t="s">
        <v>26</v>
      </c>
      <c r="E412" s="7" t="s">
        <v>24</v>
      </c>
      <c r="F412" s="118">
        <v>0.64</v>
      </c>
      <c r="G412" s="115">
        <v>0.64</v>
      </c>
      <c r="H412" s="116">
        <v>0.64</v>
      </c>
      <c r="I412" s="46">
        <f t="shared" si="33"/>
        <v>0</v>
      </c>
      <c r="J412" s="46">
        <f t="shared" si="34"/>
        <v>0</v>
      </c>
      <c r="K412" s="46">
        <f t="shared" si="35"/>
        <v>0</v>
      </c>
      <c r="L412" s="49" t="str">
        <f t="shared" si="36"/>
        <v>Within Tolerance</v>
      </c>
      <c r="M412" s="49" t="str">
        <f t="shared" si="36"/>
        <v>Within Tolerance</v>
      </c>
      <c r="N412" s="49" t="str">
        <f t="shared" si="36"/>
        <v>Within Tolerance</v>
      </c>
    </row>
    <row r="413" spans="1:14" s="43" customFormat="1" hidden="1" x14ac:dyDescent="0.3">
      <c r="A413" s="169">
        <v>46160</v>
      </c>
      <c r="B413" s="64">
        <v>46160.430555555598</v>
      </c>
      <c r="C413" s="142">
        <f t="shared" si="32"/>
        <v>46160.430555555598</v>
      </c>
      <c r="D413" s="19" t="s">
        <v>41</v>
      </c>
      <c r="E413" s="7" t="s">
        <v>11</v>
      </c>
      <c r="F413" s="118" t="s">
        <v>93</v>
      </c>
      <c r="G413" s="115">
        <v>0.56999999999999995</v>
      </c>
      <c r="H413" s="116">
        <v>0.57999999999999996</v>
      </c>
      <c r="I413" s="46" t="str">
        <f t="shared" si="33"/>
        <v/>
      </c>
      <c r="J413" s="46" t="str">
        <f t="shared" si="34"/>
        <v/>
      </c>
      <c r="K413" s="46">
        <f t="shared" si="35"/>
        <v>1.0000000000000009E-2</v>
      </c>
      <c r="L413" s="49" t="str">
        <f t="shared" si="36"/>
        <v/>
      </c>
      <c r="M413" s="49" t="str">
        <f t="shared" si="36"/>
        <v/>
      </c>
      <c r="N413" s="49" t="str">
        <f t="shared" si="36"/>
        <v>Within Tolerance</v>
      </c>
    </row>
    <row r="414" spans="1:14" s="43" customFormat="1" hidden="1" x14ac:dyDescent="0.3">
      <c r="A414" s="168">
        <v>46160</v>
      </c>
      <c r="B414" s="64">
        <v>46160.440972222197</v>
      </c>
      <c r="C414" s="142">
        <f t="shared" si="32"/>
        <v>46160.440972222197</v>
      </c>
      <c r="D414" s="19" t="s">
        <v>41</v>
      </c>
      <c r="E414" s="7" t="s">
        <v>11</v>
      </c>
      <c r="F414" s="118" t="s">
        <v>93</v>
      </c>
      <c r="G414" s="115">
        <v>0.56000000000000005</v>
      </c>
      <c r="H414" s="116">
        <v>0.57999999999999996</v>
      </c>
      <c r="I414" s="46" t="str">
        <f t="shared" si="33"/>
        <v/>
      </c>
      <c r="J414" s="46" t="str">
        <f t="shared" si="34"/>
        <v/>
      </c>
      <c r="K414" s="46">
        <f t="shared" si="35"/>
        <v>1.9999999999999907E-2</v>
      </c>
      <c r="L414" s="49" t="str">
        <f t="shared" si="36"/>
        <v/>
      </c>
      <c r="M414" s="49" t="str">
        <f t="shared" si="36"/>
        <v/>
      </c>
      <c r="N414" s="49" t="str">
        <f t="shared" si="36"/>
        <v>Within Tolerance</v>
      </c>
    </row>
    <row r="415" spans="1:14" s="43" customFormat="1" hidden="1" x14ac:dyDescent="0.3">
      <c r="A415" s="169">
        <v>46160</v>
      </c>
      <c r="B415" s="64">
        <v>46160.520833333299</v>
      </c>
      <c r="C415" s="142">
        <f t="shared" si="32"/>
        <v>46160.520833333299</v>
      </c>
      <c r="D415" s="19" t="s">
        <v>41</v>
      </c>
      <c r="E415" s="7" t="s">
        <v>11</v>
      </c>
      <c r="F415" s="118">
        <v>0.59</v>
      </c>
      <c r="G415" s="115">
        <v>0.56999999999999995</v>
      </c>
      <c r="H415" s="116">
        <v>0.57999999999999996</v>
      </c>
      <c r="I415" s="46">
        <f t="shared" si="33"/>
        <v>-2.0000000000000018E-2</v>
      </c>
      <c r="J415" s="46">
        <f t="shared" si="34"/>
        <v>-1.0000000000000009E-2</v>
      </c>
      <c r="K415" s="46">
        <f t="shared" si="35"/>
        <v>1.0000000000000009E-2</v>
      </c>
      <c r="L415" s="49" t="str">
        <f t="shared" si="36"/>
        <v>Within Tolerance</v>
      </c>
      <c r="M415" s="49" t="str">
        <f t="shared" si="36"/>
        <v>Within Tolerance</v>
      </c>
      <c r="N415" s="49" t="str">
        <f t="shared" si="36"/>
        <v>Within Tolerance</v>
      </c>
    </row>
    <row r="416" spans="1:14" s="43" customFormat="1" hidden="1" x14ac:dyDescent="0.3">
      <c r="A416" s="168">
        <v>46160</v>
      </c>
      <c r="B416" s="64">
        <v>46160.583333333299</v>
      </c>
      <c r="C416" s="142">
        <f t="shared" si="32"/>
        <v>46160.583333333299</v>
      </c>
      <c r="D416" s="19" t="s">
        <v>41</v>
      </c>
      <c r="E416" s="7" t="s">
        <v>11</v>
      </c>
      <c r="F416" s="118" t="s">
        <v>93</v>
      </c>
      <c r="G416" s="115">
        <v>0.57999999999999996</v>
      </c>
      <c r="H416" s="116">
        <v>0.57999999999999996</v>
      </c>
      <c r="I416" s="46" t="str">
        <f t="shared" si="33"/>
        <v/>
      </c>
      <c r="J416" s="46" t="str">
        <f t="shared" si="34"/>
        <v/>
      </c>
      <c r="K416" s="46">
        <f t="shared" si="35"/>
        <v>0</v>
      </c>
      <c r="L416" s="49" t="str">
        <f t="shared" si="36"/>
        <v/>
      </c>
      <c r="M416" s="49" t="str">
        <f t="shared" si="36"/>
        <v/>
      </c>
      <c r="N416" s="49" t="str">
        <f t="shared" si="36"/>
        <v>Within Tolerance</v>
      </c>
    </row>
    <row r="417" spans="1:14" s="43" customFormat="1" hidden="1" x14ac:dyDescent="0.3">
      <c r="A417" s="169">
        <v>46160</v>
      </c>
      <c r="B417" s="64">
        <v>46160.65625</v>
      </c>
      <c r="C417" s="142">
        <f t="shared" si="32"/>
        <v>46160.65625</v>
      </c>
      <c r="D417" s="19" t="s">
        <v>41</v>
      </c>
      <c r="E417" s="7" t="s">
        <v>11</v>
      </c>
      <c r="F417" s="118" t="s">
        <v>93</v>
      </c>
      <c r="G417" s="115">
        <v>0.57999999999999996</v>
      </c>
      <c r="H417" s="116">
        <v>0.56999999999999995</v>
      </c>
      <c r="I417" s="46" t="str">
        <f t="shared" si="33"/>
        <v/>
      </c>
      <c r="J417" s="46" t="str">
        <f t="shared" si="34"/>
        <v/>
      </c>
      <c r="K417" s="46">
        <f t="shared" si="35"/>
        <v>-1.0000000000000009E-2</v>
      </c>
      <c r="L417" s="49" t="str">
        <f t="shared" si="36"/>
        <v/>
      </c>
      <c r="M417" s="49" t="str">
        <f t="shared" si="36"/>
        <v/>
      </c>
      <c r="N417" s="49" t="str">
        <f t="shared" si="36"/>
        <v>Within Tolerance</v>
      </c>
    </row>
    <row r="418" spans="1:14" s="43" customFormat="1" hidden="1" x14ac:dyDescent="0.3">
      <c r="A418" s="168">
        <v>46160</v>
      </c>
      <c r="B418" s="64">
        <v>46160.725694444402</v>
      </c>
      <c r="C418" s="142">
        <f t="shared" si="32"/>
        <v>46160.725694444402</v>
      </c>
      <c r="D418" s="19" t="s">
        <v>13</v>
      </c>
      <c r="E418" s="7" t="s">
        <v>11</v>
      </c>
      <c r="F418" s="118" t="s">
        <v>93</v>
      </c>
      <c r="G418" s="115">
        <v>0.55000000000000004</v>
      </c>
      <c r="H418" s="116">
        <v>0.56000000000000005</v>
      </c>
      <c r="I418" s="46" t="str">
        <f t="shared" si="33"/>
        <v/>
      </c>
      <c r="J418" s="46" t="str">
        <f t="shared" si="34"/>
        <v/>
      </c>
      <c r="K418" s="46">
        <f t="shared" si="35"/>
        <v>1.0000000000000009E-2</v>
      </c>
      <c r="L418" s="49" t="str">
        <f t="shared" si="36"/>
        <v/>
      </c>
      <c r="M418" s="49" t="str">
        <f t="shared" si="36"/>
        <v/>
      </c>
      <c r="N418" s="49" t="str">
        <f t="shared" si="36"/>
        <v>Within Tolerance</v>
      </c>
    </row>
    <row r="419" spans="1:14" s="43" customFormat="1" hidden="1" x14ac:dyDescent="0.3">
      <c r="A419" s="169">
        <v>46160</v>
      </c>
      <c r="B419" s="64">
        <v>46160.822916666701</v>
      </c>
      <c r="C419" s="142">
        <f t="shared" si="32"/>
        <v>46160.822916666701</v>
      </c>
      <c r="D419" s="19" t="s">
        <v>13</v>
      </c>
      <c r="E419" s="7" t="s">
        <v>11</v>
      </c>
      <c r="F419" s="118">
        <v>0.52</v>
      </c>
      <c r="G419" s="115">
        <v>0.54</v>
      </c>
      <c r="H419" s="116">
        <v>0.56999999999999995</v>
      </c>
      <c r="I419" s="46">
        <f t="shared" si="33"/>
        <v>2.0000000000000018E-2</v>
      </c>
      <c r="J419" s="46">
        <f t="shared" si="34"/>
        <v>4.9999999999999933E-2</v>
      </c>
      <c r="K419" s="46">
        <f t="shared" si="35"/>
        <v>2.9999999999999916E-2</v>
      </c>
      <c r="L419" s="49" t="str">
        <f t="shared" si="36"/>
        <v>Within Tolerance</v>
      </c>
      <c r="M419" s="49" t="str">
        <f t="shared" si="36"/>
        <v>Out of Tolerance</v>
      </c>
      <c r="N419" s="49" t="str">
        <f t="shared" si="36"/>
        <v>Out of Tolerance</v>
      </c>
    </row>
    <row r="420" spans="1:14" s="43" customFormat="1" hidden="1" x14ac:dyDescent="0.3">
      <c r="A420" s="168">
        <v>46160</v>
      </c>
      <c r="B420" s="64">
        <v>46160.895833333299</v>
      </c>
      <c r="C420" s="142">
        <f t="shared" si="32"/>
        <v>46160.895833333299</v>
      </c>
      <c r="D420" s="19" t="s">
        <v>13</v>
      </c>
      <c r="E420" s="7" t="s">
        <v>11</v>
      </c>
      <c r="F420" s="118" t="s">
        <v>93</v>
      </c>
      <c r="G420" s="115">
        <v>0.53</v>
      </c>
      <c r="H420" s="116">
        <v>0.56000000000000005</v>
      </c>
      <c r="I420" s="46" t="str">
        <f t="shared" si="33"/>
        <v/>
      </c>
      <c r="J420" s="46" t="str">
        <f t="shared" si="34"/>
        <v/>
      </c>
      <c r="K420" s="46">
        <f t="shared" si="35"/>
        <v>3.0000000000000027E-2</v>
      </c>
      <c r="L420" s="49" t="str">
        <f t="shared" si="36"/>
        <v/>
      </c>
      <c r="M420" s="49" t="str">
        <f t="shared" si="36"/>
        <v/>
      </c>
      <c r="N420" s="49" t="str">
        <f t="shared" si="36"/>
        <v>Out of Tolerance</v>
      </c>
    </row>
    <row r="421" spans="1:14" s="43" customFormat="1" hidden="1" x14ac:dyDescent="0.3">
      <c r="A421" s="169">
        <v>46160</v>
      </c>
      <c r="B421" s="64">
        <v>46161</v>
      </c>
      <c r="C421" s="142">
        <f t="shared" si="32"/>
        <v>46160</v>
      </c>
      <c r="D421" s="19" t="s">
        <v>13</v>
      </c>
      <c r="E421" s="7" t="s">
        <v>11</v>
      </c>
      <c r="F421" s="118">
        <v>0.53</v>
      </c>
      <c r="G421" s="115">
        <v>0.54</v>
      </c>
      <c r="H421" s="116">
        <v>0.56999999999999995</v>
      </c>
      <c r="I421" s="46">
        <f t="shared" si="33"/>
        <v>1.0000000000000009E-2</v>
      </c>
      <c r="J421" s="46">
        <f t="shared" si="34"/>
        <v>3.9999999999999925E-2</v>
      </c>
      <c r="K421" s="46">
        <f t="shared" si="35"/>
        <v>2.9999999999999916E-2</v>
      </c>
      <c r="L421" s="49" t="str">
        <f t="shared" si="36"/>
        <v>Within Tolerance</v>
      </c>
      <c r="M421" s="49" t="str">
        <f t="shared" si="36"/>
        <v>Out of Tolerance</v>
      </c>
      <c r="N421" s="49" t="str">
        <f t="shared" si="36"/>
        <v>Out of Tolerance</v>
      </c>
    </row>
    <row r="422" spans="1:14" s="43" customFormat="1" hidden="1" x14ac:dyDescent="0.3">
      <c r="A422" s="168">
        <v>46161</v>
      </c>
      <c r="B422" s="64">
        <v>46161.083333333299</v>
      </c>
      <c r="C422" s="142">
        <f t="shared" si="32"/>
        <v>46161.083333333299</v>
      </c>
      <c r="D422" s="19" t="s">
        <v>13</v>
      </c>
      <c r="E422" s="7" t="s">
        <v>11</v>
      </c>
      <c r="F422" s="118" t="s">
        <v>93</v>
      </c>
      <c r="G422" s="115">
        <v>0.54</v>
      </c>
      <c r="H422" s="116">
        <v>0.56999999999999995</v>
      </c>
      <c r="I422" s="46" t="str">
        <f t="shared" si="33"/>
        <v/>
      </c>
      <c r="J422" s="46" t="str">
        <f t="shared" si="34"/>
        <v/>
      </c>
      <c r="K422" s="46">
        <f t="shared" si="35"/>
        <v>2.9999999999999916E-2</v>
      </c>
      <c r="L422" s="49" t="str">
        <f t="shared" si="36"/>
        <v/>
      </c>
      <c r="M422" s="49" t="str">
        <f t="shared" si="36"/>
        <v/>
      </c>
      <c r="N422" s="49" t="str">
        <f t="shared" si="36"/>
        <v>Out of Tolerance</v>
      </c>
    </row>
    <row r="423" spans="1:14" s="43" customFormat="1" hidden="1" x14ac:dyDescent="0.3">
      <c r="A423" s="169">
        <v>46161</v>
      </c>
      <c r="B423" s="64">
        <v>46161.166666666701</v>
      </c>
      <c r="C423" s="142">
        <f t="shared" si="32"/>
        <v>46161.166666666701</v>
      </c>
      <c r="D423" s="19" t="s">
        <v>13</v>
      </c>
      <c r="E423" s="7" t="s">
        <v>11</v>
      </c>
      <c r="F423" s="118" t="s">
        <v>93</v>
      </c>
      <c r="G423" s="115">
        <v>0.52</v>
      </c>
      <c r="H423" s="116">
        <v>0.55000000000000004</v>
      </c>
      <c r="I423" s="46" t="str">
        <f t="shared" si="33"/>
        <v/>
      </c>
      <c r="J423" s="46" t="str">
        <f t="shared" si="34"/>
        <v/>
      </c>
      <c r="K423" s="46">
        <f t="shared" si="35"/>
        <v>3.0000000000000027E-2</v>
      </c>
      <c r="L423" s="49" t="str">
        <f t="shared" si="36"/>
        <v/>
      </c>
      <c r="M423" s="49" t="str">
        <f t="shared" si="36"/>
        <v/>
      </c>
      <c r="N423" s="49" t="str">
        <f t="shared" si="36"/>
        <v>Out of Tolerance</v>
      </c>
    </row>
    <row r="424" spans="1:14" s="43" customFormat="1" hidden="1" x14ac:dyDescent="0.3">
      <c r="A424" s="168">
        <v>46161</v>
      </c>
      <c r="B424" s="64">
        <v>46161.25</v>
      </c>
      <c r="C424" s="142">
        <f t="shared" si="32"/>
        <v>46161.25</v>
      </c>
      <c r="D424" s="19" t="s">
        <v>13</v>
      </c>
      <c r="E424" s="7" t="s">
        <v>11</v>
      </c>
      <c r="F424" s="118" t="s">
        <v>93</v>
      </c>
      <c r="G424" s="115">
        <v>0.51</v>
      </c>
      <c r="H424" s="116">
        <v>0.55000000000000004</v>
      </c>
      <c r="I424" s="46" t="str">
        <f t="shared" si="33"/>
        <v/>
      </c>
      <c r="J424" s="46" t="str">
        <f t="shared" si="34"/>
        <v/>
      </c>
      <c r="K424" s="46">
        <f t="shared" si="35"/>
        <v>4.0000000000000036E-2</v>
      </c>
      <c r="L424" s="49" t="str">
        <f t="shared" si="36"/>
        <v/>
      </c>
      <c r="M424" s="49" t="str">
        <f t="shared" si="36"/>
        <v/>
      </c>
      <c r="N424" s="49" t="str">
        <f t="shared" si="36"/>
        <v>Out of Tolerance</v>
      </c>
    </row>
    <row r="425" spans="1:14" s="43" customFormat="1" x14ac:dyDescent="0.3">
      <c r="A425" s="169">
        <v>46160</v>
      </c>
      <c r="B425" s="64">
        <v>46160.802083333299</v>
      </c>
      <c r="C425" s="142">
        <f t="shared" si="32"/>
        <v>46160.802083333299</v>
      </c>
      <c r="D425" s="19" t="s">
        <v>29</v>
      </c>
      <c r="E425" s="7" t="s">
        <v>15</v>
      </c>
      <c r="F425" s="118" t="s">
        <v>93</v>
      </c>
      <c r="G425" s="115">
        <v>0.54</v>
      </c>
      <c r="H425" s="116"/>
      <c r="I425" s="46" t="str">
        <f t="shared" si="33"/>
        <v/>
      </c>
      <c r="J425" s="46" t="str">
        <f t="shared" si="34"/>
        <v/>
      </c>
      <c r="K425" s="46" t="str">
        <f t="shared" si="35"/>
        <v/>
      </c>
      <c r="L425" s="49" t="str">
        <f t="shared" si="36"/>
        <v/>
      </c>
      <c r="M425" s="49" t="str">
        <f t="shared" si="36"/>
        <v/>
      </c>
      <c r="N425" s="49" t="str">
        <f t="shared" si="36"/>
        <v/>
      </c>
    </row>
    <row r="426" spans="1:14" s="43" customFormat="1" x14ac:dyDescent="0.3">
      <c r="A426" s="168">
        <v>46160</v>
      </c>
      <c r="B426" s="64">
        <v>46160.809027777803</v>
      </c>
      <c r="C426" s="142">
        <f t="shared" si="32"/>
        <v>46160.809027777803</v>
      </c>
      <c r="D426" s="19" t="s">
        <v>29</v>
      </c>
      <c r="E426" s="7" t="s">
        <v>15</v>
      </c>
      <c r="F426" s="118" t="s">
        <v>93</v>
      </c>
      <c r="G426" s="115">
        <v>0.53</v>
      </c>
      <c r="H426" s="116"/>
      <c r="I426" s="46" t="str">
        <f t="shared" si="33"/>
        <v/>
      </c>
      <c r="J426" s="46" t="str">
        <f t="shared" si="34"/>
        <v/>
      </c>
      <c r="K426" s="46" t="str">
        <f t="shared" si="35"/>
        <v/>
      </c>
      <c r="L426" s="49" t="str">
        <f t="shared" si="36"/>
        <v/>
      </c>
      <c r="M426" s="49" t="str">
        <f t="shared" si="36"/>
        <v/>
      </c>
      <c r="N426" s="49" t="str">
        <f t="shared" si="36"/>
        <v/>
      </c>
    </row>
    <row r="427" spans="1:14" s="43" customFormat="1" hidden="1" x14ac:dyDescent="0.3">
      <c r="A427" s="169">
        <v>46160</v>
      </c>
      <c r="B427" s="64">
        <v>46160.854166666701</v>
      </c>
      <c r="C427" s="142">
        <f t="shared" si="32"/>
        <v>46160.854166666701</v>
      </c>
      <c r="D427" s="19" t="s">
        <v>29</v>
      </c>
      <c r="E427" s="7" t="s">
        <v>15</v>
      </c>
      <c r="F427" s="118">
        <v>0.51</v>
      </c>
      <c r="G427" s="115">
        <v>0.52</v>
      </c>
      <c r="H427" s="116">
        <v>0.52</v>
      </c>
      <c r="I427" s="46">
        <f t="shared" si="33"/>
        <v>1.0000000000000009E-2</v>
      </c>
      <c r="J427" s="46">
        <f t="shared" si="34"/>
        <v>1.0000000000000009E-2</v>
      </c>
      <c r="K427" s="46">
        <f t="shared" si="35"/>
        <v>0</v>
      </c>
      <c r="L427" s="49" t="str">
        <f t="shared" si="36"/>
        <v>Within Tolerance</v>
      </c>
      <c r="M427" s="49" t="str">
        <f t="shared" si="36"/>
        <v>Within Tolerance</v>
      </c>
      <c r="N427" s="49" t="str">
        <f t="shared" si="36"/>
        <v>Within Tolerance</v>
      </c>
    </row>
    <row r="428" spans="1:14" s="43" customFormat="1" hidden="1" x14ac:dyDescent="0.3">
      <c r="A428" s="168">
        <v>46160</v>
      </c>
      <c r="B428" s="64">
        <v>46160.916666666701</v>
      </c>
      <c r="C428" s="142">
        <f t="shared" si="32"/>
        <v>46160.916666666701</v>
      </c>
      <c r="D428" s="19" t="s">
        <v>29</v>
      </c>
      <c r="E428" s="7" t="s">
        <v>15</v>
      </c>
      <c r="F428" s="118" t="s">
        <v>93</v>
      </c>
      <c r="G428" s="115">
        <v>0.51</v>
      </c>
      <c r="H428" s="116">
        <v>0.53</v>
      </c>
      <c r="I428" s="46" t="str">
        <f t="shared" si="33"/>
        <v/>
      </c>
      <c r="J428" s="46" t="str">
        <f t="shared" si="34"/>
        <v/>
      </c>
      <c r="K428" s="46">
        <f t="shared" si="35"/>
        <v>2.0000000000000018E-2</v>
      </c>
      <c r="L428" s="49" t="str">
        <f t="shared" si="36"/>
        <v/>
      </c>
      <c r="M428" s="49" t="str">
        <f t="shared" si="36"/>
        <v/>
      </c>
      <c r="N428" s="49" t="str">
        <f t="shared" si="36"/>
        <v>Within Tolerance</v>
      </c>
    </row>
    <row r="429" spans="1:14" s="43" customFormat="1" hidden="1" x14ac:dyDescent="0.3">
      <c r="A429" s="169">
        <v>46160</v>
      </c>
      <c r="B429" s="64">
        <v>46161</v>
      </c>
      <c r="C429" s="142">
        <f t="shared" si="32"/>
        <v>46160</v>
      </c>
      <c r="D429" s="19" t="s">
        <v>29</v>
      </c>
      <c r="E429" s="7" t="s">
        <v>15</v>
      </c>
      <c r="F429" s="118">
        <v>0.53</v>
      </c>
      <c r="G429" s="115">
        <v>0.55000000000000004</v>
      </c>
      <c r="H429" s="116">
        <v>0.54</v>
      </c>
      <c r="I429" s="46">
        <f t="shared" si="33"/>
        <v>2.0000000000000018E-2</v>
      </c>
      <c r="J429" s="46">
        <f t="shared" si="34"/>
        <v>1.0000000000000009E-2</v>
      </c>
      <c r="K429" s="46">
        <f t="shared" si="35"/>
        <v>-1.0000000000000009E-2</v>
      </c>
      <c r="L429" s="49" t="str">
        <f t="shared" si="36"/>
        <v>Within Tolerance</v>
      </c>
      <c r="M429" s="49" t="str">
        <f t="shared" si="36"/>
        <v>Within Tolerance</v>
      </c>
      <c r="N429" s="49" t="str">
        <f t="shared" si="36"/>
        <v>Within Tolerance</v>
      </c>
    </row>
    <row r="430" spans="1:14" s="43" customFormat="1" hidden="1" x14ac:dyDescent="0.3">
      <c r="A430" s="168">
        <v>46160</v>
      </c>
      <c r="B430" s="64">
        <v>46161.083333333299</v>
      </c>
      <c r="C430" s="142">
        <f t="shared" si="32"/>
        <v>46160.083333333299</v>
      </c>
      <c r="D430" s="19" t="s">
        <v>29</v>
      </c>
      <c r="E430" s="7" t="s">
        <v>15</v>
      </c>
      <c r="F430" s="118" t="s">
        <v>93</v>
      </c>
      <c r="G430" s="115">
        <v>0.55000000000000004</v>
      </c>
      <c r="H430" s="116">
        <v>0.54</v>
      </c>
      <c r="I430" s="46" t="str">
        <f t="shared" si="33"/>
        <v/>
      </c>
      <c r="J430" s="46" t="str">
        <f t="shared" si="34"/>
        <v/>
      </c>
      <c r="K430" s="46">
        <f t="shared" si="35"/>
        <v>-1.0000000000000009E-2</v>
      </c>
      <c r="L430" s="49" t="str">
        <f t="shared" si="36"/>
        <v/>
      </c>
      <c r="M430" s="49" t="str">
        <f t="shared" si="36"/>
        <v/>
      </c>
      <c r="N430" s="49" t="str">
        <f t="shared" si="36"/>
        <v>Within Tolerance</v>
      </c>
    </row>
    <row r="431" spans="1:14" s="43" customFormat="1" hidden="1" x14ac:dyDescent="0.3">
      <c r="A431" s="169">
        <v>46160</v>
      </c>
      <c r="B431" s="64">
        <v>46161.166666666701</v>
      </c>
      <c r="C431" s="142">
        <f t="shared" si="32"/>
        <v>46160.166666666701</v>
      </c>
      <c r="D431" s="19" t="s">
        <v>29</v>
      </c>
      <c r="E431" s="7" t="s">
        <v>15</v>
      </c>
      <c r="F431" s="118" t="s">
        <v>93</v>
      </c>
      <c r="G431" s="115">
        <v>0.53</v>
      </c>
      <c r="H431" s="116">
        <v>0.54</v>
      </c>
      <c r="I431" s="46" t="str">
        <f t="shared" si="33"/>
        <v/>
      </c>
      <c r="J431" s="46" t="str">
        <f t="shared" si="34"/>
        <v/>
      </c>
      <c r="K431" s="46">
        <f t="shared" si="35"/>
        <v>1.0000000000000009E-2</v>
      </c>
      <c r="L431" s="49" t="str">
        <f t="shared" si="36"/>
        <v/>
      </c>
      <c r="M431" s="49" t="str">
        <f t="shared" si="36"/>
        <v/>
      </c>
      <c r="N431" s="49" t="str">
        <f t="shared" si="36"/>
        <v>Within Tolerance</v>
      </c>
    </row>
    <row r="432" spans="1:14" s="43" customFormat="1" hidden="1" x14ac:dyDescent="0.3">
      <c r="A432" s="168">
        <v>46160</v>
      </c>
      <c r="B432" s="64">
        <v>46161.270833333299</v>
      </c>
      <c r="C432" s="142">
        <f t="shared" si="32"/>
        <v>46160.270833333299</v>
      </c>
      <c r="D432" s="7" t="s">
        <v>28</v>
      </c>
      <c r="E432" s="7" t="s">
        <v>15</v>
      </c>
      <c r="F432" s="118" t="s">
        <v>93</v>
      </c>
      <c r="G432" s="115">
        <v>0.52</v>
      </c>
      <c r="H432" s="116">
        <v>0.52</v>
      </c>
      <c r="I432" s="46" t="str">
        <f t="shared" si="33"/>
        <v/>
      </c>
      <c r="J432" s="46" t="str">
        <f t="shared" si="34"/>
        <v/>
      </c>
      <c r="K432" s="46">
        <f t="shared" si="35"/>
        <v>0</v>
      </c>
      <c r="L432" s="49" t="str">
        <f t="shared" si="36"/>
        <v/>
      </c>
      <c r="M432" s="49" t="str">
        <f t="shared" si="36"/>
        <v/>
      </c>
      <c r="N432" s="49" t="str">
        <f t="shared" si="36"/>
        <v>Within Tolerance</v>
      </c>
    </row>
    <row r="433" spans="1:14" s="43" customFormat="1" hidden="1" x14ac:dyDescent="0.3">
      <c r="A433" s="202">
        <v>46160</v>
      </c>
      <c r="B433" s="75">
        <v>46160.458333333299</v>
      </c>
      <c r="C433" s="150">
        <f t="shared" si="32"/>
        <v>46160.458333333299</v>
      </c>
      <c r="D433" s="7" t="s">
        <v>22</v>
      </c>
      <c r="E433" s="15" t="s">
        <v>19</v>
      </c>
      <c r="F433" s="121">
        <v>0.56000000000000005</v>
      </c>
      <c r="G433" s="115">
        <v>0.56000000000000005</v>
      </c>
      <c r="H433" s="116">
        <v>0.56000000000000005</v>
      </c>
      <c r="I433" s="46">
        <f t="shared" si="33"/>
        <v>0</v>
      </c>
      <c r="J433" s="46">
        <f t="shared" si="34"/>
        <v>0</v>
      </c>
      <c r="K433" s="46">
        <f t="shared" si="35"/>
        <v>0</v>
      </c>
      <c r="L433" s="49" t="str">
        <f t="shared" si="36"/>
        <v>Within Tolerance</v>
      </c>
      <c r="M433" s="49" t="str">
        <f t="shared" si="36"/>
        <v>Within Tolerance</v>
      </c>
      <c r="N433" s="49" t="str">
        <f t="shared" si="36"/>
        <v>Within Tolerance</v>
      </c>
    </row>
    <row r="434" spans="1:14" s="43" customFormat="1" hidden="1" x14ac:dyDescent="0.3">
      <c r="A434" s="203">
        <v>46160</v>
      </c>
      <c r="B434" s="77">
        <v>46160.489583333299</v>
      </c>
      <c r="C434" s="155">
        <f t="shared" si="32"/>
        <v>46160.489583333299</v>
      </c>
      <c r="D434" s="32" t="s">
        <v>21</v>
      </c>
      <c r="E434" s="15" t="s">
        <v>19</v>
      </c>
      <c r="F434" s="118">
        <v>0.55000000000000004</v>
      </c>
      <c r="G434" s="115">
        <v>0.53</v>
      </c>
      <c r="H434" s="116">
        <v>0.55000000000000004</v>
      </c>
      <c r="I434" s="46">
        <f t="shared" si="33"/>
        <v>-2.0000000000000018E-2</v>
      </c>
      <c r="J434" s="46">
        <f t="shared" si="34"/>
        <v>0</v>
      </c>
      <c r="K434" s="46">
        <f t="shared" si="35"/>
        <v>2.0000000000000018E-2</v>
      </c>
      <c r="L434" s="49" t="str">
        <f t="shared" si="36"/>
        <v>Within Tolerance</v>
      </c>
      <c r="M434" s="49" t="str">
        <f t="shared" si="36"/>
        <v>Within Tolerance</v>
      </c>
      <c r="N434" s="49" t="str">
        <f t="shared" si="36"/>
        <v>Within Tolerance</v>
      </c>
    </row>
    <row r="435" spans="1:14" s="43" customFormat="1" hidden="1" x14ac:dyDescent="0.3">
      <c r="A435" s="204">
        <v>46161</v>
      </c>
      <c r="B435" s="78">
        <v>46160.572916666701</v>
      </c>
      <c r="C435" s="158">
        <f t="shared" si="32"/>
        <v>46161.572916666701</v>
      </c>
      <c r="D435" s="8" t="s">
        <v>37</v>
      </c>
      <c r="E435" s="15" t="s">
        <v>19</v>
      </c>
      <c r="F435" s="121">
        <v>0.43</v>
      </c>
      <c r="G435" s="115">
        <v>0.46</v>
      </c>
      <c r="H435" s="116">
        <v>0.46</v>
      </c>
      <c r="I435" s="46">
        <f t="shared" si="33"/>
        <v>3.0000000000000027E-2</v>
      </c>
      <c r="J435" s="46">
        <f t="shared" si="34"/>
        <v>3.0000000000000027E-2</v>
      </c>
      <c r="K435" s="46">
        <f t="shared" si="35"/>
        <v>0</v>
      </c>
      <c r="L435" s="49" t="str">
        <f t="shared" si="36"/>
        <v>Out of Tolerance</v>
      </c>
      <c r="M435" s="49" t="str">
        <f t="shared" si="36"/>
        <v>Out of Tolerance</v>
      </c>
      <c r="N435" s="49" t="str">
        <f t="shared" si="36"/>
        <v>Within Tolerance</v>
      </c>
    </row>
    <row r="436" spans="1:14" s="43" customFormat="1" hidden="1" x14ac:dyDescent="0.3">
      <c r="A436" s="205">
        <v>46161</v>
      </c>
      <c r="B436" s="70">
        <v>46160.618055555598</v>
      </c>
      <c r="C436" s="159">
        <f t="shared" si="32"/>
        <v>46161.618055555598</v>
      </c>
      <c r="D436" s="8" t="s">
        <v>34</v>
      </c>
      <c r="E436" s="7" t="s">
        <v>19</v>
      </c>
      <c r="F436" s="118">
        <v>0.55000000000000004</v>
      </c>
      <c r="G436" s="115">
        <v>0.54</v>
      </c>
      <c r="H436" s="116">
        <v>0.55000000000000004</v>
      </c>
      <c r="I436" s="46">
        <f t="shared" si="33"/>
        <v>-1.0000000000000009E-2</v>
      </c>
      <c r="J436" s="46">
        <f t="shared" si="34"/>
        <v>0</v>
      </c>
      <c r="K436" s="46">
        <f t="shared" si="35"/>
        <v>1.0000000000000009E-2</v>
      </c>
      <c r="L436" s="49" t="str">
        <f t="shared" si="36"/>
        <v>Within Tolerance</v>
      </c>
      <c r="M436" s="49" t="str">
        <f t="shared" si="36"/>
        <v>Within Tolerance</v>
      </c>
      <c r="N436" s="49" t="str">
        <f t="shared" si="36"/>
        <v>Within Tolerance</v>
      </c>
    </row>
    <row r="437" spans="1:14" s="43" customFormat="1" hidden="1" x14ac:dyDescent="0.3">
      <c r="A437" s="204">
        <v>46161</v>
      </c>
      <c r="B437" s="69">
        <v>46160.833333333299</v>
      </c>
      <c r="C437" s="158">
        <f t="shared" si="32"/>
        <v>46161.833333333299</v>
      </c>
      <c r="D437" s="8" t="s">
        <v>57</v>
      </c>
      <c r="E437" s="15" t="s">
        <v>19</v>
      </c>
      <c r="F437" s="118">
        <v>0.37</v>
      </c>
      <c r="G437" s="115">
        <v>0.39</v>
      </c>
      <c r="H437" s="116">
        <v>0.38</v>
      </c>
      <c r="I437" s="46">
        <f t="shared" si="33"/>
        <v>2.0000000000000018E-2</v>
      </c>
      <c r="J437" s="46">
        <f t="shared" si="34"/>
        <v>1.0000000000000009E-2</v>
      </c>
      <c r="K437" s="46">
        <f t="shared" si="35"/>
        <v>-1.0000000000000009E-2</v>
      </c>
      <c r="L437" s="49" t="str">
        <f t="shared" si="36"/>
        <v>Within Tolerance</v>
      </c>
      <c r="M437" s="49" t="str">
        <f t="shared" si="36"/>
        <v>Within Tolerance</v>
      </c>
      <c r="N437" s="49" t="str">
        <f t="shared" si="36"/>
        <v>Within Tolerance</v>
      </c>
    </row>
    <row r="438" spans="1:14" s="43" customFormat="1" hidden="1" x14ac:dyDescent="0.3">
      <c r="A438" s="205">
        <v>46161</v>
      </c>
      <c r="B438" s="70">
        <v>46160.989583333299</v>
      </c>
      <c r="C438" s="159">
        <f t="shared" si="32"/>
        <v>46161.989583333299</v>
      </c>
      <c r="D438" s="7" t="s">
        <v>31</v>
      </c>
      <c r="E438" s="7" t="s">
        <v>19</v>
      </c>
      <c r="F438" s="118">
        <v>0.54</v>
      </c>
      <c r="G438" s="115">
        <v>0.56000000000000005</v>
      </c>
      <c r="H438" s="116">
        <v>0.59</v>
      </c>
      <c r="I438" s="46">
        <f t="shared" si="33"/>
        <v>2.0000000000000018E-2</v>
      </c>
      <c r="J438" s="46">
        <f t="shared" si="34"/>
        <v>4.9999999999999933E-2</v>
      </c>
      <c r="K438" s="46">
        <f t="shared" si="35"/>
        <v>2.9999999999999916E-2</v>
      </c>
      <c r="L438" s="49" t="str">
        <f t="shared" si="36"/>
        <v>Within Tolerance</v>
      </c>
      <c r="M438" s="49" t="str">
        <f t="shared" si="36"/>
        <v>Out of Tolerance</v>
      </c>
      <c r="N438" s="49" t="str">
        <f t="shared" si="36"/>
        <v>Out of Tolerance</v>
      </c>
    </row>
    <row r="439" spans="1:14" s="43" customFormat="1" hidden="1" x14ac:dyDescent="0.3">
      <c r="A439" s="183">
        <v>46161</v>
      </c>
      <c r="B439" s="96">
        <v>46160.444444444402</v>
      </c>
      <c r="C439" s="222">
        <f t="shared" si="32"/>
        <v>46161.444444444402</v>
      </c>
      <c r="D439" s="7" t="s">
        <v>26</v>
      </c>
      <c r="E439" s="7" t="s">
        <v>24</v>
      </c>
      <c r="F439" s="118" t="s">
        <v>93</v>
      </c>
      <c r="G439" s="116">
        <v>0.62</v>
      </c>
      <c r="H439" s="116">
        <v>0.64</v>
      </c>
      <c r="I439" s="46" t="str">
        <f t="shared" si="33"/>
        <v/>
      </c>
      <c r="J439" s="46" t="str">
        <f t="shared" si="34"/>
        <v/>
      </c>
      <c r="K439" s="46">
        <f t="shared" si="35"/>
        <v>2.0000000000000018E-2</v>
      </c>
      <c r="L439" s="49" t="str">
        <f t="shared" si="36"/>
        <v/>
      </c>
      <c r="M439" s="49" t="str">
        <f t="shared" si="36"/>
        <v/>
      </c>
      <c r="N439" s="49" t="str">
        <f t="shared" si="36"/>
        <v>Within Tolerance</v>
      </c>
    </row>
    <row r="440" spans="1:14" s="43" customFormat="1" hidden="1" x14ac:dyDescent="0.3">
      <c r="A440" s="200">
        <v>46161</v>
      </c>
      <c r="B440" s="91">
        <v>46160.527777777803</v>
      </c>
      <c r="C440" s="227">
        <f t="shared" si="32"/>
        <v>46161.527777777803</v>
      </c>
      <c r="D440" s="7" t="s">
        <v>25</v>
      </c>
      <c r="E440" s="7" t="s">
        <v>24</v>
      </c>
      <c r="F440" s="118">
        <v>0.57999999999999996</v>
      </c>
      <c r="G440" s="116">
        <v>0.57999999999999996</v>
      </c>
      <c r="H440" s="116">
        <v>0.57999999999999996</v>
      </c>
      <c r="I440" s="46">
        <f t="shared" si="33"/>
        <v>0</v>
      </c>
      <c r="J440" s="46">
        <f t="shared" si="34"/>
        <v>0</v>
      </c>
      <c r="K440" s="46">
        <f t="shared" si="35"/>
        <v>0</v>
      </c>
      <c r="L440" s="49" t="str">
        <f t="shared" si="36"/>
        <v>Within Tolerance</v>
      </c>
      <c r="M440" s="49" t="str">
        <f t="shared" si="36"/>
        <v>Within Tolerance</v>
      </c>
      <c r="N440" s="49" t="str">
        <f t="shared" si="36"/>
        <v>Within Tolerance</v>
      </c>
    </row>
    <row r="441" spans="1:14" s="43" customFormat="1" hidden="1" x14ac:dyDescent="0.3">
      <c r="A441" s="169">
        <v>46161</v>
      </c>
      <c r="B441" s="64">
        <v>46161.333333333299</v>
      </c>
      <c r="C441" s="142">
        <f t="shared" si="32"/>
        <v>46161.333333333299</v>
      </c>
      <c r="D441" s="19" t="s">
        <v>13</v>
      </c>
      <c r="E441" s="7" t="s">
        <v>11</v>
      </c>
      <c r="F441" s="118">
        <v>0.52</v>
      </c>
      <c r="G441" s="115">
        <v>0.52</v>
      </c>
      <c r="H441" s="116">
        <v>0.54</v>
      </c>
      <c r="I441" s="46">
        <f t="shared" si="33"/>
        <v>0</v>
      </c>
      <c r="J441" s="46">
        <f t="shared" si="34"/>
        <v>2.0000000000000018E-2</v>
      </c>
      <c r="K441" s="46">
        <f t="shared" si="35"/>
        <v>2.0000000000000018E-2</v>
      </c>
      <c r="L441" s="49" t="str">
        <f t="shared" si="36"/>
        <v>Within Tolerance</v>
      </c>
      <c r="M441" s="49" t="str">
        <f t="shared" si="36"/>
        <v>Within Tolerance</v>
      </c>
      <c r="N441" s="49" t="str">
        <f t="shared" si="36"/>
        <v>Within Tolerance</v>
      </c>
    </row>
    <row r="442" spans="1:14" s="43" customFormat="1" x14ac:dyDescent="0.3">
      <c r="A442" s="168">
        <v>46161</v>
      </c>
      <c r="B442" s="64">
        <v>46161.770833333299</v>
      </c>
      <c r="C442" s="142">
        <f t="shared" si="32"/>
        <v>46161.770833333299</v>
      </c>
      <c r="D442" s="19" t="s">
        <v>35</v>
      </c>
      <c r="E442" s="7" t="s">
        <v>11</v>
      </c>
      <c r="F442" s="118" t="s">
        <v>93</v>
      </c>
      <c r="G442" s="115">
        <v>0.59</v>
      </c>
      <c r="H442" s="116"/>
      <c r="I442" s="46" t="str">
        <f t="shared" si="33"/>
        <v/>
      </c>
      <c r="J442" s="46" t="str">
        <f t="shared" si="34"/>
        <v/>
      </c>
      <c r="K442" s="46" t="str">
        <f t="shared" si="35"/>
        <v/>
      </c>
      <c r="L442" s="49" t="str">
        <f t="shared" si="36"/>
        <v/>
      </c>
      <c r="M442" s="49" t="str">
        <f t="shared" si="36"/>
        <v/>
      </c>
      <c r="N442" s="49" t="str">
        <f t="shared" si="36"/>
        <v/>
      </c>
    </row>
    <row r="443" spans="1:14" s="43" customFormat="1" hidden="1" x14ac:dyDescent="0.3">
      <c r="A443" s="169">
        <v>46161</v>
      </c>
      <c r="B443" s="64">
        <v>46161.788194444402</v>
      </c>
      <c r="C443" s="142">
        <f t="shared" si="32"/>
        <v>46161.788194444402</v>
      </c>
      <c r="D443" s="19" t="s">
        <v>35</v>
      </c>
      <c r="E443" s="7" t="s">
        <v>11</v>
      </c>
      <c r="F443" s="118" t="s">
        <v>93</v>
      </c>
      <c r="G443" s="115">
        <v>0.54</v>
      </c>
      <c r="H443" s="116">
        <v>0.59</v>
      </c>
      <c r="I443" s="46" t="str">
        <f t="shared" si="33"/>
        <v/>
      </c>
      <c r="J443" s="46" t="str">
        <f t="shared" si="34"/>
        <v/>
      </c>
      <c r="K443" s="46">
        <f t="shared" si="35"/>
        <v>4.9999999999999933E-2</v>
      </c>
      <c r="L443" s="49" t="str">
        <f t="shared" si="36"/>
        <v/>
      </c>
      <c r="M443" s="49" t="str">
        <f t="shared" si="36"/>
        <v/>
      </c>
      <c r="N443" s="49" t="str">
        <f t="shared" si="36"/>
        <v>Out of Tolerance</v>
      </c>
    </row>
    <row r="444" spans="1:14" s="43" customFormat="1" hidden="1" x14ac:dyDescent="0.3">
      <c r="A444" s="168">
        <v>46161</v>
      </c>
      <c r="B444" s="64">
        <v>46161.854166666701</v>
      </c>
      <c r="C444" s="142">
        <f t="shared" si="32"/>
        <v>46161.854166666701</v>
      </c>
      <c r="D444" s="19" t="s">
        <v>35</v>
      </c>
      <c r="E444" s="7" t="s">
        <v>11</v>
      </c>
      <c r="F444" s="118" t="s">
        <v>93</v>
      </c>
      <c r="G444" s="115">
        <v>0.59</v>
      </c>
      <c r="H444" s="116">
        <v>0.59</v>
      </c>
      <c r="I444" s="46" t="str">
        <f t="shared" si="33"/>
        <v/>
      </c>
      <c r="J444" s="46" t="str">
        <f t="shared" si="34"/>
        <v/>
      </c>
      <c r="K444" s="46">
        <f t="shared" si="35"/>
        <v>0</v>
      </c>
      <c r="L444" s="49" t="str">
        <f t="shared" si="36"/>
        <v/>
      </c>
      <c r="M444" s="49" t="str">
        <f t="shared" si="36"/>
        <v/>
      </c>
      <c r="N444" s="49" t="str">
        <f t="shared" si="36"/>
        <v>Within Tolerance</v>
      </c>
    </row>
    <row r="445" spans="1:14" s="43" customFormat="1" hidden="1" x14ac:dyDescent="0.3">
      <c r="A445" s="169">
        <v>46161</v>
      </c>
      <c r="B445" s="64">
        <v>46161.916666666701</v>
      </c>
      <c r="C445" s="142">
        <f t="shared" si="32"/>
        <v>46161.916666666701</v>
      </c>
      <c r="D445" s="19" t="s">
        <v>35</v>
      </c>
      <c r="E445" s="7" t="s">
        <v>11</v>
      </c>
      <c r="F445" s="118" t="s">
        <v>93</v>
      </c>
      <c r="G445" s="115">
        <v>0.59</v>
      </c>
      <c r="H445" s="116">
        <v>0.59</v>
      </c>
      <c r="I445" s="46" t="str">
        <f t="shared" si="33"/>
        <v/>
      </c>
      <c r="J445" s="46" t="str">
        <f t="shared" si="34"/>
        <v/>
      </c>
      <c r="K445" s="46">
        <f t="shared" si="35"/>
        <v>0</v>
      </c>
      <c r="L445" s="49" t="str">
        <f t="shared" si="36"/>
        <v/>
      </c>
      <c r="M445" s="49" t="str">
        <f t="shared" si="36"/>
        <v/>
      </c>
      <c r="N445" s="49" t="str">
        <f t="shared" si="36"/>
        <v>Within Tolerance</v>
      </c>
    </row>
    <row r="446" spans="1:14" s="43" customFormat="1" hidden="1" x14ac:dyDescent="0.3">
      <c r="A446" s="168">
        <v>46161</v>
      </c>
      <c r="B446" s="64">
        <v>46162</v>
      </c>
      <c r="C446" s="142">
        <f t="shared" si="32"/>
        <v>46161</v>
      </c>
      <c r="D446" s="19" t="s">
        <v>35</v>
      </c>
      <c r="E446" s="7" t="s">
        <v>11</v>
      </c>
      <c r="F446" s="118" t="s">
        <v>93</v>
      </c>
      <c r="G446" s="115">
        <v>0.59</v>
      </c>
      <c r="H446" s="116">
        <v>0.61</v>
      </c>
      <c r="I446" s="46" t="str">
        <f t="shared" si="33"/>
        <v/>
      </c>
      <c r="J446" s="46" t="str">
        <f t="shared" si="34"/>
        <v/>
      </c>
      <c r="K446" s="46">
        <f t="shared" si="35"/>
        <v>2.0000000000000018E-2</v>
      </c>
      <c r="L446" s="49" t="str">
        <f t="shared" si="36"/>
        <v/>
      </c>
      <c r="M446" s="49" t="str">
        <f t="shared" si="36"/>
        <v/>
      </c>
      <c r="N446" s="49" t="str">
        <f t="shared" si="36"/>
        <v>Within Tolerance</v>
      </c>
    </row>
    <row r="447" spans="1:14" s="43" customFormat="1" hidden="1" x14ac:dyDescent="0.3">
      <c r="A447" s="169">
        <v>46162</v>
      </c>
      <c r="B447" s="64">
        <v>46162.083333333299</v>
      </c>
      <c r="C447" s="142">
        <f t="shared" si="32"/>
        <v>46162.083333333299</v>
      </c>
      <c r="D447" s="19" t="s">
        <v>35</v>
      </c>
      <c r="E447" s="7" t="s">
        <v>11</v>
      </c>
      <c r="F447" s="118" t="s">
        <v>93</v>
      </c>
      <c r="G447" s="115">
        <v>0.57999999999999996</v>
      </c>
      <c r="H447" s="116">
        <v>0.57999999999999996</v>
      </c>
      <c r="I447" s="46" t="str">
        <f t="shared" si="33"/>
        <v/>
      </c>
      <c r="J447" s="46" t="str">
        <f t="shared" si="34"/>
        <v/>
      </c>
      <c r="K447" s="46">
        <f t="shared" si="35"/>
        <v>0</v>
      </c>
      <c r="L447" s="49" t="str">
        <f t="shared" si="36"/>
        <v/>
      </c>
      <c r="M447" s="49" t="str">
        <f t="shared" si="36"/>
        <v/>
      </c>
      <c r="N447" s="49" t="str">
        <f t="shared" si="36"/>
        <v>Within Tolerance</v>
      </c>
    </row>
    <row r="448" spans="1:14" hidden="1" x14ac:dyDescent="0.3">
      <c r="A448" s="168">
        <v>46162</v>
      </c>
      <c r="B448" s="64">
        <v>46162.166666666701</v>
      </c>
      <c r="C448" s="142">
        <f t="shared" si="32"/>
        <v>46162.166666666701</v>
      </c>
      <c r="D448" s="19" t="s">
        <v>35</v>
      </c>
      <c r="E448" s="7" t="s">
        <v>11</v>
      </c>
      <c r="F448" s="118" t="s">
        <v>93</v>
      </c>
      <c r="G448" s="115">
        <v>0.55000000000000004</v>
      </c>
      <c r="H448" s="116">
        <v>0.6</v>
      </c>
      <c r="I448" s="46" t="str">
        <f t="shared" si="33"/>
        <v/>
      </c>
      <c r="J448" s="46" t="str">
        <f t="shared" si="34"/>
        <v/>
      </c>
      <c r="K448" s="46">
        <f t="shared" si="35"/>
        <v>4.9999999999999933E-2</v>
      </c>
      <c r="L448" s="49" t="str">
        <f t="shared" si="36"/>
        <v/>
      </c>
      <c r="M448" s="49" t="str">
        <f t="shared" si="36"/>
        <v/>
      </c>
      <c r="N448" s="49" t="str">
        <f t="shared" si="36"/>
        <v>Out of Tolerance</v>
      </c>
    </row>
    <row r="449" spans="1:14" hidden="1" x14ac:dyDescent="0.3">
      <c r="A449" s="169">
        <v>46162</v>
      </c>
      <c r="B449" s="64">
        <v>46162.246527777803</v>
      </c>
      <c r="C449" s="142">
        <f t="shared" si="32"/>
        <v>46162.246527777803</v>
      </c>
      <c r="D449" s="19" t="s">
        <v>41</v>
      </c>
      <c r="E449" s="7" t="s">
        <v>15</v>
      </c>
      <c r="F449" s="118" t="s">
        <v>93</v>
      </c>
      <c r="G449" s="115">
        <v>0.56000000000000005</v>
      </c>
      <c r="H449" s="116">
        <v>0.56000000000000005</v>
      </c>
      <c r="I449" s="46" t="str">
        <f t="shared" si="33"/>
        <v/>
      </c>
      <c r="J449" s="46" t="str">
        <f t="shared" si="34"/>
        <v/>
      </c>
      <c r="K449" s="46">
        <f t="shared" si="35"/>
        <v>0</v>
      </c>
      <c r="L449" s="49" t="str">
        <f t="shared" si="36"/>
        <v/>
      </c>
      <c r="M449" s="49" t="str">
        <f t="shared" si="36"/>
        <v/>
      </c>
      <c r="N449" s="49" t="str">
        <f t="shared" si="36"/>
        <v>Within Tolerance</v>
      </c>
    </row>
    <row r="450" spans="1:14" hidden="1" x14ac:dyDescent="0.3">
      <c r="A450" s="168">
        <v>46161</v>
      </c>
      <c r="B450" s="64">
        <v>46161.333333333299</v>
      </c>
      <c r="C450" s="142">
        <f t="shared" ref="C450:C513" si="37">A450+MOD(B450,1)</f>
        <v>46161.333333333299</v>
      </c>
      <c r="D450" s="7" t="s">
        <v>28</v>
      </c>
      <c r="E450" s="7" t="s">
        <v>15</v>
      </c>
      <c r="F450" s="118">
        <v>0.52</v>
      </c>
      <c r="G450" s="115">
        <v>0.51</v>
      </c>
      <c r="H450" s="116">
        <v>0.52</v>
      </c>
      <c r="I450" s="46">
        <f t="shared" si="33"/>
        <v>-1.0000000000000009E-2</v>
      </c>
      <c r="J450" s="46">
        <f t="shared" si="34"/>
        <v>0</v>
      </c>
      <c r="K450" s="46">
        <f t="shared" si="35"/>
        <v>1.0000000000000009E-2</v>
      </c>
      <c r="L450" s="49" t="str">
        <f t="shared" si="36"/>
        <v>Within Tolerance</v>
      </c>
      <c r="M450" s="49" t="str">
        <f t="shared" si="36"/>
        <v>Within Tolerance</v>
      </c>
      <c r="N450" s="49" t="str">
        <f t="shared" si="36"/>
        <v>Within Tolerance</v>
      </c>
    </row>
    <row r="451" spans="1:14" hidden="1" x14ac:dyDescent="0.3">
      <c r="A451" s="169">
        <v>46161</v>
      </c>
      <c r="B451" s="64">
        <v>46161.402777777803</v>
      </c>
      <c r="C451" s="142">
        <f t="shared" si="37"/>
        <v>46161.402777777803</v>
      </c>
      <c r="D451" s="19" t="s">
        <v>40</v>
      </c>
      <c r="E451" s="7" t="s">
        <v>15</v>
      </c>
      <c r="F451" s="118" t="s">
        <v>93</v>
      </c>
      <c r="G451" s="115">
        <v>0.52</v>
      </c>
      <c r="H451" s="116">
        <v>0.54</v>
      </c>
      <c r="I451" s="46" t="str">
        <f t="shared" ref="I451:I514" si="38">IF(OR(TRIM(F451&amp;"")="",TRIM(G451&amp;"")="",F451="-",G451="-"),"",G451-F451)</f>
        <v/>
      </c>
      <c r="J451" s="46" t="str">
        <f t="shared" ref="J451:J514" si="39">IF(OR(TRIM(F451&amp;"")="",TRIM(H451&amp;"")="",F451="-",H451="-"),"",H451-F451)</f>
        <v/>
      </c>
      <c r="K451" s="46">
        <f t="shared" ref="K451:K514" si="40">IF(OR(TRIM(G451&amp;"")="",TRIM(H451&amp;"")="",G451="-",H451="-"),"",H451-G451)</f>
        <v>2.0000000000000018E-2</v>
      </c>
      <c r="L451" s="49" t="str">
        <f t="shared" ref="L451:N514" si="41">IF(ISNUMBER(I451),IF(ABS(I451)&lt;=0.02,"Within Tolerance","Out of Tolerance"),"")</f>
        <v/>
      </c>
      <c r="M451" s="49" t="str">
        <f t="shared" si="41"/>
        <v/>
      </c>
      <c r="N451" s="49" t="str">
        <f t="shared" si="41"/>
        <v>Within Tolerance</v>
      </c>
    </row>
    <row r="452" spans="1:14" hidden="1" x14ac:dyDescent="0.3">
      <c r="A452" s="168">
        <v>46161</v>
      </c>
      <c r="B452" s="64">
        <v>46161.5</v>
      </c>
      <c r="C452" s="142">
        <f t="shared" si="37"/>
        <v>46161.5</v>
      </c>
      <c r="D452" s="19" t="s">
        <v>40</v>
      </c>
      <c r="E452" s="7" t="s">
        <v>15</v>
      </c>
      <c r="F452" s="118" t="s">
        <v>93</v>
      </c>
      <c r="G452" s="115">
        <v>0.53</v>
      </c>
      <c r="H452" s="116">
        <v>0.52</v>
      </c>
      <c r="I452" s="46" t="str">
        <f t="shared" si="38"/>
        <v/>
      </c>
      <c r="J452" s="46" t="str">
        <f t="shared" si="39"/>
        <v/>
      </c>
      <c r="K452" s="46">
        <f t="shared" si="40"/>
        <v>-1.0000000000000009E-2</v>
      </c>
      <c r="L452" s="49" t="str">
        <f t="shared" si="41"/>
        <v/>
      </c>
      <c r="M452" s="49" t="str">
        <f t="shared" si="41"/>
        <v/>
      </c>
      <c r="N452" s="49" t="str">
        <f t="shared" si="41"/>
        <v>Within Tolerance</v>
      </c>
    </row>
    <row r="453" spans="1:14" hidden="1" x14ac:dyDescent="0.3">
      <c r="A453" s="169">
        <v>46161</v>
      </c>
      <c r="B453" s="64">
        <v>46161.583333333299</v>
      </c>
      <c r="C453" s="142">
        <f t="shared" si="37"/>
        <v>46161.583333333299</v>
      </c>
      <c r="D453" s="19" t="s">
        <v>40</v>
      </c>
      <c r="E453" s="7" t="s">
        <v>15</v>
      </c>
      <c r="F453" s="118" t="s">
        <v>93</v>
      </c>
      <c r="G453" s="115">
        <v>0.56000000000000005</v>
      </c>
      <c r="H453" s="116">
        <v>0.55000000000000004</v>
      </c>
      <c r="I453" s="46" t="str">
        <f t="shared" si="38"/>
        <v/>
      </c>
      <c r="J453" s="46" t="str">
        <f t="shared" si="39"/>
        <v/>
      </c>
      <c r="K453" s="46">
        <f t="shared" si="40"/>
        <v>-1.0000000000000009E-2</v>
      </c>
      <c r="L453" s="49" t="str">
        <f t="shared" si="41"/>
        <v/>
      </c>
      <c r="M453" s="49" t="str">
        <f t="shared" si="41"/>
        <v/>
      </c>
      <c r="N453" s="49" t="str">
        <f t="shared" si="41"/>
        <v>Within Tolerance</v>
      </c>
    </row>
    <row r="454" spans="1:14" hidden="1" x14ac:dyDescent="0.3">
      <c r="A454" s="168">
        <v>46161</v>
      </c>
      <c r="B454" s="64">
        <v>46161.666666666701</v>
      </c>
      <c r="C454" s="142">
        <f t="shared" si="37"/>
        <v>46161.666666666701</v>
      </c>
      <c r="D454" s="19" t="s">
        <v>40</v>
      </c>
      <c r="E454" s="7" t="s">
        <v>15</v>
      </c>
      <c r="F454" s="119">
        <v>0.59</v>
      </c>
      <c r="G454" s="115">
        <v>0.56999999999999995</v>
      </c>
      <c r="H454" s="116">
        <v>0.54</v>
      </c>
      <c r="I454" s="46">
        <f t="shared" si="38"/>
        <v>-2.0000000000000018E-2</v>
      </c>
      <c r="J454" s="46">
        <f t="shared" si="39"/>
        <v>-4.9999999999999933E-2</v>
      </c>
      <c r="K454" s="46">
        <f t="shared" si="40"/>
        <v>-2.9999999999999916E-2</v>
      </c>
      <c r="L454" s="49" t="str">
        <f t="shared" si="41"/>
        <v>Within Tolerance</v>
      </c>
      <c r="M454" s="49" t="str">
        <f t="shared" si="41"/>
        <v>Out of Tolerance</v>
      </c>
      <c r="N454" s="49" t="str">
        <f t="shared" si="41"/>
        <v>Out of Tolerance</v>
      </c>
    </row>
    <row r="455" spans="1:14" hidden="1" x14ac:dyDescent="0.3">
      <c r="A455" s="169">
        <v>46161</v>
      </c>
      <c r="B455" s="64">
        <v>46161.75</v>
      </c>
      <c r="C455" s="142">
        <f t="shared" si="37"/>
        <v>46161.75</v>
      </c>
      <c r="D455" s="19" t="s">
        <v>40</v>
      </c>
      <c r="E455" s="7" t="s">
        <v>15</v>
      </c>
      <c r="F455" s="118" t="s">
        <v>93</v>
      </c>
      <c r="G455" s="115">
        <v>0.56000000000000005</v>
      </c>
      <c r="H455" s="116">
        <v>0.55000000000000004</v>
      </c>
      <c r="I455" s="46" t="str">
        <f t="shared" si="38"/>
        <v/>
      </c>
      <c r="J455" s="46" t="str">
        <f t="shared" si="39"/>
        <v/>
      </c>
      <c r="K455" s="46">
        <f t="shared" si="40"/>
        <v>-1.0000000000000009E-2</v>
      </c>
      <c r="L455" s="49" t="str">
        <f t="shared" si="41"/>
        <v/>
      </c>
      <c r="M455" s="49" t="str">
        <f t="shared" si="41"/>
        <v/>
      </c>
      <c r="N455" s="49" t="str">
        <f t="shared" si="41"/>
        <v>Within Tolerance</v>
      </c>
    </row>
    <row r="456" spans="1:14" hidden="1" x14ac:dyDescent="0.3">
      <c r="A456" s="168">
        <v>46161</v>
      </c>
      <c r="B456" s="64">
        <v>46161.833333333299</v>
      </c>
      <c r="C456" s="142">
        <f t="shared" si="37"/>
        <v>46161.833333333299</v>
      </c>
      <c r="D456" s="19" t="s">
        <v>40</v>
      </c>
      <c r="E456" s="7" t="s">
        <v>15</v>
      </c>
      <c r="F456" s="118" t="s">
        <v>93</v>
      </c>
      <c r="G456" s="115">
        <v>0.56000000000000005</v>
      </c>
      <c r="H456" s="116">
        <v>0.55000000000000004</v>
      </c>
      <c r="I456" s="46" t="str">
        <f t="shared" si="38"/>
        <v/>
      </c>
      <c r="J456" s="46" t="str">
        <f t="shared" si="39"/>
        <v/>
      </c>
      <c r="K456" s="46">
        <f t="shared" si="40"/>
        <v>-1.0000000000000009E-2</v>
      </c>
      <c r="L456" s="49" t="str">
        <f t="shared" si="41"/>
        <v/>
      </c>
      <c r="M456" s="49" t="str">
        <f t="shared" si="41"/>
        <v/>
      </c>
      <c r="N456" s="49" t="str">
        <f t="shared" si="41"/>
        <v>Within Tolerance</v>
      </c>
    </row>
    <row r="457" spans="1:14" hidden="1" x14ac:dyDescent="0.3">
      <c r="A457" s="169">
        <v>46161</v>
      </c>
      <c r="B457" s="64">
        <v>46161.916666666701</v>
      </c>
      <c r="C457" s="142">
        <f t="shared" si="37"/>
        <v>46161.916666666701</v>
      </c>
      <c r="D457" s="19" t="s">
        <v>40</v>
      </c>
      <c r="E457" s="7" t="s">
        <v>15</v>
      </c>
      <c r="F457" s="118" t="s">
        <v>93</v>
      </c>
      <c r="G457" s="115">
        <v>0.56000000000000005</v>
      </c>
      <c r="H457" s="116">
        <v>0.53</v>
      </c>
      <c r="I457" s="46" t="str">
        <f t="shared" si="38"/>
        <v/>
      </c>
      <c r="J457" s="46" t="str">
        <f t="shared" si="39"/>
        <v/>
      </c>
      <c r="K457" s="46">
        <f t="shared" si="40"/>
        <v>-3.0000000000000027E-2</v>
      </c>
      <c r="L457" s="49" t="str">
        <f t="shared" si="41"/>
        <v/>
      </c>
      <c r="M457" s="49" t="str">
        <f t="shared" si="41"/>
        <v/>
      </c>
      <c r="N457" s="49" t="str">
        <f t="shared" si="41"/>
        <v>Out of Tolerance</v>
      </c>
    </row>
    <row r="458" spans="1:14" x14ac:dyDescent="0.3">
      <c r="A458" s="168">
        <v>46161</v>
      </c>
      <c r="B458" s="64">
        <v>46161.965277777803</v>
      </c>
      <c r="C458" s="142">
        <f t="shared" si="37"/>
        <v>46161.965277777803</v>
      </c>
      <c r="D458" s="19" t="s">
        <v>29</v>
      </c>
      <c r="E458" s="7" t="s">
        <v>15</v>
      </c>
      <c r="F458" s="118" t="s">
        <v>93</v>
      </c>
      <c r="G458" s="115">
        <v>0.54</v>
      </c>
      <c r="H458" s="116"/>
      <c r="I458" s="46" t="str">
        <f t="shared" si="38"/>
        <v/>
      </c>
      <c r="J458" s="46" t="str">
        <f t="shared" si="39"/>
        <v/>
      </c>
      <c r="K458" s="46" t="str">
        <f t="shared" si="40"/>
        <v/>
      </c>
      <c r="L458" s="49" t="str">
        <f t="shared" si="41"/>
        <v/>
      </c>
      <c r="M458" s="49" t="str">
        <f t="shared" si="41"/>
        <v/>
      </c>
      <c r="N458" s="49" t="str">
        <f t="shared" si="41"/>
        <v/>
      </c>
    </row>
    <row r="459" spans="1:14" hidden="1" x14ac:dyDescent="0.3">
      <c r="A459" s="169">
        <v>46161</v>
      </c>
      <c r="B459" s="64">
        <v>46162</v>
      </c>
      <c r="C459" s="142">
        <f t="shared" si="37"/>
        <v>46161</v>
      </c>
      <c r="D459" s="19" t="s">
        <v>29</v>
      </c>
      <c r="E459" s="7" t="s">
        <v>15</v>
      </c>
      <c r="F459" s="118" t="s">
        <v>93</v>
      </c>
      <c r="G459" s="115">
        <v>0.52</v>
      </c>
      <c r="H459" s="116">
        <v>0.52</v>
      </c>
      <c r="I459" s="46" t="str">
        <f t="shared" si="38"/>
        <v/>
      </c>
      <c r="J459" s="46" t="str">
        <f t="shared" si="39"/>
        <v/>
      </c>
      <c r="K459" s="46">
        <f t="shared" si="40"/>
        <v>0</v>
      </c>
      <c r="L459" s="49" t="str">
        <f t="shared" si="41"/>
        <v/>
      </c>
      <c r="M459" s="49" t="str">
        <f t="shared" si="41"/>
        <v/>
      </c>
      <c r="N459" s="49" t="str">
        <f t="shared" si="41"/>
        <v>Within Tolerance</v>
      </c>
    </row>
    <row r="460" spans="1:14" hidden="1" x14ac:dyDescent="0.3">
      <c r="A460" s="168">
        <v>46162</v>
      </c>
      <c r="B460" s="64">
        <v>46162.083333333299</v>
      </c>
      <c r="C460" s="142">
        <f t="shared" si="37"/>
        <v>46162.083333333299</v>
      </c>
      <c r="D460" s="19" t="s">
        <v>29</v>
      </c>
      <c r="E460" s="7" t="s">
        <v>15</v>
      </c>
      <c r="F460" s="118" t="s">
        <v>93</v>
      </c>
      <c r="G460" s="115">
        <v>0.53</v>
      </c>
      <c r="H460" s="116">
        <v>0.53</v>
      </c>
      <c r="I460" s="46" t="str">
        <f t="shared" si="38"/>
        <v/>
      </c>
      <c r="J460" s="46" t="str">
        <f t="shared" si="39"/>
        <v/>
      </c>
      <c r="K460" s="46">
        <f t="shared" si="40"/>
        <v>0</v>
      </c>
      <c r="L460" s="49" t="str">
        <f t="shared" si="41"/>
        <v/>
      </c>
      <c r="M460" s="49" t="str">
        <f t="shared" si="41"/>
        <v/>
      </c>
      <c r="N460" s="49" t="str">
        <f t="shared" si="41"/>
        <v>Within Tolerance</v>
      </c>
    </row>
    <row r="461" spans="1:14" hidden="1" x14ac:dyDescent="0.3">
      <c r="A461" s="169">
        <v>46162</v>
      </c>
      <c r="B461" s="64">
        <v>46162.166666666701</v>
      </c>
      <c r="C461" s="142">
        <f t="shared" si="37"/>
        <v>46162.166666666701</v>
      </c>
      <c r="D461" s="19" t="s">
        <v>29</v>
      </c>
      <c r="E461" s="7" t="s">
        <v>15</v>
      </c>
      <c r="F461" s="118" t="s">
        <v>93</v>
      </c>
      <c r="G461" s="115">
        <v>0.54</v>
      </c>
      <c r="H461" s="116">
        <v>0.54</v>
      </c>
      <c r="I461" s="46" t="str">
        <f t="shared" si="38"/>
        <v/>
      </c>
      <c r="J461" s="46" t="str">
        <f t="shared" si="39"/>
        <v/>
      </c>
      <c r="K461" s="46">
        <f t="shared" si="40"/>
        <v>0</v>
      </c>
      <c r="L461" s="49" t="str">
        <f t="shared" si="41"/>
        <v/>
      </c>
      <c r="M461" s="49" t="str">
        <f t="shared" si="41"/>
        <v/>
      </c>
      <c r="N461" s="49" t="str">
        <f t="shared" si="41"/>
        <v>Within Tolerance</v>
      </c>
    </row>
    <row r="462" spans="1:14" hidden="1" x14ac:dyDescent="0.3">
      <c r="A462" s="168">
        <v>46162</v>
      </c>
      <c r="B462" s="64">
        <v>46162.25</v>
      </c>
      <c r="C462" s="142">
        <f t="shared" si="37"/>
        <v>46162.25</v>
      </c>
      <c r="D462" s="19" t="s">
        <v>29</v>
      </c>
      <c r="E462" s="7" t="s">
        <v>15</v>
      </c>
      <c r="F462" s="118" t="s">
        <v>93</v>
      </c>
      <c r="G462" s="115">
        <v>0.54</v>
      </c>
      <c r="H462" s="116">
        <v>0.54</v>
      </c>
      <c r="I462" s="46" t="str">
        <f t="shared" si="38"/>
        <v/>
      </c>
      <c r="J462" s="46" t="str">
        <f t="shared" si="39"/>
        <v/>
      </c>
      <c r="K462" s="46">
        <f t="shared" si="40"/>
        <v>0</v>
      </c>
      <c r="L462" s="49" t="str">
        <f t="shared" si="41"/>
        <v/>
      </c>
      <c r="M462" s="49" t="str">
        <f t="shared" si="41"/>
        <v/>
      </c>
      <c r="N462" s="49" t="str">
        <f t="shared" si="41"/>
        <v>Within Tolerance</v>
      </c>
    </row>
    <row r="463" spans="1:14" hidden="1" x14ac:dyDescent="0.3">
      <c r="A463" s="173">
        <v>46161</v>
      </c>
      <c r="B463" s="67">
        <v>46161.479166666701</v>
      </c>
      <c r="C463" s="143">
        <f t="shared" si="37"/>
        <v>46161.479166666701</v>
      </c>
      <c r="D463" s="51" t="s">
        <v>20</v>
      </c>
      <c r="E463" s="15" t="s">
        <v>19</v>
      </c>
      <c r="F463" s="121">
        <v>0.55000000000000004</v>
      </c>
      <c r="G463" s="115">
        <v>0.54</v>
      </c>
      <c r="H463" s="116">
        <v>0.55000000000000004</v>
      </c>
      <c r="I463" s="46">
        <f t="shared" si="38"/>
        <v>-1.0000000000000009E-2</v>
      </c>
      <c r="J463" s="46">
        <f t="shared" si="39"/>
        <v>0</v>
      </c>
      <c r="K463" s="46">
        <f t="shared" si="40"/>
        <v>1.0000000000000009E-2</v>
      </c>
      <c r="L463" s="49" t="str">
        <f t="shared" si="41"/>
        <v>Within Tolerance</v>
      </c>
      <c r="M463" s="49" t="str">
        <f t="shared" si="41"/>
        <v>Within Tolerance</v>
      </c>
      <c r="N463" s="49" t="str">
        <f t="shared" si="41"/>
        <v>Within Tolerance</v>
      </c>
    </row>
    <row r="464" spans="1:14" s="43" customFormat="1" hidden="1" x14ac:dyDescent="0.3">
      <c r="A464" s="174">
        <v>46161</v>
      </c>
      <c r="B464" s="66">
        <v>46161.548611111102</v>
      </c>
      <c r="C464" s="144">
        <f t="shared" si="37"/>
        <v>46161.548611111102</v>
      </c>
      <c r="D464" s="19" t="s">
        <v>18</v>
      </c>
      <c r="E464" s="7" t="s">
        <v>19</v>
      </c>
      <c r="F464" s="118">
        <v>0.53</v>
      </c>
      <c r="G464" s="115">
        <v>0.51</v>
      </c>
      <c r="H464" s="116">
        <v>0.53</v>
      </c>
      <c r="I464" s="46">
        <f t="shared" si="38"/>
        <v>-2.0000000000000018E-2</v>
      </c>
      <c r="J464" s="46">
        <f t="shared" si="39"/>
        <v>0</v>
      </c>
      <c r="K464" s="46">
        <f t="shared" si="40"/>
        <v>2.0000000000000018E-2</v>
      </c>
      <c r="L464" s="49" t="str">
        <f t="shared" si="41"/>
        <v>Within Tolerance</v>
      </c>
      <c r="M464" s="49" t="str">
        <f t="shared" si="41"/>
        <v>Within Tolerance</v>
      </c>
      <c r="N464" s="49" t="str">
        <f t="shared" si="41"/>
        <v>Within Tolerance</v>
      </c>
    </row>
    <row r="465" spans="1:14" s="43" customFormat="1" hidden="1" x14ac:dyDescent="0.3">
      <c r="A465" s="183">
        <v>46161</v>
      </c>
      <c r="B465" s="97">
        <v>46161.708333333299</v>
      </c>
      <c r="C465" s="222">
        <f t="shared" si="37"/>
        <v>46161.708333333299</v>
      </c>
      <c r="D465" s="7" t="s">
        <v>22</v>
      </c>
      <c r="E465" s="15" t="s">
        <v>19</v>
      </c>
      <c r="F465" s="121">
        <v>0.52</v>
      </c>
      <c r="G465" s="116">
        <v>0.55000000000000004</v>
      </c>
      <c r="H465" s="116">
        <v>0.56000000000000005</v>
      </c>
      <c r="I465" s="46">
        <f t="shared" si="38"/>
        <v>3.0000000000000027E-2</v>
      </c>
      <c r="J465" s="46">
        <f t="shared" si="39"/>
        <v>4.0000000000000036E-2</v>
      </c>
      <c r="K465" s="46">
        <f t="shared" si="40"/>
        <v>1.0000000000000009E-2</v>
      </c>
      <c r="L465" s="49" t="str">
        <f t="shared" si="41"/>
        <v>Out of Tolerance</v>
      </c>
      <c r="M465" s="49" t="str">
        <f t="shared" si="41"/>
        <v>Out of Tolerance</v>
      </c>
      <c r="N465" s="49" t="str">
        <f t="shared" si="41"/>
        <v>Within Tolerance</v>
      </c>
    </row>
    <row r="466" spans="1:14" s="43" customFormat="1" hidden="1" x14ac:dyDescent="0.3">
      <c r="A466" s="200">
        <v>46161</v>
      </c>
      <c r="B466" s="91">
        <v>46161.788194444402</v>
      </c>
      <c r="C466" s="227">
        <f t="shared" si="37"/>
        <v>46161.788194444402</v>
      </c>
      <c r="D466" s="7" t="s">
        <v>27</v>
      </c>
      <c r="E466" s="15" t="s">
        <v>19</v>
      </c>
      <c r="F466" s="118" t="s">
        <v>93</v>
      </c>
      <c r="G466" s="116">
        <v>0.53</v>
      </c>
      <c r="H466" s="116">
        <v>0.54</v>
      </c>
      <c r="I466" s="46" t="str">
        <f t="shared" si="38"/>
        <v/>
      </c>
      <c r="J466" s="46" t="str">
        <f t="shared" si="39"/>
        <v/>
      </c>
      <c r="K466" s="46">
        <f t="shared" si="40"/>
        <v>1.0000000000000009E-2</v>
      </c>
      <c r="L466" s="49" t="str">
        <f t="shared" si="41"/>
        <v/>
      </c>
      <c r="M466" s="49" t="str">
        <f t="shared" si="41"/>
        <v/>
      </c>
      <c r="N466" s="49" t="str">
        <f t="shared" si="41"/>
        <v>Within Tolerance</v>
      </c>
    </row>
    <row r="467" spans="1:14" s="43" customFormat="1" hidden="1" x14ac:dyDescent="0.3">
      <c r="A467" s="175">
        <v>46161</v>
      </c>
      <c r="B467" s="91">
        <v>46161.458333333299</v>
      </c>
      <c r="C467" s="145">
        <f t="shared" si="37"/>
        <v>46161.458333333299</v>
      </c>
      <c r="D467" s="22" t="s">
        <v>49</v>
      </c>
      <c r="E467" s="7" t="s">
        <v>24</v>
      </c>
      <c r="F467" s="118">
        <v>0.66</v>
      </c>
      <c r="G467" s="115">
        <v>0.65</v>
      </c>
      <c r="H467" s="116">
        <v>0.62</v>
      </c>
      <c r="I467" s="46">
        <f t="shared" si="38"/>
        <v>-1.0000000000000009E-2</v>
      </c>
      <c r="J467" s="46">
        <f t="shared" si="39"/>
        <v>-4.0000000000000036E-2</v>
      </c>
      <c r="K467" s="46">
        <f t="shared" si="40"/>
        <v>-3.0000000000000027E-2</v>
      </c>
      <c r="L467" s="49" t="str">
        <f t="shared" si="41"/>
        <v>Within Tolerance</v>
      </c>
      <c r="M467" s="49" t="str">
        <f t="shared" si="41"/>
        <v>Out of Tolerance</v>
      </c>
      <c r="N467" s="49" t="str">
        <f t="shared" si="41"/>
        <v>Out of Tolerance</v>
      </c>
    </row>
    <row r="468" spans="1:14" s="43" customFormat="1" hidden="1" x14ac:dyDescent="0.3">
      <c r="A468" s="190">
        <v>46161</v>
      </c>
      <c r="B468" s="65">
        <v>46161.548611111102</v>
      </c>
      <c r="C468" s="145">
        <f t="shared" si="37"/>
        <v>46161.548611111102</v>
      </c>
      <c r="D468" s="7" t="s">
        <v>26</v>
      </c>
      <c r="E468" s="7" t="s">
        <v>24</v>
      </c>
      <c r="F468" s="118">
        <v>0.66</v>
      </c>
      <c r="G468" s="115">
        <v>0.65</v>
      </c>
      <c r="H468" s="116">
        <v>0.65</v>
      </c>
      <c r="I468" s="46">
        <f t="shared" si="38"/>
        <v>-1.0000000000000009E-2</v>
      </c>
      <c r="J468" s="46">
        <f t="shared" si="39"/>
        <v>-1.0000000000000009E-2</v>
      </c>
      <c r="K468" s="46">
        <f t="shared" si="40"/>
        <v>0</v>
      </c>
      <c r="L468" s="49" t="str">
        <f t="shared" si="41"/>
        <v>Within Tolerance</v>
      </c>
      <c r="M468" s="49" t="str">
        <f t="shared" si="41"/>
        <v>Within Tolerance</v>
      </c>
      <c r="N468" s="49" t="str">
        <f t="shared" si="41"/>
        <v>Within Tolerance</v>
      </c>
    </row>
    <row r="469" spans="1:14" s="43" customFormat="1" hidden="1" x14ac:dyDescent="0.3">
      <c r="A469" s="177">
        <v>46161</v>
      </c>
      <c r="B469" s="66">
        <v>46161.572916666701</v>
      </c>
      <c r="C469" s="144">
        <f t="shared" si="37"/>
        <v>46161.572916666701</v>
      </c>
      <c r="D469" s="19" t="s">
        <v>38</v>
      </c>
      <c r="E469" s="7" t="s">
        <v>24</v>
      </c>
      <c r="F469" s="118">
        <v>0.59</v>
      </c>
      <c r="G469" s="116">
        <v>0.59</v>
      </c>
      <c r="H469" s="116">
        <v>0.6</v>
      </c>
      <c r="I469" s="46">
        <f t="shared" si="38"/>
        <v>0</v>
      </c>
      <c r="J469" s="46">
        <f t="shared" si="39"/>
        <v>1.0000000000000009E-2</v>
      </c>
      <c r="K469" s="46">
        <f t="shared" si="40"/>
        <v>1.0000000000000009E-2</v>
      </c>
      <c r="L469" s="49" t="str">
        <f t="shared" si="41"/>
        <v>Within Tolerance</v>
      </c>
      <c r="M469" s="49" t="str">
        <f t="shared" si="41"/>
        <v>Within Tolerance</v>
      </c>
      <c r="N469" s="49" t="str">
        <f t="shared" si="41"/>
        <v>Within Tolerance</v>
      </c>
    </row>
    <row r="470" spans="1:14" s="43" customFormat="1" hidden="1" x14ac:dyDescent="0.3">
      <c r="A470" s="168">
        <v>46162</v>
      </c>
      <c r="B470" s="64">
        <v>46162.333333333299</v>
      </c>
      <c r="C470" s="142">
        <f t="shared" si="37"/>
        <v>46162.333333333299</v>
      </c>
      <c r="D470" s="19" t="s">
        <v>41</v>
      </c>
      <c r="E470" s="7" t="s">
        <v>11</v>
      </c>
      <c r="F470" s="118">
        <v>0.52</v>
      </c>
      <c r="G470" s="115">
        <v>0.51</v>
      </c>
      <c r="H470" s="116">
        <v>0.56000000000000005</v>
      </c>
      <c r="I470" s="46">
        <f t="shared" si="38"/>
        <v>-1.0000000000000009E-2</v>
      </c>
      <c r="J470" s="46">
        <f t="shared" si="39"/>
        <v>4.0000000000000036E-2</v>
      </c>
      <c r="K470" s="46">
        <f t="shared" si="40"/>
        <v>5.0000000000000044E-2</v>
      </c>
      <c r="L470" s="49" t="str">
        <f t="shared" si="41"/>
        <v>Within Tolerance</v>
      </c>
      <c r="M470" s="49" t="str">
        <f t="shared" si="41"/>
        <v>Out of Tolerance</v>
      </c>
      <c r="N470" s="49" t="str">
        <f t="shared" si="41"/>
        <v>Out of Tolerance</v>
      </c>
    </row>
    <row r="471" spans="1:14" s="43" customFormat="1" hidden="1" x14ac:dyDescent="0.3">
      <c r="A471" s="169">
        <v>46162</v>
      </c>
      <c r="B471" s="64">
        <v>46162.416666666701</v>
      </c>
      <c r="C471" s="142">
        <f t="shared" si="37"/>
        <v>46162.416666666701</v>
      </c>
      <c r="D471" s="19" t="s">
        <v>41</v>
      </c>
      <c r="E471" s="7" t="s">
        <v>11</v>
      </c>
      <c r="F471" s="118" t="s">
        <v>93</v>
      </c>
      <c r="G471" s="115">
        <v>0.56000000000000005</v>
      </c>
      <c r="H471" s="116">
        <v>0.57999999999999996</v>
      </c>
      <c r="I471" s="46" t="str">
        <f t="shared" si="38"/>
        <v/>
      </c>
      <c r="J471" s="46" t="str">
        <f t="shared" si="39"/>
        <v/>
      </c>
      <c r="K471" s="46">
        <f t="shared" si="40"/>
        <v>1.9999999999999907E-2</v>
      </c>
      <c r="L471" s="49" t="str">
        <f t="shared" si="41"/>
        <v/>
      </c>
      <c r="M471" s="49" t="str">
        <f t="shared" si="41"/>
        <v/>
      </c>
      <c r="N471" s="49" t="str">
        <f t="shared" si="41"/>
        <v>Within Tolerance</v>
      </c>
    </row>
    <row r="472" spans="1:14" s="43" customFormat="1" hidden="1" x14ac:dyDescent="0.3">
      <c r="A472" s="168">
        <v>46162</v>
      </c>
      <c r="B472" s="64">
        <v>46162.5</v>
      </c>
      <c r="C472" s="142">
        <f t="shared" si="37"/>
        <v>46162.5</v>
      </c>
      <c r="D472" s="19" t="s">
        <v>41</v>
      </c>
      <c r="E472" s="7" t="s">
        <v>11</v>
      </c>
      <c r="F472" s="118" t="s">
        <v>93</v>
      </c>
      <c r="G472" s="115">
        <v>0.56000000000000005</v>
      </c>
      <c r="H472" s="116">
        <v>0.56000000000000005</v>
      </c>
      <c r="I472" s="46" t="str">
        <f t="shared" si="38"/>
        <v/>
      </c>
      <c r="J472" s="46" t="str">
        <f t="shared" si="39"/>
        <v/>
      </c>
      <c r="K472" s="46">
        <f t="shared" si="40"/>
        <v>0</v>
      </c>
      <c r="L472" s="49" t="str">
        <f t="shared" si="41"/>
        <v/>
      </c>
      <c r="M472" s="49" t="str">
        <f t="shared" si="41"/>
        <v/>
      </c>
      <c r="N472" s="49" t="str">
        <f t="shared" si="41"/>
        <v>Within Tolerance</v>
      </c>
    </row>
    <row r="473" spans="1:14" s="43" customFormat="1" hidden="1" x14ac:dyDescent="0.3">
      <c r="A473" s="169">
        <v>46162</v>
      </c>
      <c r="B473" s="64">
        <v>46162.604166666701</v>
      </c>
      <c r="C473" s="142">
        <f t="shared" si="37"/>
        <v>46162.604166666701</v>
      </c>
      <c r="D473" s="19" t="s">
        <v>41</v>
      </c>
      <c r="E473" s="7" t="s">
        <v>11</v>
      </c>
      <c r="F473" s="118" t="s">
        <v>93</v>
      </c>
      <c r="G473" s="115">
        <v>0.55000000000000004</v>
      </c>
      <c r="H473" s="116">
        <v>0.54</v>
      </c>
      <c r="I473" s="46" t="str">
        <f t="shared" si="38"/>
        <v/>
      </c>
      <c r="J473" s="46" t="str">
        <f t="shared" si="39"/>
        <v/>
      </c>
      <c r="K473" s="46">
        <f t="shared" si="40"/>
        <v>-1.0000000000000009E-2</v>
      </c>
      <c r="L473" s="49" t="str">
        <f t="shared" si="41"/>
        <v/>
      </c>
      <c r="M473" s="49" t="str">
        <f t="shared" si="41"/>
        <v/>
      </c>
      <c r="N473" s="49" t="str">
        <f t="shared" si="41"/>
        <v>Within Tolerance</v>
      </c>
    </row>
    <row r="474" spans="1:14" s="43" customFormat="1" hidden="1" x14ac:dyDescent="0.3">
      <c r="A474" s="168">
        <v>46162</v>
      </c>
      <c r="B474" s="64">
        <v>46162.715277777803</v>
      </c>
      <c r="C474" s="142">
        <f t="shared" si="37"/>
        <v>46162.715277777803</v>
      </c>
      <c r="D474" s="19" t="s">
        <v>41</v>
      </c>
      <c r="E474" s="7" t="s">
        <v>11</v>
      </c>
      <c r="F474" s="118">
        <v>0.56000000000000005</v>
      </c>
      <c r="G474" s="115">
        <v>0.56000000000000005</v>
      </c>
      <c r="H474" s="116">
        <v>0.56999999999999995</v>
      </c>
      <c r="I474" s="46">
        <f t="shared" si="38"/>
        <v>0</v>
      </c>
      <c r="J474" s="46">
        <f t="shared" si="39"/>
        <v>9.9999999999998979E-3</v>
      </c>
      <c r="K474" s="46">
        <f t="shared" si="40"/>
        <v>9.9999999999998979E-3</v>
      </c>
      <c r="L474" s="49" t="str">
        <f t="shared" si="41"/>
        <v>Within Tolerance</v>
      </c>
      <c r="M474" s="49" t="str">
        <f t="shared" si="41"/>
        <v>Within Tolerance</v>
      </c>
      <c r="N474" s="49" t="str">
        <f t="shared" si="41"/>
        <v>Within Tolerance</v>
      </c>
    </row>
    <row r="475" spans="1:14" s="43" customFormat="1" hidden="1" x14ac:dyDescent="0.3">
      <c r="A475" s="169">
        <v>46162</v>
      </c>
      <c r="B475" s="64">
        <v>46162.777777777803</v>
      </c>
      <c r="C475" s="142">
        <f t="shared" si="37"/>
        <v>46162.777777777803</v>
      </c>
      <c r="D475" s="19" t="s">
        <v>41</v>
      </c>
      <c r="E475" s="7" t="s">
        <v>11</v>
      </c>
      <c r="F475" s="118" t="s">
        <v>93</v>
      </c>
      <c r="G475" s="115">
        <v>0.56999999999999995</v>
      </c>
      <c r="H475" s="116">
        <v>0.57999999999999996</v>
      </c>
      <c r="I475" s="46" t="str">
        <f t="shared" si="38"/>
        <v/>
      </c>
      <c r="J475" s="46" t="str">
        <f t="shared" si="39"/>
        <v/>
      </c>
      <c r="K475" s="46">
        <f t="shared" si="40"/>
        <v>1.0000000000000009E-2</v>
      </c>
      <c r="L475" s="49" t="str">
        <f t="shared" si="41"/>
        <v/>
      </c>
      <c r="M475" s="49" t="str">
        <f t="shared" si="41"/>
        <v/>
      </c>
      <c r="N475" s="49" t="str">
        <f t="shared" si="41"/>
        <v>Within Tolerance</v>
      </c>
    </row>
    <row r="476" spans="1:14" s="43" customFormat="1" x14ac:dyDescent="0.3">
      <c r="A476" s="168">
        <v>46162</v>
      </c>
      <c r="B476" s="64">
        <v>46162.90625</v>
      </c>
      <c r="C476" s="142">
        <f t="shared" si="37"/>
        <v>46162.90625</v>
      </c>
      <c r="D476" s="19" t="s">
        <v>13</v>
      </c>
      <c r="E476" s="7" t="s">
        <v>11</v>
      </c>
      <c r="F476" s="118" t="s">
        <v>93</v>
      </c>
      <c r="G476" s="115">
        <v>0.54</v>
      </c>
      <c r="H476" s="116"/>
      <c r="I476" s="46" t="str">
        <f t="shared" si="38"/>
        <v/>
      </c>
      <c r="J476" s="46" t="str">
        <f t="shared" si="39"/>
        <v/>
      </c>
      <c r="K476" s="46" t="str">
        <f t="shared" si="40"/>
        <v/>
      </c>
      <c r="L476" s="49" t="str">
        <f t="shared" si="41"/>
        <v/>
      </c>
      <c r="M476" s="49" t="str">
        <f t="shared" si="41"/>
        <v/>
      </c>
      <c r="N476" s="49" t="str">
        <f t="shared" si="41"/>
        <v/>
      </c>
    </row>
    <row r="477" spans="1:14" s="43" customFormat="1" hidden="1" x14ac:dyDescent="0.3">
      <c r="A477" s="169">
        <v>46162</v>
      </c>
      <c r="B477" s="64">
        <v>46162.947916666701</v>
      </c>
      <c r="C477" s="142">
        <f t="shared" si="37"/>
        <v>46162.947916666701</v>
      </c>
      <c r="D477" s="19" t="s">
        <v>13</v>
      </c>
      <c r="E477" s="7" t="s">
        <v>11</v>
      </c>
      <c r="F477" s="118" t="s">
        <v>93</v>
      </c>
      <c r="G477" s="115">
        <v>0.56000000000000005</v>
      </c>
      <c r="H477" s="116">
        <v>0.55000000000000004</v>
      </c>
      <c r="I477" s="46" t="str">
        <f t="shared" si="38"/>
        <v/>
      </c>
      <c r="J477" s="46" t="str">
        <f t="shared" si="39"/>
        <v/>
      </c>
      <c r="K477" s="46">
        <f t="shared" si="40"/>
        <v>-1.0000000000000009E-2</v>
      </c>
      <c r="L477" s="49" t="str">
        <f t="shared" si="41"/>
        <v/>
      </c>
      <c r="M477" s="49" t="str">
        <f t="shared" si="41"/>
        <v/>
      </c>
      <c r="N477" s="49" t="str">
        <f t="shared" si="41"/>
        <v>Within Tolerance</v>
      </c>
    </row>
    <row r="478" spans="1:14" s="43" customFormat="1" hidden="1" x14ac:dyDescent="0.3">
      <c r="A478" s="168">
        <v>46162</v>
      </c>
      <c r="B478" s="64">
        <v>46163</v>
      </c>
      <c r="C478" s="142">
        <f t="shared" si="37"/>
        <v>46162</v>
      </c>
      <c r="D478" s="19" t="s">
        <v>13</v>
      </c>
      <c r="E478" s="7" t="s">
        <v>11</v>
      </c>
      <c r="F478" s="118" t="s">
        <v>93</v>
      </c>
      <c r="G478" s="115">
        <v>0.56999999999999995</v>
      </c>
      <c r="H478" s="116">
        <v>0.6</v>
      </c>
      <c r="I478" s="46" t="str">
        <f t="shared" si="38"/>
        <v/>
      </c>
      <c r="J478" s="46" t="str">
        <f t="shared" si="39"/>
        <v/>
      </c>
      <c r="K478" s="46">
        <f t="shared" si="40"/>
        <v>3.0000000000000027E-2</v>
      </c>
      <c r="L478" s="49" t="str">
        <f t="shared" si="41"/>
        <v/>
      </c>
      <c r="M478" s="49" t="str">
        <f t="shared" si="41"/>
        <v/>
      </c>
      <c r="N478" s="49" t="str">
        <f t="shared" si="41"/>
        <v>Out of Tolerance</v>
      </c>
    </row>
    <row r="479" spans="1:14" s="43" customFormat="1" hidden="1" x14ac:dyDescent="0.3">
      <c r="A479" s="169">
        <v>46163</v>
      </c>
      <c r="B479" s="64">
        <v>46163.0625</v>
      </c>
      <c r="C479" s="142">
        <f t="shared" si="37"/>
        <v>46163.0625</v>
      </c>
      <c r="D479" s="19" t="s">
        <v>13</v>
      </c>
      <c r="E479" s="7" t="s">
        <v>11</v>
      </c>
      <c r="F479" s="118" t="s">
        <v>93</v>
      </c>
      <c r="G479" s="115">
        <v>0.53</v>
      </c>
      <c r="H479" s="116">
        <v>0.56000000000000005</v>
      </c>
      <c r="I479" s="46" t="str">
        <f t="shared" si="38"/>
        <v/>
      </c>
      <c r="J479" s="46" t="str">
        <f t="shared" si="39"/>
        <v/>
      </c>
      <c r="K479" s="46">
        <f t="shared" si="40"/>
        <v>3.0000000000000027E-2</v>
      </c>
      <c r="L479" s="49" t="str">
        <f t="shared" si="41"/>
        <v/>
      </c>
      <c r="M479" s="49" t="str">
        <f t="shared" si="41"/>
        <v/>
      </c>
      <c r="N479" s="49" t="str">
        <f t="shared" si="41"/>
        <v>Out of Tolerance</v>
      </c>
    </row>
    <row r="480" spans="1:14" s="43" customFormat="1" hidden="1" x14ac:dyDescent="0.3">
      <c r="A480" s="168">
        <v>46163</v>
      </c>
      <c r="B480" s="64">
        <v>46163.083333333299</v>
      </c>
      <c r="C480" s="142">
        <f t="shared" si="37"/>
        <v>46163.083333333299</v>
      </c>
      <c r="D480" s="19" t="s">
        <v>13</v>
      </c>
      <c r="E480" s="7" t="s">
        <v>11</v>
      </c>
      <c r="F480" s="118" t="s">
        <v>93</v>
      </c>
      <c r="G480" s="115">
        <v>0.53</v>
      </c>
      <c r="H480" s="116">
        <v>0.56999999999999995</v>
      </c>
      <c r="I480" s="46" t="str">
        <f t="shared" si="38"/>
        <v/>
      </c>
      <c r="J480" s="46" t="str">
        <f t="shared" si="39"/>
        <v/>
      </c>
      <c r="K480" s="46">
        <f t="shared" si="40"/>
        <v>3.9999999999999925E-2</v>
      </c>
      <c r="L480" s="49" t="str">
        <f t="shared" si="41"/>
        <v/>
      </c>
      <c r="M480" s="49" t="str">
        <f t="shared" si="41"/>
        <v/>
      </c>
      <c r="N480" s="49" t="str">
        <f t="shared" si="41"/>
        <v>Out of Tolerance</v>
      </c>
    </row>
    <row r="481" spans="1:14" s="43" customFormat="1" hidden="1" x14ac:dyDescent="0.3">
      <c r="A481" s="169">
        <v>46163</v>
      </c>
      <c r="B481" s="64">
        <v>46163.125</v>
      </c>
      <c r="C481" s="142">
        <f t="shared" si="37"/>
        <v>46163.125</v>
      </c>
      <c r="D481" s="19" t="s">
        <v>13</v>
      </c>
      <c r="E481" s="7" t="s">
        <v>11</v>
      </c>
      <c r="F481" s="118" t="s">
        <v>93</v>
      </c>
      <c r="G481" s="115">
        <v>0.53</v>
      </c>
      <c r="H481" s="116">
        <v>0.56000000000000005</v>
      </c>
      <c r="I481" s="46" t="str">
        <f t="shared" si="38"/>
        <v/>
      </c>
      <c r="J481" s="46" t="str">
        <f t="shared" si="39"/>
        <v/>
      </c>
      <c r="K481" s="46">
        <f t="shared" si="40"/>
        <v>3.0000000000000027E-2</v>
      </c>
      <c r="L481" s="49" t="str">
        <f t="shared" si="41"/>
        <v/>
      </c>
      <c r="M481" s="49" t="str">
        <f t="shared" si="41"/>
        <v/>
      </c>
      <c r="N481" s="49" t="str">
        <f t="shared" si="41"/>
        <v>Out of Tolerance</v>
      </c>
    </row>
    <row r="482" spans="1:14" s="43" customFormat="1" hidden="1" x14ac:dyDescent="0.3">
      <c r="A482" s="168">
        <v>46163</v>
      </c>
      <c r="B482" s="64">
        <v>46163.166666666701</v>
      </c>
      <c r="C482" s="142">
        <f t="shared" si="37"/>
        <v>46163.166666666701</v>
      </c>
      <c r="D482" s="19" t="s">
        <v>13</v>
      </c>
      <c r="E482" s="7" t="s">
        <v>11</v>
      </c>
      <c r="F482" s="118" t="s">
        <v>93</v>
      </c>
      <c r="G482" s="115">
        <v>0.51</v>
      </c>
      <c r="H482" s="116">
        <v>0.56000000000000005</v>
      </c>
      <c r="I482" s="46" t="str">
        <f t="shared" si="38"/>
        <v/>
      </c>
      <c r="J482" s="46" t="str">
        <f t="shared" si="39"/>
        <v/>
      </c>
      <c r="K482" s="46">
        <f t="shared" si="40"/>
        <v>5.0000000000000044E-2</v>
      </c>
      <c r="L482" s="49" t="str">
        <f t="shared" si="41"/>
        <v/>
      </c>
      <c r="M482" s="49" t="str">
        <f t="shared" si="41"/>
        <v/>
      </c>
      <c r="N482" s="49" t="str">
        <f t="shared" si="41"/>
        <v>Out of Tolerance</v>
      </c>
    </row>
    <row r="483" spans="1:14" s="43" customFormat="1" x14ac:dyDescent="0.3">
      <c r="A483" s="169">
        <v>46163</v>
      </c>
      <c r="B483" s="64">
        <v>46163.208333333299</v>
      </c>
      <c r="C483" s="142">
        <f t="shared" si="37"/>
        <v>46163.208333333299</v>
      </c>
      <c r="D483" s="19" t="s">
        <v>13</v>
      </c>
      <c r="E483" s="7" t="s">
        <v>11</v>
      </c>
      <c r="F483" s="118" t="s">
        <v>93</v>
      </c>
      <c r="G483" s="115">
        <v>0.53</v>
      </c>
      <c r="H483" s="116"/>
      <c r="I483" s="46" t="str">
        <f t="shared" si="38"/>
        <v/>
      </c>
      <c r="J483" s="46" t="str">
        <f t="shared" si="39"/>
        <v/>
      </c>
      <c r="K483" s="46" t="str">
        <f t="shared" si="40"/>
        <v/>
      </c>
      <c r="L483" s="49" t="str">
        <f t="shared" si="41"/>
        <v/>
      </c>
      <c r="M483" s="49" t="str">
        <f t="shared" si="41"/>
        <v/>
      </c>
      <c r="N483" s="49" t="str">
        <f t="shared" si="41"/>
        <v/>
      </c>
    </row>
    <row r="484" spans="1:14" s="43" customFormat="1" hidden="1" x14ac:dyDescent="0.3">
      <c r="A484" s="168">
        <v>46163</v>
      </c>
      <c r="B484" s="64">
        <v>46163.25</v>
      </c>
      <c r="C484" s="142">
        <f t="shared" si="37"/>
        <v>46163.25</v>
      </c>
      <c r="D484" s="19" t="s">
        <v>13</v>
      </c>
      <c r="E484" s="7" t="s">
        <v>11</v>
      </c>
      <c r="F484" s="118" t="s">
        <v>93</v>
      </c>
      <c r="G484" s="115">
        <v>0.51</v>
      </c>
      <c r="H484" s="116">
        <v>0.56000000000000005</v>
      </c>
      <c r="I484" s="46" t="str">
        <f t="shared" si="38"/>
        <v/>
      </c>
      <c r="J484" s="46" t="str">
        <f t="shared" si="39"/>
        <v/>
      </c>
      <c r="K484" s="46">
        <f t="shared" si="40"/>
        <v>5.0000000000000044E-2</v>
      </c>
      <c r="L484" s="49" t="str">
        <f t="shared" si="41"/>
        <v/>
      </c>
      <c r="M484" s="49" t="str">
        <f t="shared" si="41"/>
        <v/>
      </c>
      <c r="N484" s="49" t="str">
        <f t="shared" si="41"/>
        <v>Out of Tolerance</v>
      </c>
    </row>
    <row r="485" spans="1:14" s="43" customFormat="1" x14ac:dyDescent="0.3">
      <c r="A485" s="169">
        <v>46163</v>
      </c>
      <c r="B485" s="64">
        <v>46163.291666666701</v>
      </c>
      <c r="C485" s="142">
        <f t="shared" si="37"/>
        <v>46163.291666666701</v>
      </c>
      <c r="D485" s="19" t="s">
        <v>13</v>
      </c>
      <c r="E485" s="7" t="s">
        <v>11</v>
      </c>
      <c r="F485" s="118" t="s">
        <v>93</v>
      </c>
      <c r="G485" s="116"/>
      <c r="H485" s="116"/>
      <c r="I485" s="46" t="str">
        <f t="shared" si="38"/>
        <v/>
      </c>
      <c r="J485" s="46" t="str">
        <f t="shared" si="39"/>
        <v/>
      </c>
      <c r="K485" s="46" t="str">
        <f t="shared" si="40"/>
        <v/>
      </c>
      <c r="L485" s="49" t="str">
        <f t="shared" si="41"/>
        <v/>
      </c>
      <c r="M485" s="49" t="str">
        <f t="shared" si="41"/>
        <v/>
      </c>
      <c r="N485" s="49" t="str">
        <f t="shared" si="41"/>
        <v/>
      </c>
    </row>
    <row r="486" spans="1:14" s="43" customFormat="1" hidden="1" x14ac:dyDescent="0.3">
      <c r="A486" s="168">
        <v>46162</v>
      </c>
      <c r="B486" s="64">
        <v>46162.364583333299</v>
      </c>
      <c r="C486" s="142">
        <f t="shared" si="37"/>
        <v>46162.364583333299</v>
      </c>
      <c r="D486" s="19" t="s">
        <v>29</v>
      </c>
      <c r="E486" s="7" t="s">
        <v>15</v>
      </c>
      <c r="F486" s="118">
        <v>0.55000000000000004</v>
      </c>
      <c r="G486" s="115">
        <v>0.53</v>
      </c>
      <c r="H486" s="116">
        <v>0.53</v>
      </c>
      <c r="I486" s="46">
        <f t="shared" si="38"/>
        <v>-2.0000000000000018E-2</v>
      </c>
      <c r="J486" s="46">
        <f t="shared" si="39"/>
        <v>-2.0000000000000018E-2</v>
      </c>
      <c r="K486" s="46">
        <f t="shared" si="40"/>
        <v>0</v>
      </c>
      <c r="L486" s="49" t="str">
        <f t="shared" si="41"/>
        <v>Within Tolerance</v>
      </c>
      <c r="M486" s="49" t="str">
        <f t="shared" si="41"/>
        <v>Within Tolerance</v>
      </c>
      <c r="N486" s="49" t="str">
        <f t="shared" si="41"/>
        <v>Within Tolerance</v>
      </c>
    </row>
    <row r="487" spans="1:14" s="43" customFormat="1" hidden="1" x14ac:dyDescent="0.3">
      <c r="A487" s="169">
        <v>46162</v>
      </c>
      <c r="B487" s="64">
        <v>46162.458333333299</v>
      </c>
      <c r="C487" s="142">
        <f t="shared" si="37"/>
        <v>46162.458333333299</v>
      </c>
      <c r="D487" s="19" t="s">
        <v>29</v>
      </c>
      <c r="E487" s="7" t="s">
        <v>15</v>
      </c>
      <c r="F487" s="118" t="s">
        <v>93</v>
      </c>
      <c r="G487" s="115">
        <v>0.54</v>
      </c>
      <c r="H487" s="116">
        <v>0.53</v>
      </c>
      <c r="I487" s="46" t="str">
        <f t="shared" si="38"/>
        <v/>
      </c>
      <c r="J487" s="46" t="str">
        <f t="shared" si="39"/>
        <v/>
      </c>
      <c r="K487" s="46">
        <f t="shared" si="40"/>
        <v>-1.0000000000000009E-2</v>
      </c>
      <c r="L487" s="49" t="str">
        <f t="shared" si="41"/>
        <v/>
      </c>
      <c r="M487" s="49" t="str">
        <f t="shared" si="41"/>
        <v/>
      </c>
      <c r="N487" s="49" t="str">
        <f t="shared" si="41"/>
        <v>Within Tolerance</v>
      </c>
    </row>
    <row r="488" spans="1:14" s="43" customFormat="1" hidden="1" x14ac:dyDescent="0.3">
      <c r="A488" s="168">
        <v>46162</v>
      </c>
      <c r="B488" s="64">
        <v>46162.541666666701</v>
      </c>
      <c r="C488" s="142">
        <f t="shared" si="37"/>
        <v>46162.541666666701</v>
      </c>
      <c r="D488" s="19" t="s">
        <v>29</v>
      </c>
      <c r="E488" s="7" t="s">
        <v>15</v>
      </c>
      <c r="F488" s="118" t="s">
        <v>93</v>
      </c>
      <c r="G488" s="115">
        <v>0.54</v>
      </c>
      <c r="H488" s="116">
        <v>0.54</v>
      </c>
      <c r="I488" s="46" t="str">
        <f t="shared" si="38"/>
        <v/>
      </c>
      <c r="J488" s="46" t="str">
        <f t="shared" si="39"/>
        <v/>
      </c>
      <c r="K488" s="46">
        <f t="shared" si="40"/>
        <v>0</v>
      </c>
      <c r="L488" s="49" t="str">
        <f t="shared" si="41"/>
        <v/>
      </c>
      <c r="M488" s="49" t="str">
        <f t="shared" si="41"/>
        <v/>
      </c>
      <c r="N488" s="49" t="str">
        <f t="shared" si="41"/>
        <v>Within Tolerance</v>
      </c>
    </row>
    <row r="489" spans="1:14" s="43" customFormat="1" hidden="1" x14ac:dyDescent="0.3">
      <c r="A489" s="169">
        <v>46162</v>
      </c>
      <c r="B489" s="64">
        <v>46162.625</v>
      </c>
      <c r="C489" s="142">
        <f t="shared" si="37"/>
        <v>46162.625</v>
      </c>
      <c r="D489" s="19" t="s">
        <v>29</v>
      </c>
      <c r="E489" s="7" t="s">
        <v>15</v>
      </c>
      <c r="F489" s="118" t="s">
        <v>93</v>
      </c>
      <c r="G489" s="115">
        <v>0.54</v>
      </c>
      <c r="H489" s="116">
        <v>0.53</v>
      </c>
      <c r="I489" s="46" t="str">
        <f t="shared" si="38"/>
        <v/>
      </c>
      <c r="J489" s="46" t="str">
        <f t="shared" si="39"/>
        <v/>
      </c>
      <c r="K489" s="46">
        <f t="shared" si="40"/>
        <v>-1.0000000000000009E-2</v>
      </c>
      <c r="L489" s="49" t="str">
        <f t="shared" si="41"/>
        <v/>
      </c>
      <c r="M489" s="49" t="str">
        <f t="shared" si="41"/>
        <v/>
      </c>
      <c r="N489" s="49" t="str">
        <f t="shared" si="41"/>
        <v>Within Tolerance</v>
      </c>
    </row>
    <row r="490" spans="1:14" s="43" customFormat="1" hidden="1" x14ac:dyDescent="0.3">
      <c r="A490" s="168">
        <v>46162</v>
      </c>
      <c r="B490" s="64">
        <v>46162.694444444402</v>
      </c>
      <c r="C490" s="142">
        <f t="shared" si="37"/>
        <v>46162.694444444402</v>
      </c>
      <c r="D490" s="19" t="s">
        <v>41</v>
      </c>
      <c r="E490" s="7" t="s">
        <v>15</v>
      </c>
      <c r="F490" s="118" t="s">
        <v>93</v>
      </c>
      <c r="G490" s="115">
        <v>0.56000000000000005</v>
      </c>
      <c r="H490" s="116">
        <v>0.54</v>
      </c>
      <c r="I490" s="46" t="str">
        <f t="shared" si="38"/>
        <v/>
      </c>
      <c r="J490" s="46" t="str">
        <f t="shared" si="39"/>
        <v/>
      </c>
      <c r="K490" s="46">
        <f t="shared" si="40"/>
        <v>-2.0000000000000018E-2</v>
      </c>
      <c r="L490" s="49" t="str">
        <f t="shared" si="41"/>
        <v/>
      </c>
      <c r="M490" s="49" t="str">
        <f t="shared" si="41"/>
        <v/>
      </c>
      <c r="N490" s="49" t="str">
        <f t="shared" si="41"/>
        <v>Within Tolerance</v>
      </c>
    </row>
    <row r="491" spans="1:14" s="43" customFormat="1" hidden="1" x14ac:dyDescent="0.3">
      <c r="A491" s="169">
        <v>46162</v>
      </c>
      <c r="B491" s="64">
        <v>46162.75</v>
      </c>
      <c r="C491" s="142">
        <f t="shared" si="37"/>
        <v>46162.75</v>
      </c>
      <c r="D491" s="19" t="s">
        <v>41</v>
      </c>
      <c r="E491" s="7" t="s">
        <v>15</v>
      </c>
      <c r="F491" s="118">
        <v>0.56999999999999995</v>
      </c>
      <c r="G491" s="115">
        <v>0.54</v>
      </c>
      <c r="H491" s="116">
        <v>0.54</v>
      </c>
      <c r="I491" s="46">
        <f t="shared" si="38"/>
        <v>-2.9999999999999916E-2</v>
      </c>
      <c r="J491" s="46">
        <f t="shared" si="39"/>
        <v>-2.9999999999999916E-2</v>
      </c>
      <c r="K491" s="46">
        <f t="shared" si="40"/>
        <v>0</v>
      </c>
      <c r="L491" s="49" t="str">
        <f t="shared" si="41"/>
        <v>Out of Tolerance</v>
      </c>
      <c r="M491" s="49" t="str">
        <f t="shared" si="41"/>
        <v>Out of Tolerance</v>
      </c>
      <c r="N491" s="49" t="str">
        <f t="shared" si="41"/>
        <v>Within Tolerance</v>
      </c>
    </row>
    <row r="492" spans="1:14" s="43" customFormat="1" hidden="1" x14ac:dyDescent="0.3">
      <c r="A492" s="168">
        <v>46162</v>
      </c>
      <c r="B492" s="64">
        <v>46162.833333333299</v>
      </c>
      <c r="C492" s="142">
        <f t="shared" si="37"/>
        <v>46162.833333333299</v>
      </c>
      <c r="D492" s="19" t="s">
        <v>41</v>
      </c>
      <c r="E492" s="7" t="s">
        <v>15</v>
      </c>
      <c r="F492" s="118" t="s">
        <v>93</v>
      </c>
      <c r="G492" s="115">
        <v>0.54</v>
      </c>
      <c r="H492" s="116">
        <v>0.54</v>
      </c>
      <c r="I492" s="46" t="str">
        <f t="shared" si="38"/>
        <v/>
      </c>
      <c r="J492" s="46" t="str">
        <f t="shared" si="39"/>
        <v/>
      </c>
      <c r="K492" s="46">
        <f t="shared" si="40"/>
        <v>0</v>
      </c>
      <c r="L492" s="49" t="str">
        <f t="shared" si="41"/>
        <v/>
      </c>
      <c r="M492" s="49" t="str">
        <f t="shared" si="41"/>
        <v/>
      </c>
      <c r="N492" s="49" t="str">
        <f t="shared" si="41"/>
        <v>Within Tolerance</v>
      </c>
    </row>
    <row r="493" spans="1:14" s="43" customFormat="1" hidden="1" x14ac:dyDescent="0.3">
      <c r="A493" s="169">
        <v>46162</v>
      </c>
      <c r="B493" s="64">
        <v>46162.916666666701</v>
      </c>
      <c r="C493" s="142">
        <f t="shared" si="37"/>
        <v>46162.916666666701</v>
      </c>
      <c r="D493" s="19" t="s">
        <v>41</v>
      </c>
      <c r="E493" s="7" t="s">
        <v>15</v>
      </c>
      <c r="F493" s="118" t="s">
        <v>93</v>
      </c>
      <c r="G493" s="115">
        <v>0.53</v>
      </c>
      <c r="H493" s="116">
        <v>0.55000000000000004</v>
      </c>
      <c r="I493" s="46" t="str">
        <f t="shared" si="38"/>
        <v/>
      </c>
      <c r="J493" s="46" t="str">
        <f t="shared" si="39"/>
        <v/>
      </c>
      <c r="K493" s="46">
        <f t="shared" si="40"/>
        <v>2.0000000000000018E-2</v>
      </c>
      <c r="L493" s="49" t="str">
        <f t="shared" si="41"/>
        <v/>
      </c>
      <c r="M493" s="49" t="str">
        <f t="shared" si="41"/>
        <v/>
      </c>
      <c r="N493" s="49" t="str">
        <f t="shared" si="41"/>
        <v>Within Tolerance</v>
      </c>
    </row>
    <row r="494" spans="1:14" s="43" customFormat="1" hidden="1" x14ac:dyDescent="0.3">
      <c r="A494" s="168">
        <v>46162</v>
      </c>
      <c r="B494" s="64">
        <v>46163</v>
      </c>
      <c r="C494" s="142">
        <f t="shared" si="37"/>
        <v>46162</v>
      </c>
      <c r="D494" s="19" t="s">
        <v>41</v>
      </c>
      <c r="E494" s="7" t="s">
        <v>15</v>
      </c>
      <c r="F494" s="118" t="s">
        <v>93</v>
      </c>
      <c r="G494" s="115">
        <v>0.55000000000000004</v>
      </c>
      <c r="H494" s="116">
        <v>0.55000000000000004</v>
      </c>
      <c r="I494" s="46" t="str">
        <f t="shared" si="38"/>
        <v/>
      </c>
      <c r="J494" s="46" t="str">
        <f t="shared" si="39"/>
        <v/>
      </c>
      <c r="K494" s="46">
        <f t="shared" si="40"/>
        <v>0</v>
      </c>
      <c r="L494" s="49" t="str">
        <f t="shared" si="41"/>
        <v/>
      </c>
      <c r="M494" s="49" t="str">
        <f t="shared" si="41"/>
        <v/>
      </c>
      <c r="N494" s="49" t="str">
        <f t="shared" si="41"/>
        <v>Within Tolerance</v>
      </c>
    </row>
    <row r="495" spans="1:14" s="43" customFormat="1" hidden="1" x14ac:dyDescent="0.3">
      <c r="A495" s="169">
        <v>46163</v>
      </c>
      <c r="B495" s="64">
        <v>46163.083333333299</v>
      </c>
      <c r="C495" s="142">
        <f t="shared" si="37"/>
        <v>46163.083333333299</v>
      </c>
      <c r="D495" s="19" t="s">
        <v>41</v>
      </c>
      <c r="E495" s="7" t="s">
        <v>15</v>
      </c>
      <c r="F495" s="118" t="s">
        <v>93</v>
      </c>
      <c r="G495" s="115">
        <v>0.55000000000000004</v>
      </c>
      <c r="H495" s="116">
        <v>0.56999999999999995</v>
      </c>
      <c r="I495" s="46" t="str">
        <f t="shared" si="38"/>
        <v/>
      </c>
      <c r="J495" s="46" t="str">
        <f t="shared" si="39"/>
        <v/>
      </c>
      <c r="K495" s="46">
        <f t="shared" si="40"/>
        <v>1.9999999999999907E-2</v>
      </c>
      <c r="L495" s="49" t="str">
        <f t="shared" si="41"/>
        <v/>
      </c>
      <c r="M495" s="49" t="str">
        <f t="shared" si="41"/>
        <v/>
      </c>
      <c r="N495" s="49" t="str">
        <f t="shared" si="41"/>
        <v>Within Tolerance</v>
      </c>
    </row>
    <row r="496" spans="1:14" s="43" customFormat="1" hidden="1" x14ac:dyDescent="0.3">
      <c r="A496" s="168">
        <v>46163</v>
      </c>
      <c r="B496" s="64">
        <v>46163.166666666701</v>
      </c>
      <c r="C496" s="142">
        <f t="shared" si="37"/>
        <v>46163.166666666701</v>
      </c>
      <c r="D496" s="19" t="s">
        <v>40</v>
      </c>
      <c r="E496" s="7" t="s">
        <v>15</v>
      </c>
      <c r="F496" s="118" t="s">
        <v>93</v>
      </c>
      <c r="G496" s="115">
        <v>0.57999999999999996</v>
      </c>
      <c r="H496" s="116">
        <v>0.56999999999999995</v>
      </c>
      <c r="I496" s="46" t="str">
        <f t="shared" si="38"/>
        <v/>
      </c>
      <c r="J496" s="46" t="str">
        <f t="shared" si="39"/>
        <v/>
      </c>
      <c r="K496" s="46">
        <f t="shared" si="40"/>
        <v>-1.0000000000000009E-2</v>
      </c>
      <c r="L496" s="49" t="str">
        <f t="shared" si="41"/>
        <v/>
      </c>
      <c r="M496" s="49" t="str">
        <f t="shared" si="41"/>
        <v/>
      </c>
      <c r="N496" s="49" t="str">
        <f t="shared" si="41"/>
        <v>Within Tolerance</v>
      </c>
    </row>
    <row r="497" spans="1:14" s="43" customFormat="1" hidden="1" x14ac:dyDescent="0.3">
      <c r="A497" s="169">
        <v>46163</v>
      </c>
      <c r="B497" s="64">
        <v>46163.25</v>
      </c>
      <c r="C497" s="142">
        <f t="shared" si="37"/>
        <v>46163.25</v>
      </c>
      <c r="D497" s="19" t="s">
        <v>40</v>
      </c>
      <c r="E497" s="7" t="s">
        <v>15</v>
      </c>
      <c r="F497" s="118" t="s">
        <v>93</v>
      </c>
      <c r="G497" s="115">
        <v>0.55000000000000004</v>
      </c>
      <c r="H497" s="116">
        <v>0.54</v>
      </c>
      <c r="I497" s="46" t="str">
        <f t="shared" si="38"/>
        <v/>
      </c>
      <c r="J497" s="46" t="str">
        <f t="shared" si="39"/>
        <v/>
      </c>
      <c r="K497" s="46">
        <f t="shared" si="40"/>
        <v>-1.0000000000000009E-2</v>
      </c>
      <c r="L497" s="49" t="str">
        <f t="shared" si="41"/>
        <v/>
      </c>
      <c r="M497" s="49" t="str">
        <f t="shared" si="41"/>
        <v/>
      </c>
      <c r="N497" s="49" t="str">
        <f t="shared" si="41"/>
        <v>Within Tolerance</v>
      </c>
    </row>
    <row r="498" spans="1:14" s="43" customFormat="1" hidden="1" x14ac:dyDescent="0.3">
      <c r="A498" s="187">
        <v>46162</v>
      </c>
      <c r="B498" s="98">
        <v>46162.4375</v>
      </c>
      <c r="C498" s="143">
        <f t="shared" si="37"/>
        <v>46162.4375</v>
      </c>
      <c r="D498" s="7" t="s">
        <v>31</v>
      </c>
      <c r="E498" s="15" t="s">
        <v>19</v>
      </c>
      <c r="F498" s="118">
        <v>0.57999999999999996</v>
      </c>
      <c r="G498" s="115">
        <v>0.6</v>
      </c>
      <c r="H498" s="116">
        <v>0.61</v>
      </c>
      <c r="I498" s="46">
        <f t="shared" si="38"/>
        <v>2.0000000000000018E-2</v>
      </c>
      <c r="J498" s="46">
        <f t="shared" si="39"/>
        <v>3.0000000000000027E-2</v>
      </c>
      <c r="K498" s="46">
        <f t="shared" si="40"/>
        <v>1.0000000000000009E-2</v>
      </c>
      <c r="L498" s="49" t="str">
        <f t="shared" si="41"/>
        <v>Within Tolerance</v>
      </c>
      <c r="M498" s="49" t="str">
        <f t="shared" si="41"/>
        <v>Out of Tolerance</v>
      </c>
      <c r="N498" s="49" t="str">
        <f t="shared" si="41"/>
        <v>Within Tolerance</v>
      </c>
    </row>
    <row r="499" spans="1:14" s="43" customFormat="1" hidden="1" x14ac:dyDescent="0.3">
      <c r="A499" s="194">
        <v>46162</v>
      </c>
      <c r="B499" s="99">
        <v>46162.680555555598</v>
      </c>
      <c r="C499" s="228">
        <f t="shared" si="37"/>
        <v>46162.680555555598</v>
      </c>
      <c r="D499" s="30" t="s">
        <v>43</v>
      </c>
      <c r="E499" s="7" t="s">
        <v>19</v>
      </c>
      <c r="F499" s="118">
        <v>0.57999999999999996</v>
      </c>
      <c r="G499" s="115">
        <v>0.59</v>
      </c>
      <c r="H499" s="116">
        <v>0.59</v>
      </c>
      <c r="I499" s="46">
        <f t="shared" si="38"/>
        <v>1.0000000000000009E-2</v>
      </c>
      <c r="J499" s="46">
        <f t="shared" si="39"/>
        <v>1.0000000000000009E-2</v>
      </c>
      <c r="K499" s="46">
        <f t="shared" si="40"/>
        <v>0</v>
      </c>
      <c r="L499" s="49" t="str">
        <f t="shared" si="41"/>
        <v>Within Tolerance</v>
      </c>
      <c r="M499" s="49" t="str">
        <f t="shared" si="41"/>
        <v>Within Tolerance</v>
      </c>
      <c r="N499" s="49" t="str">
        <f t="shared" si="41"/>
        <v>Within Tolerance</v>
      </c>
    </row>
    <row r="500" spans="1:14" s="43" customFormat="1" hidden="1" x14ac:dyDescent="0.3">
      <c r="A500" s="178">
        <v>46162</v>
      </c>
      <c r="B500" s="99">
        <v>46162.743055555598</v>
      </c>
      <c r="C500" s="147">
        <f t="shared" si="37"/>
        <v>46162.743055555598</v>
      </c>
      <c r="D500" s="7" t="s">
        <v>22</v>
      </c>
      <c r="E500" s="15" t="s">
        <v>19</v>
      </c>
      <c r="F500" s="118">
        <v>0.55000000000000004</v>
      </c>
      <c r="G500" s="115">
        <v>0.56999999999999995</v>
      </c>
      <c r="H500" s="116">
        <v>0.56000000000000005</v>
      </c>
      <c r="I500" s="46">
        <f t="shared" si="38"/>
        <v>1.9999999999999907E-2</v>
      </c>
      <c r="J500" s="46">
        <f t="shared" si="39"/>
        <v>1.0000000000000009E-2</v>
      </c>
      <c r="K500" s="46">
        <f t="shared" si="40"/>
        <v>-9.9999999999998979E-3</v>
      </c>
      <c r="L500" s="49" t="str">
        <f t="shared" si="41"/>
        <v>Within Tolerance</v>
      </c>
      <c r="M500" s="49" t="str">
        <f t="shared" si="41"/>
        <v>Within Tolerance</v>
      </c>
      <c r="N500" s="49" t="str">
        <f t="shared" si="41"/>
        <v>Within Tolerance</v>
      </c>
    </row>
    <row r="501" spans="1:14" s="43" customFormat="1" hidden="1" x14ac:dyDescent="0.3">
      <c r="A501" s="179">
        <v>46162</v>
      </c>
      <c r="B501" s="99">
        <v>46162.84375</v>
      </c>
      <c r="C501" s="147">
        <f t="shared" si="37"/>
        <v>46162.84375</v>
      </c>
      <c r="D501" s="7" t="s">
        <v>44</v>
      </c>
      <c r="E501" s="15" t="s">
        <v>19</v>
      </c>
      <c r="F501" s="118" t="s">
        <v>93</v>
      </c>
      <c r="G501" s="115">
        <v>0.56999999999999995</v>
      </c>
      <c r="H501" s="116">
        <v>0.56999999999999995</v>
      </c>
      <c r="I501" s="46" t="str">
        <f t="shared" si="38"/>
        <v/>
      </c>
      <c r="J501" s="46" t="str">
        <f t="shared" si="39"/>
        <v/>
      </c>
      <c r="K501" s="46">
        <f t="shared" si="40"/>
        <v>0</v>
      </c>
      <c r="L501" s="49" t="str">
        <f t="shared" si="41"/>
        <v/>
      </c>
      <c r="M501" s="49" t="str">
        <f t="shared" si="41"/>
        <v/>
      </c>
      <c r="N501" s="49" t="str">
        <f t="shared" si="41"/>
        <v>Within Tolerance</v>
      </c>
    </row>
    <row r="502" spans="1:14" s="43" customFormat="1" hidden="1" x14ac:dyDescent="0.3">
      <c r="A502" s="178">
        <v>46162</v>
      </c>
      <c r="B502" s="99">
        <v>46162.447916666701</v>
      </c>
      <c r="C502" s="147">
        <f t="shared" si="37"/>
        <v>46162.447916666701</v>
      </c>
      <c r="D502" s="7" t="s">
        <v>26</v>
      </c>
      <c r="E502" s="7" t="s">
        <v>24</v>
      </c>
      <c r="F502" s="118">
        <v>0.63</v>
      </c>
      <c r="G502" s="116">
        <v>0.64</v>
      </c>
      <c r="H502" s="116">
        <v>0.64</v>
      </c>
      <c r="I502" s="46">
        <f t="shared" si="38"/>
        <v>1.0000000000000009E-2</v>
      </c>
      <c r="J502" s="46">
        <f t="shared" si="39"/>
        <v>1.0000000000000009E-2</v>
      </c>
      <c r="K502" s="46">
        <f t="shared" si="40"/>
        <v>0</v>
      </c>
      <c r="L502" s="49" t="str">
        <f t="shared" si="41"/>
        <v>Within Tolerance</v>
      </c>
      <c r="M502" s="49" t="str">
        <f t="shared" si="41"/>
        <v>Within Tolerance</v>
      </c>
      <c r="N502" s="49" t="str">
        <f t="shared" si="41"/>
        <v>Within Tolerance</v>
      </c>
    </row>
    <row r="503" spans="1:14" s="43" customFormat="1" hidden="1" x14ac:dyDescent="0.3">
      <c r="A503" s="179">
        <v>46162</v>
      </c>
      <c r="B503" s="99">
        <v>46162.496527777781</v>
      </c>
      <c r="C503" s="147">
        <f t="shared" si="37"/>
        <v>46162.496527777781</v>
      </c>
      <c r="D503" s="7" t="s">
        <v>25</v>
      </c>
      <c r="E503" s="7" t="s">
        <v>24</v>
      </c>
      <c r="F503" s="118">
        <v>0.59</v>
      </c>
      <c r="G503" s="116">
        <v>0.57999999999999996</v>
      </c>
      <c r="H503" s="116">
        <v>0.57999999999999996</v>
      </c>
      <c r="I503" s="46">
        <f t="shared" si="38"/>
        <v>-1.0000000000000009E-2</v>
      </c>
      <c r="J503" s="46">
        <f t="shared" si="39"/>
        <v>-1.0000000000000009E-2</v>
      </c>
      <c r="K503" s="46">
        <f t="shared" si="40"/>
        <v>0</v>
      </c>
      <c r="L503" s="49" t="str">
        <f t="shared" si="41"/>
        <v>Within Tolerance</v>
      </c>
      <c r="M503" s="49" t="str">
        <f t="shared" si="41"/>
        <v>Within Tolerance</v>
      </c>
      <c r="N503" s="49" t="str">
        <f t="shared" si="41"/>
        <v>Within Tolerance</v>
      </c>
    </row>
    <row r="504" spans="1:14" s="43" customFormat="1" hidden="1" x14ac:dyDescent="0.3">
      <c r="A504" s="178">
        <v>46162</v>
      </c>
      <c r="B504" s="90">
        <v>46162.576388888891</v>
      </c>
      <c r="C504" s="147">
        <f t="shared" si="37"/>
        <v>46162.576388888891</v>
      </c>
      <c r="D504" s="22" t="s">
        <v>49</v>
      </c>
      <c r="E504" s="7" t="s">
        <v>24</v>
      </c>
      <c r="F504" s="118">
        <v>0.61</v>
      </c>
      <c r="G504" s="116">
        <v>0.63</v>
      </c>
      <c r="H504" s="116">
        <v>0.6</v>
      </c>
      <c r="I504" s="46">
        <f t="shared" si="38"/>
        <v>2.0000000000000018E-2</v>
      </c>
      <c r="J504" s="46">
        <f t="shared" si="39"/>
        <v>-1.0000000000000009E-2</v>
      </c>
      <c r="K504" s="46">
        <f t="shared" si="40"/>
        <v>-3.0000000000000027E-2</v>
      </c>
      <c r="L504" s="49" t="str">
        <f t="shared" si="41"/>
        <v>Within Tolerance</v>
      </c>
      <c r="M504" s="49" t="str">
        <f t="shared" si="41"/>
        <v>Within Tolerance</v>
      </c>
      <c r="N504" s="49" t="str">
        <f t="shared" si="41"/>
        <v>Out of Tolerance</v>
      </c>
    </row>
    <row r="505" spans="1:14" s="43" customFormat="1" hidden="1" x14ac:dyDescent="0.3">
      <c r="A505" s="179">
        <v>46162</v>
      </c>
      <c r="B505" s="99">
        <v>46162.239583333336</v>
      </c>
      <c r="C505" s="147">
        <f t="shared" si="37"/>
        <v>46162.239583333336</v>
      </c>
      <c r="D505" s="7" t="s">
        <v>26</v>
      </c>
      <c r="E505" s="7" t="s">
        <v>24</v>
      </c>
      <c r="F505" s="114" t="s">
        <v>93</v>
      </c>
      <c r="G505" s="116">
        <v>0.69</v>
      </c>
      <c r="H505" s="116">
        <v>0.65</v>
      </c>
      <c r="I505" s="46" t="str">
        <f t="shared" si="38"/>
        <v/>
      </c>
      <c r="J505" s="46" t="str">
        <f t="shared" si="39"/>
        <v/>
      </c>
      <c r="K505" s="46">
        <f t="shared" si="40"/>
        <v>-3.9999999999999925E-2</v>
      </c>
      <c r="L505" s="49" t="str">
        <f t="shared" si="41"/>
        <v/>
      </c>
      <c r="M505" s="49" t="str">
        <f t="shared" si="41"/>
        <v/>
      </c>
      <c r="N505" s="49" t="str">
        <f t="shared" si="41"/>
        <v>Out of Tolerance</v>
      </c>
    </row>
    <row r="506" spans="1:14" s="43" customFormat="1" hidden="1" x14ac:dyDescent="0.3">
      <c r="A506" s="168">
        <v>46163</v>
      </c>
      <c r="B506" s="64">
        <v>46163.333333333299</v>
      </c>
      <c r="C506" s="142">
        <f t="shared" si="37"/>
        <v>46163.333333333299</v>
      </c>
      <c r="D506" s="19" t="s">
        <v>13</v>
      </c>
      <c r="E506" s="7" t="s">
        <v>11</v>
      </c>
      <c r="F506" s="118">
        <v>0.53</v>
      </c>
      <c r="G506" s="115">
        <v>0.54</v>
      </c>
      <c r="H506" s="116">
        <v>0.56000000000000005</v>
      </c>
      <c r="I506" s="46">
        <f t="shared" si="38"/>
        <v>1.0000000000000009E-2</v>
      </c>
      <c r="J506" s="46">
        <f t="shared" si="39"/>
        <v>3.0000000000000027E-2</v>
      </c>
      <c r="K506" s="46">
        <f t="shared" si="40"/>
        <v>2.0000000000000018E-2</v>
      </c>
      <c r="L506" s="49" t="str">
        <f t="shared" si="41"/>
        <v>Within Tolerance</v>
      </c>
      <c r="M506" s="49" t="str">
        <f t="shared" si="41"/>
        <v>Out of Tolerance</v>
      </c>
      <c r="N506" s="49" t="str">
        <f t="shared" si="41"/>
        <v>Within Tolerance</v>
      </c>
    </row>
    <row r="507" spans="1:14" s="43" customFormat="1" hidden="1" x14ac:dyDescent="0.3">
      <c r="A507" s="169">
        <v>46163</v>
      </c>
      <c r="B507" s="64">
        <v>46163.388888888898</v>
      </c>
      <c r="C507" s="142">
        <f t="shared" si="37"/>
        <v>46163.388888888898</v>
      </c>
      <c r="D507" s="19" t="s">
        <v>18</v>
      </c>
      <c r="E507" s="7" t="s">
        <v>11</v>
      </c>
      <c r="F507" s="118" t="s">
        <v>93</v>
      </c>
      <c r="G507" s="115">
        <v>0.55000000000000004</v>
      </c>
      <c r="H507" s="116">
        <v>0.56000000000000005</v>
      </c>
      <c r="I507" s="46" t="str">
        <f t="shared" si="38"/>
        <v/>
      </c>
      <c r="J507" s="46" t="str">
        <f t="shared" si="39"/>
        <v/>
      </c>
      <c r="K507" s="46">
        <f t="shared" si="40"/>
        <v>1.0000000000000009E-2</v>
      </c>
      <c r="L507" s="49" t="str">
        <f t="shared" si="41"/>
        <v/>
      </c>
      <c r="M507" s="49" t="str">
        <f t="shared" si="41"/>
        <v/>
      </c>
      <c r="N507" s="49" t="str">
        <f t="shared" si="41"/>
        <v>Within Tolerance</v>
      </c>
    </row>
    <row r="508" spans="1:14" s="43" customFormat="1" hidden="1" x14ac:dyDescent="0.3">
      <c r="A508" s="168">
        <v>46163</v>
      </c>
      <c r="B508" s="64">
        <v>46163.447916666701</v>
      </c>
      <c r="C508" s="142">
        <f t="shared" si="37"/>
        <v>46163.447916666701</v>
      </c>
      <c r="D508" s="19" t="s">
        <v>18</v>
      </c>
      <c r="E508" s="7" t="s">
        <v>11</v>
      </c>
      <c r="F508" s="118">
        <v>0.52</v>
      </c>
      <c r="G508" s="115">
        <v>0.54</v>
      </c>
      <c r="H508" s="116">
        <v>0.56000000000000005</v>
      </c>
      <c r="I508" s="46">
        <f t="shared" si="38"/>
        <v>2.0000000000000018E-2</v>
      </c>
      <c r="J508" s="46">
        <f t="shared" si="39"/>
        <v>4.0000000000000036E-2</v>
      </c>
      <c r="K508" s="46">
        <f t="shared" si="40"/>
        <v>2.0000000000000018E-2</v>
      </c>
      <c r="L508" s="49" t="str">
        <f t="shared" si="41"/>
        <v>Within Tolerance</v>
      </c>
      <c r="M508" s="49" t="str">
        <f t="shared" si="41"/>
        <v>Out of Tolerance</v>
      </c>
      <c r="N508" s="49" t="str">
        <f t="shared" si="41"/>
        <v>Within Tolerance</v>
      </c>
    </row>
    <row r="509" spans="1:14" s="43" customFormat="1" hidden="1" x14ac:dyDescent="0.3">
      <c r="A509" s="169">
        <v>46163</v>
      </c>
      <c r="B509" s="64">
        <v>46163.5</v>
      </c>
      <c r="C509" s="142">
        <f t="shared" si="37"/>
        <v>46163.5</v>
      </c>
      <c r="D509" s="19" t="s">
        <v>18</v>
      </c>
      <c r="E509" s="7" t="s">
        <v>11</v>
      </c>
      <c r="F509" s="118">
        <v>0.51</v>
      </c>
      <c r="G509" s="115">
        <v>0.54</v>
      </c>
      <c r="H509" s="116">
        <v>0.56999999999999995</v>
      </c>
      <c r="I509" s="46">
        <f t="shared" si="38"/>
        <v>3.0000000000000027E-2</v>
      </c>
      <c r="J509" s="46">
        <f t="shared" si="39"/>
        <v>5.9999999999999942E-2</v>
      </c>
      <c r="K509" s="46">
        <f t="shared" si="40"/>
        <v>2.9999999999999916E-2</v>
      </c>
      <c r="L509" s="49" t="str">
        <f t="shared" si="41"/>
        <v>Out of Tolerance</v>
      </c>
      <c r="M509" s="49" t="str">
        <f t="shared" si="41"/>
        <v>Out of Tolerance</v>
      </c>
      <c r="N509" s="49" t="str">
        <f t="shared" si="41"/>
        <v>Out of Tolerance</v>
      </c>
    </row>
    <row r="510" spans="1:14" s="43" customFormat="1" hidden="1" x14ac:dyDescent="0.3">
      <c r="A510" s="168">
        <v>46163</v>
      </c>
      <c r="B510" s="64">
        <v>46163.583333333299</v>
      </c>
      <c r="C510" s="142">
        <f t="shared" si="37"/>
        <v>46163.583333333299</v>
      </c>
      <c r="D510" s="19" t="s">
        <v>18</v>
      </c>
      <c r="E510" s="7" t="s">
        <v>11</v>
      </c>
      <c r="F510" s="118" t="s">
        <v>93</v>
      </c>
      <c r="G510" s="115">
        <v>0.5</v>
      </c>
      <c r="H510" s="116">
        <v>0.54</v>
      </c>
      <c r="I510" s="46" t="str">
        <f t="shared" si="38"/>
        <v/>
      </c>
      <c r="J510" s="46" t="str">
        <f t="shared" si="39"/>
        <v/>
      </c>
      <c r="K510" s="46">
        <f t="shared" si="40"/>
        <v>4.0000000000000036E-2</v>
      </c>
      <c r="L510" s="49" t="str">
        <f t="shared" si="41"/>
        <v/>
      </c>
      <c r="M510" s="49" t="str">
        <f t="shared" si="41"/>
        <v/>
      </c>
      <c r="N510" s="49" t="str">
        <f t="shared" si="41"/>
        <v>Out of Tolerance</v>
      </c>
    </row>
    <row r="511" spans="1:14" s="43" customFormat="1" hidden="1" x14ac:dyDescent="0.3">
      <c r="A511" s="169">
        <v>46163</v>
      </c>
      <c r="B511" s="64">
        <v>46163.666666666701</v>
      </c>
      <c r="C511" s="142">
        <f t="shared" si="37"/>
        <v>46163.666666666701</v>
      </c>
      <c r="D511" s="19" t="s">
        <v>18</v>
      </c>
      <c r="E511" s="7" t="s">
        <v>11</v>
      </c>
      <c r="F511" s="118">
        <v>0.51</v>
      </c>
      <c r="G511" s="115">
        <v>0.52</v>
      </c>
      <c r="H511" s="116">
        <v>0.56000000000000005</v>
      </c>
      <c r="I511" s="46">
        <f t="shared" si="38"/>
        <v>1.0000000000000009E-2</v>
      </c>
      <c r="J511" s="46">
        <f t="shared" si="39"/>
        <v>5.0000000000000044E-2</v>
      </c>
      <c r="K511" s="46">
        <f t="shared" si="40"/>
        <v>4.0000000000000036E-2</v>
      </c>
      <c r="L511" s="49" t="str">
        <f t="shared" si="41"/>
        <v>Within Tolerance</v>
      </c>
      <c r="M511" s="49" t="str">
        <f t="shared" si="41"/>
        <v>Out of Tolerance</v>
      </c>
      <c r="N511" s="49" t="str">
        <f t="shared" si="41"/>
        <v>Out of Tolerance</v>
      </c>
    </row>
    <row r="512" spans="1:14" s="43" customFormat="1" hidden="1" x14ac:dyDescent="0.3">
      <c r="A512" s="168">
        <v>46163</v>
      </c>
      <c r="B512" s="64">
        <v>46163.75</v>
      </c>
      <c r="C512" s="142">
        <f t="shared" si="37"/>
        <v>46163.75</v>
      </c>
      <c r="D512" s="19" t="s">
        <v>18</v>
      </c>
      <c r="E512" s="7" t="s">
        <v>11</v>
      </c>
      <c r="F512" s="118" t="s">
        <v>93</v>
      </c>
      <c r="G512" s="115">
        <v>0.53</v>
      </c>
      <c r="H512" s="116">
        <v>0.57999999999999996</v>
      </c>
      <c r="I512" s="46" t="str">
        <f t="shared" si="38"/>
        <v/>
      </c>
      <c r="J512" s="46" t="str">
        <f t="shared" si="39"/>
        <v/>
      </c>
      <c r="K512" s="46">
        <f t="shared" si="40"/>
        <v>4.9999999999999933E-2</v>
      </c>
      <c r="L512" s="49" t="str">
        <f t="shared" si="41"/>
        <v/>
      </c>
      <c r="M512" s="49" t="str">
        <f t="shared" si="41"/>
        <v/>
      </c>
      <c r="N512" s="49" t="str">
        <f t="shared" si="41"/>
        <v>Out of Tolerance</v>
      </c>
    </row>
    <row r="513" spans="1:14" s="43" customFormat="1" hidden="1" x14ac:dyDescent="0.3">
      <c r="A513" s="169">
        <v>46163</v>
      </c>
      <c r="B513" s="64">
        <v>46163.833333333299</v>
      </c>
      <c r="C513" s="142">
        <f t="shared" si="37"/>
        <v>46163.833333333299</v>
      </c>
      <c r="D513" s="19" t="s">
        <v>18</v>
      </c>
      <c r="E513" s="7" t="s">
        <v>11</v>
      </c>
      <c r="F513" s="118" t="s">
        <v>93</v>
      </c>
      <c r="G513" s="115">
        <v>0.53</v>
      </c>
      <c r="H513" s="116">
        <v>0.55000000000000004</v>
      </c>
      <c r="I513" s="46" t="str">
        <f t="shared" si="38"/>
        <v/>
      </c>
      <c r="J513" s="46" t="str">
        <f t="shared" si="39"/>
        <v/>
      </c>
      <c r="K513" s="46">
        <f t="shared" si="40"/>
        <v>2.0000000000000018E-2</v>
      </c>
      <c r="L513" s="49" t="str">
        <f t="shared" si="41"/>
        <v/>
      </c>
      <c r="M513" s="49" t="str">
        <f t="shared" si="41"/>
        <v/>
      </c>
      <c r="N513" s="49" t="str">
        <f t="shared" si="41"/>
        <v>Within Tolerance</v>
      </c>
    </row>
    <row r="514" spans="1:14" s="43" customFormat="1" x14ac:dyDescent="0.3">
      <c r="A514" s="168">
        <v>46163</v>
      </c>
      <c r="B514" s="64">
        <v>46163.930555555598</v>
      </c>
      <c r="C514" s="142">
        <f t="shared" ref="C514:C577" si="42">A514+MOD(B514,1)</f>
        <v>46163.930555555598</v>
      </c>
      <c r="D514" s="19" t="s">
        <v>18</v>
      </c>
      <c r="E514" s="7" t="s">
        <v>11</v>
      </c>
      <c r="F514" s="118">
        <v>0.48</v>
      </c>
      <c r="G514" s="115">
        <v>0.53</v>
      </c>
      <c r="H514" s="116"/>
      <c r="I514" s="46">
        <f t="shared" si="38"/>
        <v>5.0000000000000044E-2</v>
      </c>
      <c r="J514" s="46" t="str">
        <f t="shared" si="39"/>
        <v/>
      </c>
      <c r="K514" s="46" t="str">
        <f t="shared" si="40"/>
        <v/>
      </c>
      <c r="L514" s="49" t="str">
        <f t="shared" si="41"/>
        <v>Out of Tolerance</v>
      </c>
      <c r="M514" s="49" t="str">
        <f t="shared" si="41"/>
        <v/>
      </c>
      <c r="N514" s="49" t="str">
        <f t="shared" si="41"/>
        <v/>
      </c>
    </row>
    <row r="515" spans="1:14" s="43" customFormat="1" hidden="1" x14ac:dyDescent="0.3">
      <c r="A515" s="169">
        <v>46163</v>
      </c>
      <c r="B515" s="64">
        <v>46164</v>
      </c>
      <c r="C515" s="142">
        <f t="shared" si="42"/>
        <v>46163</v>
      </c>
      <c r="D515" s="19" t="s">
        <v>18</v>
      </c>
      <c r="E515" s="7" t="s">
        <v>11</v>
      </c>
      <c r="F515" s="118" t="s">
        <v>93</v>
      </c>
      <c r="G515" s="115">
        <v>0.52</v>
      </c>
      <c r="H515" s="116">
        <v>0.56000000000000005</v>
      </c>
      <c r="I515" s="46" t="str">
        <f t="shared" ref="I515:I578" si="43">IF(OR(TRIM(F515&amp;"")="",TRIM(G515&amp;"")="",F515="-",G515="-"),"",G515-F515)</f>
        <v/>
      </c>
      <c r="J515" s="46" t="str">
        <f t="shared" ref="J515:J578" si="44">IF(OR(TRIM(F515&amp;"")="",TRIM(H515&amp;"")="",F515="-",H515="-"),"",H515-F515)</f>
        <v/>
      </c>
      <c r="K515" s="46">
        <f t="shared" ref="K515:K578" si="45">IF(OR(TRIM(G515&amp;"")="",TRIM(H515&amp;"")="",G515="-",H515="-"),"",H515-G515)</f>
        <v>4.0000000000000036E-2</v>
      </c>
      <c r="L515" s="49" t="str">
        <f t="shared" ref="L515:N578" si="46">IF(ISNUMBER(I515),IF(ABS(I515)&lt;=0.02,"Within Tolerance","Out of Tolerance"),"")</f>
        <v/>
      </c>
      <c r="M515" s="49" t="str">
        <f t="shared" si="46"/>
        <v/>
      </c>
      <c r="N515" s="49" t="str">
        <f t="shared" si="46"/>
        <v>Out of Tolerance</v>
      </c>
    </row>
    <row r="516" spans="1:14" s="43" customFormat="1" hidden="1" x14ac:dyDescent="0.3">
      <c r="A516" s="168">
        <v>46164</v>
      </c>
      <c r="B516" s="64">
        <v>46164.09375</v>
      </c>
      <c r="C516" s="142">
        <f t="shared" si="42"/>
        <v>46164.09375</v>
      </c>
      <c r="D516" s="19" t="s">
        <v>41</v>
      </c>
      <c r="E516" s="7" t="s">
        <v>15</v>
      </c>
      <c r="F516" s="118" t="s">
        <v>93</v>
      </c>
      <c r="G516" s="115">
        <v>0.52</v>
      </c>
      <c r="H516" s="116">
        <v>0.52</v>
      </c>
      <c r="I516" s="46" t="str">
        <f t="shared" si="43"/>
        <v/>
      </c>
      <c r="J516" s="46" t="str">
        <f t="shared" si="44"/>
        <v/>
      </c>
      <c r="K516" s="46">
        <f t="shared" si="45"/>
        <v>0</v>
      </c>
      <c r="L516" s="49" t="str">
        <f t="shared" si="46"/>
        <v/>
      </c>
      <c r="M516" s="49" t="str">
        <f t="shared" si="46"/>
        <v/>
      </c>
      <c r="N516" s="49" t="str">
        <f t="shared" si="46"/>
        <v>Within Tolerance</v>
      </c>
    </row>
    <row r="517" spans="1:14" s="43" customFormat="1" hidden="1" x14ac:dyDescent="0.3">
      <c r="A517" s="169">
        <v>46164</v>
      </c>
      <c r="B517" s="64">
        <v>46164.166666666701</v>
      </c>
      <c r="C517" s="142">
        <f t="shared" si="42"/>
        <v>46164.166666666701</v>
      </c>
      <c r="D517" s="19" t="s">
        <v>41</v>
      </c>
      <c r="E517" s="7" t="s">
        <v>15</v>
      </c>
      <c r="F517" s="118" t="s">
        <v>93</v>
      </c>
      <c r="G517" s="115">
        <v>0.54</v>
      </c>
      <c r="H517" s="116">
        <v>0.54</v>
      </c>
      <c r="I517" s="46" t="str">
        <f t="shared" si="43"/>
        <v/>
      </c>
      <c r="J517" s="46" t="str">
        <f t="shared" si="44"/>
        <v/>
      </c>
      <c r="K517" s="46">
        <f t="shared" si="45"/>
        <v>0</v>
      </c>
      <c r="L517" s="49" t="str">
        <f t="shared" si="46"/>
        <v/>
      </c>
      <c r="M517" s="49" t="str">
        <f t="shared" si="46"/>
        <v/>
      </c>
      <c r="N517" s="49" t="str">
        <f t="shared" si="46"/>
        <v>Within Tolerance</v>
      </c>
    </row>
    <row r="518" spans="1:14" s="43" customFormat="1" hidden="1" x14ac:dyDescent="0.3">
      <c r="A518" s="168">
        <v>46164</v>
      </c>
      <c r="B518" s="64">
        <v>46164.25</v>
      </c>
      <c r="C518" s="142">
        <f t="shared" si="42"/>
        <v>46164.25</v>
      </c>
      <c r="D518" s="19" t="s">
        <v>41</v>
      </c>
      <c r="E518" s="7" t="s">
        <v>15</v>
      </c>
      <c r="F518" s="118" t="s">
        <v>93</v>
      </c>
      <c r="G518" s="115">
        <v>0.53</v>
      </c>
      <c r="H518" s="116">
        <v>0.55000000000000004</v>
      </c>
      <c r="I518" s="46" t="str">
        <f t="shared" si="43"/>
        <v/>
      </c>
      <c r="J518" s="46" t="str">
        <f t="shared" si="44"/>
        <v/>
      </c>
      <c r="K518" s="46">
        <f t="shared" si="45"/>
        <v>2.0000000000000018E-2</v>
      </c>
      <c r="L518" s="49" t="str">
        <f t="shared" si="46"/>
        <v/>
      </c>
      <c r="M518" s="49" t="str">
        <f t="shared" si="46"/>
        <v/>
      </c>
      <c r="N518" s="49" t="str">
        <f t="shared" si="46"/>
        <v>Within Tolerance</v>
      </c>
    </row>
    <row r="519" spans="1:14" s="43" customFormat="1" hidden="1" x14ac:dyDescent="0.3">
      <c r="A519" s="169">
        <v>46163</v>
      </c>
      <c r="B519" s="64">
        <v>46163.333333333299</v>
      </c>
      <c r="C519" s="142">
        <f t="shared" si="42"/>
        <v>46163.333333333299</v>
      </c>
      <c r="D519" s="19" t="s">
        <v>40</v>
      </c>
      <c r="E519" s="7" t="s">
        <v>15</v>
      </c>
      <c r="F519" s="118">
        <v>0.56000000000000005</v>
      </c>
      <c r="G519" s="115">
        <v>0.55000000000000004</v>
      </c>
      <c r="H519" s="116">
        <v>0.55000000000000004</v>
      </c>
      <c r="I519" s="46">
        <f t="shared" si="43"/>
        <v>-1.0000000000000009E-2</v>
      </c>
      <c r="J519" s="46">
        <f t="shared" si="44"/>
        <v>-1.0000000000000009E-2</v>
      </c>
      <c r="K519" s="46">
        <f t="shared" si="45"/>
        <v>0</v>
      </c>
      <c r="L519" s="49" t="str">
        <f t="shared" si="46"/>
        <v>Within Tolerance</v>
      </c>
      <c r="M519" s="49" t="str">
        <f t="shared" si="46"/>
        <v>Within Tolerance</v>
      </c>
      <c r="N519" s="49" t="str">
        <f t="shared" si="46"/>
        <v>Within Tolerance</v>
      </c>
    </row>
    <row r="520" spans="1:14" s="43" customFormat="1" hidden="1" x14ac:dyDescent="0.3">
      <c r="A520" s="168">
        <v>46163</v>
      </c>
      <c r="B520" s="64">
        <v>46163.416666666701</v>
      </c>
      <c r="C520" s="142">
        <f t="shared" si="42"/>
        <v>46163.416666666701</v>
      </c>
      <c r="D520" s="19" t="s">
        <v>40</v>
      </c>
      <c r="E520" s="7" t="s">
        <v>15</v>
      </c>
      <c r="F520" s="118" t="s">
        <v>93</v>
      </c>
      <c r="G520" s="115">
        <v>0.55000000000000004</v>
      </c>
      <c r="H520" s="116">
        <v>0.54</v>
      </c>
      <c r="I520" s="46" t="str">
        <f t="shared" si="43"/>
        <v/>
      </c>
      <c r="J520" s="46" t="str">
        <f t="shared" si="44"/>
        <v/>
      </c>
      <c r="K520" s="46">
        <f t="shared" si="45"/>
        <v>-1.0000000000000009E-2</v>
      </c>
      <c r="L520" s="49" t="str">
        <f t="shared" si="46"/>
        <v/>
      </c>
      <c r="M520" s="49" t="str">
        <f t="shared" si="46"/>
        <v/>
      </c>
      <c r="N520" s="49" t="str">
        <f t="shared" si="46"/>
        <v>Within Tolerance</v>
      </c>
    </row>
    <row r="521" spans="1:14" s="43" customFormat="1" hidden="1" x14ac:dyDescent="0.3">
      <c r="A521" s="169">
        <v>46163</v>
      </c>
      <c r="B521" s="64">
        <v>46163.5</v>
      </c>
      <c r="C521" s="142">
        <f t="shared" si="42"/>
        <v>46163.5</v>
      </c>
      <c r="D521" s="19" t="s">
        <v>40</v>
      </c>
      <c r="E521" s="7" t="s">
        <v>15</v>
      </c>
      <c r="F521" s="118" t="s">
        <v>93</v>
      </c>
      <c r="G521" s="115">
        <v>0.55000000000000004</v>
      </c>
      <c r="H521" s="116">
        <v>0.53</v>
      </c>
      <c r="I521" s="46" t="str">
        <f t="shared" si="43"/>
        <v/>
      </c>
      <c r="J521" s="46" t="str">
        <f t="shared" si="44"/>
        <v/>
      </c>
      <c r="K521" s="46">
        <f t="shared" si="45"/>
        <v>-2.0000000000000018E-2</v>
      </c>
      <c r="L521" s="49" t="str">
        <f t="shared" si="46"/>
        <v/>
      </c>
      <c r="M521" s="49" t="str">
        <f t="shared" si="46"/>
        <v/>
      </c>
      <c r="N521" s="49" t="str">
        <f t="shared" si="46"/>
        <v>Within Tolerance</v>
      </c>
    </row>
    <row r="522" spans="1:14" s="43" customFormat="1" hidden="1" x14ac:dyDescent="0.3">
      <c r="A522" s="168">
        <v>46163</v>
      </c>
      <c r="B522" s="64">
        <v>46163.583333333299</v>
      </c>
      <c r="C522" s="142">
        <f t="shared" si="42"/>
        <v>46163.583333333299</v>
      </c>
      <c r="D522" s="19" t="s">
        <v>40</v>
      </c>
      <c r="E522" s="7" t="s">
        <v>15</v>
      </c>
      <c r="F522" s="118" t="s">
        <v>93</v>
      </c>
      <c r="G522" s="115">
        <v>0.55000000000000004</v>
      </c>
      <c r="H522" s="116">
        <v>0.53</v>
      </c>
      <c r="I522" s="46" t="str">
        <f t="shared" si="43"/>
        <v/>
      </c>
      <c r="J522" s="46" t="str">
        <f t="shared" si="44"/>
        <v/>
      </c>
      <c r="K522" s="46">
        <f t="shared" si="45"/>
        <v>-2.0000000000000018E-2</v>
      </c>
      <c r="L522" s="49" t="str">
        <f t="shared" si="46"/>
        <v/>
      </c>
      <c r="M522" s="49" t="str">
        <f t="shared" si="46"/>
        <v/>
      </c>
      <c r="N522" s="49" t="str">
        <f t="shared" si="46"/>
        <v>Within Tolerance</v>
      </c>
    </row>
    <row r="523" spans="1:14" s="43" customFormat="1" hidden="1" x14ac:dyDescent="0.3">
      <c r="A523" s="169">
        <v>46163</v>
      </c>
      <c r="B523" s="64">
        <v>46163.649305555598</v>
      </c>
      <c r="C523" s="142">
        <f t="shared" si="42"/>
        <v>46163.649305555598</v>
      </c>
      <c r="D523" s="19" t="s">
        <v>41</v>
      </c>
      <c r="E523" s="7" t="s">
        <v>15</v>
      </c>
      <c r="F523" s="118" t="s">
        <v>93</v>
      </c>
      <c r="G523" s="115">
        <v>0.52</v>
      </c>
      <c r="H523" s="116">
        <v>0.54</v>
      </c>
      <c r="I523" s="46" t="str">
        <f t="shared" si="43"/>
        <v/>
      </c>
      <c r="J523" s="46" t="str">
        <f t="shared" si="44"/>
        <v/>
      </c>
      <c r="K523" s="46">
        <f t="shared" si="45"/>
        <v>2.0000000000000018E-2</v>
      </c>
      <c r="L523" s="49" t="str">
        <f t="shared" si="46"/>
        <v/>
      </c>
      <c r="M523" s="49" t="str">
        <f t="shared" si="46"/>
        <v/>
      </c>
      <c r="N523" s="49" t="str">
        <f t="shared" si="46"/>
        <v>Within Tolerance</v>
      </c>
    </row>
    <row r="524" spans="1:14" s="43" customFormat="1" hidden="1" x14ac:dyDescent="0.3">
      <c r="A524" s="168">
        <v>46163</v>
      </c>
      <c r="B524" s="64">
        <v>46163.729166666701</v>
      </c>
      <c r="C524" s="142">
        <f t="shared" si="42"/>
        <v>46163.729166666701</v>
      </c>
      <c r="D524" s="19" t="s">
        <v>41</v>
      </c>
      <c r="E524" s="7" t="s">
        <v>15</v>
      </c>
      <c r="F524" s="118">
        <v>0.55000000000000004</v>
      </c>
      <c r="G524" s="115">
        <v>0.55000000000000004</v>
      </c>
      <c r="H524" s="116">
        <v>0.55000000000000004</v>
      </c>
      <c r="I524" s="46">
        <f t="shared" si="43"/>
        <v>0</v>
      </c>
      <c r="J524" s="46">
        <f t="shared" si="44"/>
        <v>0</v>
      </c>
      <c r="K524" s="46">
        <f t="shared" si="45"/>
        <v>0</v>
      </c>
      <c r="L524" s="49" t="str">
        <f t="shared" si="46"/>
        <v>Within Tolerance</v>
      </c>
      <c r="M524" s="49" t="str">
        <f t="shared" si="46"/>
        <v>Within Tolerance</v>
      </c>
      <c r="N524" s="49" t="str">
        <f t="shared" si="46"/>
        <v>Within Tolerance</v>
      </c>
    </row>
    <row r="525" spans="1:14" s="43" customFormat="1" hidden="1" x14ac:dyDescent="0.3">
      <c r="A525" s="169">
        <v>46163</v>
      </c>
      <c r="B525" s="64">
        <v>46163.833333333299</v>
      </c>
      <c r="C525" s="142">
        <f t="shared" si="42"/>
        <v>46163.833333333299</v>
      </c>
      <c r="D525" s="19" t="s">
        <v>41</v>
      </c>
      <c r="E525" s="7" t="s">
        <v>15</v>
      </c>
      <c r="F525" s="118" t="s">
        <v>93</v>
      </c>
      <c r="G525" s="115">
        <v>0.54</v>
      </c>
      <c r="H525" s="116">
        <v>0.56000000000000005</v>
      </c>
      <c r="I525" s="46" t="str">
        <f t="shared" si="43"/>
        <v/>
      </c>
      <c r="J525" s="46" t="str">
        <f t="shared" si="44"/>
        <v/>
      </c>
      <c r="K525" s="46">
        <f t="shared" si="45"/>
        <v>2.0000000000000018E-2</v>
      </c>
      <c r="L525" s="49" t="str">
        <f t="shared" si="46"/>
        <v/>
      </c>
      <c r="M525" s="49" t="str">
        <f t="shared" si="46"/>
        <v/>
      </c>
      <c r="N525" s="49" t="str">
        <f t="shared" si="46"/>
        <v>Within Tolerance</v>
      </c>
    </row>
    <row r="526" spans="1:14" s="43" customFormat="1" hidden="1" x14ac:dyDescent="0.3">
      <c r="A526" s="168">
        <v>46163</v>
      </c>
      <c r="B526" s="64">
        <v>46163.916666666701</v>
      </c>
      <c r="C526" s="142">
        <f t="shared" si="42"/>
        <v>46163.916666666701</v>
      </c>
      <c r="D526" s="19" t="s">
        <v>41</v>
      </c>
      <c r="E526" s="7" t="s">
        <v>15</v>
      </c>
      <c r="F526" s="118" t="s">
        <v>93</v>
      </c>
      <c r="G526" s="115">
        <v>0.56000000000000005</v>
      </c>
      <c r="H526" s="116">
        <v>0.56999999999999995</v>
      </c>
      <c r="I526" s="46" t="str">
        <f t="shared" si="43"/>
        <v/>
      </c>
      <c r="J526" s="46" t="str">
        <f t="shared" si="44"/>
        <v/>
      </c>
      <c r="K526" s="46">
        <f t="shared" si="45"/>
        <v>9.9999999999998979E-3</v>
      </c>
      <c r="L526" s="49" t="str">
        <f t="shared" si="46"/>
        <v/>
      </c>
      <c r="M526" s="49" t="str">
        <f t="shared" si="46"/>
        <v/>
      </c>
      <c r="N526" s="49" t="str">
        <f t="shared" si="46"/>
        <v>Within Tolerance</v>
      </c>
    </row>
    <row r="527" spans="1:14" s="43" customFormat="1" hidden="1" x14ac:dyDescent="0.3">
      <c r="A527" s="169">
        <v>46163</v>
      </c>
      <c r="B527" s="64">
        <v>46164</v>
      </c>
      <c r="C527" s="142">
        <f t="shared" si="42"/>
        <v>46163</v>
      </c>
      <c r="D527" s="19" t="s">
        <v>41</v>
      </c>
      <c r="E527" s="7" t="s">
        <v>15</v>
      </c>
      <c r="F527" s="118" t="s">
        <v>93</v>
      </c>
      <c r="G527" s="115">
        <v>0.54</v>
      </c>
      <c r="H527" s="116">
        <v>0.56000000000000005</v>
      </c>
      <c r="I527" s="46" t="str">
        <f t="shared" si="43"/>
        <v/>
      </c>
      <c r="J527" s="46" t="str">
        <f t="shared" si="44"/>
        <v/>
      </c>
      <c r="K527" s="46">
        <f t="shared" si="45"/>
        <v>2.0000000000000018E-2</v>
      </c>
      <c r="L527" s="49" t="str">
        <f t="shared" si="46"/>
        <v/>
      </c>
      <c r="M527" s="49" t="str">
        <f t="shared" si="46"/>
        <v/>
      </c>
      <c r="N527" s="49" t="str">
        <f t="shared" si="46"/>
        <v>Within Tolerance</v>
      </c>
    </row>
    <row r="528" spans="1:14" hidden="1" x14ac:dyDescent="0.3">
      <c r="A528" s="168">
        <v>46163</v>
      </c>
      <c r="B528" s="64">
        <v>46164.083333333299</v>
      </c>
      <c r="C528" s="142">
        <f t="shared" si="42"/>
        <v>46163.083333333299</v>
      </c>
      <c r="D528" s="19" t="s">
        <v>41</v>
      </c>
      <c r="E528" s="7" t="s">
        <v>15</v>
      </c>
      <c r="F528" s="118" t="s">
        <v>93</v>
      </c>
      <c r="G528" s="115">
        <v>0.54</v>
      </c>
      <c r="H528" s="116">
        <v>0.55000000000000004</v>
      </c>
      <c r="I528" s="46" t="str">
        <f t="shared" si="43"/>
        <v/>
      </c>
      <c r="J528" s="46" t="str">
        <f t="shared" si="44"/>
        <v/>
      </c>
      <c r="K528" s="46">
        <f t="shared" si="45"/>
        <v>1.0000000000000009E-2</v>
      </c>
      <c r="L528" s="49" t="str">
        <f t="shared" si="46"/>
        <v/>
      </c>
      <c r="M528" s="49" t="str">
        <f t="shared" si="46"/>
        <v/>
      </c>
      <c r="N528" s="49" t="str">
        <f t="shared" si="46"/>
        <v>Within Tolerance</v>
      </c>
    </row>
    <row r="529" spans="1:14" hidden="1" x14ac:dyDescent="0.3">
      <c r="A529" s="169">
        <v>46163</v>
      </c>
      <c r="B529" s="64">
        <v>46164.166666666701</v>
      </c>
      <c r="C529" s="142">
        <f t="shared" si="42"/>
        <v>46163.166666666701</v>
      </c>
      <c r="D529" s="19" t="s">
        <v>41</v>
      </c>
      <c r="E529" s="7" t="s">
        <v>15</v>
      </c>
      <c r="F529" s="118" t="s">
        <v>93</v>
      </c>
      <c r="G529" s="115">
        <v>0.56000000000000005</v>
      </c>
      <c r="H529" s="116">
        <v>0.55000000000000004</v>
      </c>
      <c r="I529" s="46" t="str">
        <f t="shared" si="43"/>
        <v/>
      </c>
      <c r="J529" s="46" t="str">
        <f t="shared" si="44"/>
        <v/>
      </c>
      <c r="K529" s="46">
        <f t="shared" si="45"/>
        <v>-1.0000000000000009E-2</v>
      </c>
      <c r="L529" s="49" t="str">
        <f t="shared" si="46"/>
        <v/>
      </c>
      <c r="M529" s="49" t="str">
        <f t="shared" si="46"/>
        <v/>
      </c>
      <c r="N529" s="49" t="str">
        <f t="shared" si="46"/>
        <v>Within Tolerance</v>
      </c>
    </row>
    <row r="530" spans="1:14" hidden="1" x14ac:dyDescent="0.3">
      <c r="A530" s="168">
        <v>46163</v>
      </c>
      <c r="B530" s="64">
        <v>46164.194444444402</v>
      </c>
      <c r="C530" s="142">
        <f t="shared" si="42"/>
        <v>46163.194444444402</v>
      </c>
      <c r="D530" s="19" t="s">
        <v>29</v>
      </c>
      <c r="E530" s="7" t="s">
        <v>15</v>
      </c>
      <c r="F530" s="118" t="s">
        <v>93</v>
      </c>
      <c r="G530" s="115">
        <v>0.52</v>
      </c>
      <c r="H530" s="116">
        <v>0.53</v>
      </c>
      <c r="I530" s="46" t="str">
        <f t="shared" si="43"/>
        <v/>
      </c>
      <c r="J530" s="46" t="str">
        <f t="shared" si="44"/>
        <v/>
      </c>
      <c r="K530" s="46">
        <f t="shared" si="45"/>
        <v>1.0000000000000009E-2</v>
      </c>
      <c r="L530" s="49" t="str">
        <f t="shared" si="46"/>
        <v/>
      </c>
      <c r="M530" s="49" t="str">
        <f t="shared" si="46"/>
        <v/>
      </c>
      <c r="N530" s="49" t="str">
        <f t="shared" si="46"/>
        <v>Within Tolerance</v>
      </c>
    </row>
    <row r="531" spans="1:14" hidden="1" x14ac:dyDescent="0.3">
      <c r="A531" s="169">
        <v>46163</v>
      </c>
      <c r="B531" s="64">
        <v>46164.229166666701</v>
      </c>
      <c r="C531" s="142">
        <f t="shared" si="42"/>
        <v>46163.229166666701</v>
      </c>
      <c r="D531" s="19" t="s">
        <v>29</v>
      </c>
      <c r="E531" s="7" t="s">
        <v>15</v>
      </c>
      <c r="F531" s="118" t="s">
        <v>93</v>
      </c>
      <c r="G531" s="115">
        <v>0.53</v>
      </c>
      <c r="H531" s="116">
        <v>0.52</v>
      </c>
      <c r="I531" s="46" t="str">
        <f t="shared" si="43"/>
        <v/>
      </c>
      <c r="J531" s="46" t="str">
        <f t="shared" si="44"/>
        <v/>
      </c>
      <c r="K531" s="46">
        <f t="shared" si="45"/>
        <v>-1.0000000000000009E-2</v>
      </c>
      <c r="L531" s="49" t="str">
        <f t="shared" si="46"/>
        <v/>
      </c>
      <c r="M531" s="49" t="str">
        <f t="shared" si="46"/>
        <v/>
      </c>
      <c r="N531" s="49" t="str">
        <f t="shared" si="46"/>
        <v>Within Tolerance</v>
      </c>
    </row>
    <row r="532" spans="1:14" hidden="1" x14ac:dyDescent="0.3">
      <c r="A532" s="200">
        <v>46163</v>
      </c>
      <c r="B532" s="91">
        <v>46163.833333333299</v>
      </c>
      <c r="C532" s="227">
        <f t="shared" si="42"/>
        <v>46163.833333333299</v>
      </c>
      <c r="D532" s="7" t="s">
        <v>27</v>
      </c>
      <c r="E532" s="7" t="s">
        <v>19</v>
      </c>
      <c r="F532" s="116">
        <v>0.56000000000000005</v>
      </c>
      <c r="G532" s="116">
        <v>0.56999999999999995</v>
      </c>
      <c r="H532" s="116">
        <v>0.56999999999999995</v>
      </c>
      <c r="I532" s="46">
        <f t="shared" si="43"/>
        <v>9.9999999999998979E-3</v>
      </c>
      <c r="J532" s="46">
        <f t="shared" si="44"/>
        <v>9.9999999999998979E-3</v>
      </c>
      <c r="K532" s="46">
        <f t="shared" si="45"/>
        <v>0</v>
      </c>
      <c r="L532" s="49" t="str">
        <f t="shared" si="46"/>
        <v>Within Tolerance</v>
      </c>
      <c r="M532" s="49" t="str">
        <f t="shared" si="46"/>
        <v>Within Tolerance</v>
      </c>
      <c r="N532" s="49" t="str">
        <f t="shared" si="46"/>
        <v>Within Tolerance</v>
      </c>
    </row>
    <row r="533" spans="1:14" hidden="1" x14ac:dyDescent="0.3">
      <c r="A533" s="175">
        <v>46163</v>
      </c>
      <c r="B533" s="67">
        <v>46163.465277777803</v>
      </c>
      <c r="C533" s="145">
        <f t="shared" si="42"/>
        <v>46163.465277777803</v>
      </c>
      <c r="D533" s="19" t="s">
        <v>49</v>
      </c>
      <c r="E533" s="7" t="s">
        <v>24</v>
      </c>
      <c r="F533" s="118">
        <v>0.67</v>
      </c>
      <c r="G533" s="115">
        <v>0.65</v>
      </c>
      <c r="H533" s="116">
        <v>0.62</v>
      </c>
      <c r="I533" s="46">
        <f t="shared" si="43"/>
        <v>-2.0000000000000018E-2</v>
      </c>
      <c r="J533" s="46">
        <f t="shared" si="44"/>
        <v>-5.0000000000000044E-2</v>
      </c>
      <c r="K533" s="46">
        <f t="shared" si="45"/>
        <v>-3.0000000000000027E-2</v>
      </c>
      <c r="L533" s="49" t="str">
        <f t="shared" si="46"/>
        <v>Within Tolerance</v>
      </c>
      <c r="M533" s="49" t="str">
        <f t="shared" si="46"/>
        <v>Out of Tolerance</v>
      </c>
      <c r="N533" s="49" t="str">
        <f t="shared" si="46"/>
        <v>Out of Tolerance</v>
      </c>
    </row>
    <row r="534" spans="1:14" hidden="1" x14ac:dyDescent="0.3">
      <c r="A534" s="176">
        <v>46163</v>
      </c>
      <c r="B534" s="68">
        <v>46163.527777777803</v>
      </c>
      <c r="C534" s="146">
        <f t="shared" si="42"/>
        <v>46163.527777777803</v>
      </c>
      <c r="D534" s="7" t="s">
        <v>25</v>
      </c>
      <c r="E534" s="7" t="s">
        <v>24</v>
      </c>
      <c r="F534" s="118">
        <v>0.62</v>
      </c>
      <c r="G534" s="115">
        <v>0.62</v>
      </c>
      <c r="H534" s="116">
        <v>0.6</v>
      </c>
      <c r="I534" s="46">
        <f t="shared" si="43"/>
        <v>0</v>
      </c>
      <c r="J534" s="46">
        <f t="shared" si="44"/>
        <v>-2.0000000000000018E-2</v>
      </c>
      <c r="K534" s="46">
        <f t="shared" si="45"/>
        <v>-2.0000000000000018E-2</v>
      </c>
      <c r="L534" s="49" t="str">
        <f t="shared" si="46"/>
        <v>Within Tolerance</v>
      </c>
      <c r="M534" s="49" t="str">
        <f t="shared" si="46"/>
        <v>Within Tolerance</v>
      </c>
      <c r="N534" s="49" t="str">
        <f t="shared" si="46"/>
        <v>Within Tolerance</v>
      </c>
    </row>
    <row r="535" spans="1:14" hidden="1" x14ac:dyDescent="0.3">
      <c r="A535" s="177">
        <v>46163</v>
      </c>
      <c r="B535" s="66">
        <v>46163.583333333299</v>
      </c>
      <c r="C535" s="144">
        <f t="shared" si="42"/>
        <v>46163.583333333299</v>
      </c>
      <c r="D535" s="7" t="s">
        <v>26</v>
      </c>
      <c r="E535" s="7" t="s">
        <v>24</v>
      </c>
      <c r="F535" s="116">
        <v>0.69</v>
      </c>
      <c r="G535" s="115">
        <v>0.67</v>
      </c>
      <c r="H535" s="122">
        <v>0.63</v>
      </c>
      <c r="I535" s="46">
        <f t="shared" si="43"/>
        <v>-1.9999999999999907E-2</v>
      </c>
      <c r="J535" s="46">
        <f t="shared" si="44"/>
        <v>-5.9999999999999942E-2</v>
      </c>
      <c r="K535" s="46">
        <f t="shared" si="45"/>
        <v>-4.0000000000000036E-2</v>
      </c>
      <c r="L535" s="49" t="str">
        <f t="shared" si="46"/>
        <v>Within Tolerance</v>
      </c>
      <c r="M535" s="49" t="str">
        <f t="shared" si="46"/>
        <v>Out of Tolerance</v>
      </c>
      <c r="N535" s="49" t="str">
        <f t="shared" si="46"/>
        <v>Out of Tolerance</v>
      </c>
    </row>
    <row r="536" spans="1:14" hidden="1" x14ac:dyDescent="0.3">
      <c r="A536" s="174">
        <v>46163</v>
      </c>
      <c r="B536" s="66">
        <v>46163.607638888891</v>
      </c>
      <c r="C536" s="144">
        <f t="shared" si="42"/>
        <v>46163.607638888891</v>
      </c>
      <c r="D536" s="19" t="s">
        <v>42</v>
      </c>
      <c r="E536" s="7" t="s">
        <v>19</v>
      </c>
      <c r="F536" s="116">
        <v>0.41</v>
      </c>
      <c r="G536" s="116">
        <v>0.41</v>
      </c>
      <c r="H536" s="116">
        <v>0.4</v>
      </c>
      <c r="I536" s="46">
        <f t="shared" si="43"/>
        <v>0</v>
      </c>
      <c r="J536" s="46">
        <f t="shared" si="44"/>
        <v>-9.9999999999999534E-3</v>
      </c>
      <c r="K536" s="46">
        <f t="shared" si="45"/>
        <v>-9.9999999999999534E-3</v>
      </c>
      <c r="L536" s="49" t="str">
        <f t="shared" si="46"/>
        <v>Within Tolerance</v>
      </c>
      <c r="M536" s="49" t="str">
        <f t="shared" si="46"/>
        <v>Within Tolerance</v>
      </c>
      <c r="N536" s="49" t="str">
        <f t="shared" si="46"/>
        <v>Within Tolerance</v>
      </c>
    </row>
    <row r="537" spans="1:14" hidden="1" x14ac:dyDescent="0.3">
      <c r="A537" s="177">
        <v>46163</v>
      </c>
      <c r="B537" s="66">
        <v>46163.625</v>
      </c>
      <c r="C537" s="144">
        <f t="shared" si="42"/>
        <v>46163.625</v>
      </c>
      <c r="D537" s="7" t="s">
        <v>25</v>
      </c>
      <c r="E537" s="7" t="s">
        <v>24</v>
      </c>
      <c r="F537" s="116">
        <v>0.63</v>
      </c>
      <c r="G537" s="116">
        <v>0.64</v>
      </c>
      <c r="H537" s="116">
        <v>0.6</v>
      </c>
      <c r="I537" s="46">
        <f t="shared" si="43"/>
        <v>1.0000000000000009E-2</v>
      </c>
      <c r="J537" s="46">
        <f t="shared" si="44"/>
        <v>-3.0000000000000027E-2</v>
      </c>
      <c r="K537" s="46">
        <f t="shared" si="45"/>
        <v>-4.0000000000000036E-2</v>
      </c>
      <c r="L537" s="49" t="str">
        <f t="shared" si="46"/>
        <v>Within Tolerance</v>
      </c>
      <c r="M537" s="49" t="str">
        <f t="shared" si="46"/>
        <v>Out of Tolerance</v>
      </c>
      <c r="N537" s="49" t="str">
        <f t="shared" si="46"/>
        <v>Out of Tolerance</v>
      </c>
    </row>
    <row r="538" spans="1:14" hidden="1" x14ac:dyDescent="0.3">
      <c r="A538" s="174">
        <v>46163</v>
      </c>
      <c r="B538" s="66">
        <v>46163.756944444445</v>
      </c>
      <c r="C538" s="144">
        <f t="shared" si="42"/>
        <v>46163.756944444445</v>
      </c>
      <c r="D538" s="19" t="s">
        <v>36</v>
      </c>
      <c r="E538" s="7" t="s">
        <v>19</v>
      </c>
      <c r="F538" s="116">
        <v>0.4</v>
      </c>
      <c r="G538" s="116">
        <v>0.4</v>
      </c>
      <c r="H538" s="116">
        <v>0.4</v>
      </c>
      <c r="I538" s="46">
        <f t="shared" si="43"/>
        <v>0</v>
      </c>
      <c r="J538" s="46">
        <f t="shared" si="44"/>
        <v>0</v>
      </c>
      <c r="K538" s="46">
        <f t="shared" si="45"/>
        <v>0</v>
      </c>
      <c r="L538" s="49" t="str">
        <f t="shared" si="46"/>
        <v>Within Tolerance</v>
      </c>
      <c r="M538" s="49" t="str">
        <f t="shared" si="46"/>
        <v>Within Tolerance</v>
      </c>
      <c r="N538" s="49" t="str">
        <f t="shared" si="46"/>
        <v>Within Tolerance</v>
      </c>
    </row>
    <row r="539" spans="1:14" hidden="1" x14ac:dyDescent="0.3">
      <c r="A539" s="177">
        <v>46163</v>
      </c>
      <c r="B539" s="66">
        <v>46163.756944444445</v>
      </c>
      <c r="C539" s="144">
        <f t="shared" si="42"/>
        <v>46163.756944444445</v>
      </c>
      <c r="D539" s="7" t="s">
        <v>26</v>
      </c>
      <c r="E539" s="7" t="s">
        <v>24</v>
      </c>
      <c r="F539" s="116">
        <v>0.67</v>
      </c>
      <c r="G539" s="116">
        <v>0.69</v>
      </c>
      <c r="H539" s="116">
        <v>0.66</v>
      </c>
      <c r="I539" s="46">
        <f t="shared" si="43"/>
        <v>1.9999999999999907E-2</v>
      </c>
      <c r="J539" s="46">
        <f t="shared" si="44"/>
        <v>-1.0000000000000009E-2</v>
      </c>
      <c r="K539" s="46">
        <f t="shared" si="45"/>
        <v>-2.9999999999999916E-2</v>
      </c>
      <c r="L539" s="49" t="str">
        <f t="shared" si="46"/>
        <v>Within Tolerance</v>
      </c>
      <c r="M539" s="49" t="str">
        <f t="shared" si="46"/>
        <v>Within Tolerance</v>
      </c>
      <c r="N539" s="49" t="str">
        <f t="shared" si="46"/>
        <v>Out of Tolerance</v>
      </c>
    </row>
    <row r="540" spans="1:14" hidden="1" x14ac:dyDescent="0.3">
      <c r="A540" s="206">
        <v>46164</v>
      </c>
      <c r="B540" s="61">
        <v>46164.333333333299</v>
      </c>
      <c r="C540" s="138">
        <f t="shared" si="42"/>
        <v>46164.333333333299</v>
      </c>
      <c r="D540" s="19" t="s">
        <v>41</v>
      </c>
      <c r="E540" s="7" t="s">
        <v>11</v>
      </c>
      <c r="F540" s="118">
        <v>0.53</v>
      </c>
      <c r="G540" s="115">
        <v>0.54</v>
      </c>
      <c r="H540" s="116">
        <v>0.55000000000000004</v>
      </c>
      <c r="I540" s="46">
        <f t="shared" si="43"/>
        <v>1.0000000000000009E-2</v>
      </c>
      <c r="J540" s="46">
        <f t="shared" si="44"/>
        <v>2.0000000000000018E-2</v>
      </c>
      <c r="K540" s="46">
        <f t="shared" si="45"/>
        <v>1.0000000000000009E-2</v>
      </c>
      <c r="L540" s="49" t="str">
        <f t="shared" si="46"/>
        <v>Within Tolerance</v>
      </c>
      <c r="M540" s="49" t="str">
        <f t="shared" si="46"/>
        <v>Within Tolerance</v>
      </c>
      <c r="N540" s="49" t="str">
        <f t="shared" si="46"/>
        <v>Within Tolerance</v>
      </c>
    </row>
    <row r="541" spans="1:14" hidden="1" x14ac:dyDescent="0.3">
      <c r="A541" s="207">
        <v>46164</v>
      </c>
      <c r="B541" s="61">
        <v>46164.416666666701</v>
      </c>
      <c r="C541" s="138">
        <f t="shared" si="42"/>
        <v>46164.416666666701</v>
      </c>
      <c r="D541" s="19" t="s">
        <v>41</v>
      </c>
      <c r="E541" s="7" t="s">
        <v>11</v>
      </c>
      <c r="F541" s="118" t="s">
        <v>93</v>
      </c>
      <c r="G541" s="115">
        <v>0.54</v>
      </c>
      <c r="H541" s="116">
        <v>0.54</v>
      </c>
      <c r="I541" s="46" t="str">
        <f t="shared" si="43"/>
        <v/>
      </c>
      <c r="J541" s="46" t="str">
        <f t="shared" si="44"/>
        <v/>
      </c>
      <c r="K541" s="46">
        <f t="shared" si="45"/>
        <v>0</v>
      </c>
      <c r="L541" s="49" t="str">
        <f t="shared" si="46"/>
        <v/>
      </c>
      <c r="M541" s="49" t="str">
        <f t="shared" si="46"/>
        <v/>
      </c>
      <c r="N541" s="49" t="str">
        <f t="shared" si="46"/>
        <v>Within Tolerance</v>
      </c>
    </row>
    <row r="542" spans="1:14" hidden="1" x14ac:dyDescent="0.3">
      <c r="A542" s="206">
        <v>46164</v>
      </c>
      <c r="B542" s="61">
        <v>46164.5</v>
      </c>
      <c r="C542" s="138">
        <f t="shared" si="42"/>
        <v>46164.5</v>
      </c>
      <c r="D542" s="19" t="s">
        <v>41</v>
      </c>
      <c r="E542" s="7" t="s">
        <v>11</v>
      </c>
      <c r="F542" s="118" t="s">
        <v>93</v>
      </c>
      <c r="G542" s="115">
        <v>0.53</v>
      </c>
      <c r="H542" s="116">
        <v>0.55000000000000004</v>
      </c>
      <c r="I542" s="46" t="str">
        <f t="shared" si="43"/>
        <v/>
      </c>
      <c r="J542" s="46" t="str">
        <f t="shared" si="44"/>
        <v/>
      </c>
      <c r="K542" s="46">
        <f t="shared" si="45"/>
        <v>2.0000000000000018E-2</v>
      </c>
      <c r="L542" s="49" t="str">
        <f t="shared" si="46"/>
        <v/>
      </c>
      <c r="M542" s="49" t="str">
        <f t="shared" si="46"/>
        <v/>
      </c>
      <c r="N542" s="49" t="str">
        <f t="shared" si="46"/>
        <v>Within Tolerance</v>
      </c>
    </row>
    <row r="543" spans="1:14" hidden="1" x14ac:dyDescent="0.3">
      <c r="A543" s="207">
        <v>46164</v>
      </c>
      <c r="B543" s="61">
        <v>46164.604166666701</v>
      </c>
      <c r="C543" s="138">
        <f t="shared" si="42"/>
        <v>46164.604166666701</v>
      </c>
      <c r="D543" s="19" t="s">
        <v>41</v>
      </c>
      <c r="E543" s="7" t="s">
        <v>11</v>
      </c>
      <c r="F543" s="118" t="s">
        <v>93</v>
      </c>
      <c r="G543" s="115">
        <v>0.54</v>
      </c>
      <c r="H543" s="116">
        <v>0.55000000000000004</v>
      </c>
      <c r="I543" s="46" t="str">
        <f t="shared" si="43"/>
        <v/>
      </c>
      <c r="J543" s="46" t="str">
        <f t="shared" si="44"/>
        <v/>
      </c>
      <c r="K543" s="46">
        <f t="shared" si="45"/>
        <v>1.0000000000000009E-2</v>
      </c>
      <c r="L543" s="49" t="str">
        <f t="shared" si="46"/>
        <v/>
      </c>
      <c r="M543" s="49" t="str">
        <f t="shared" si="46"/>
        <v/>
      </c>
      <c r="N543" s="49" t="str">
        <f t="shared" si="46"/>
        <v>Within Tolerance</v>
      </c>
    </row>
    <row r="544" spans="1:14" hidden="1" x14ac:dyDescent="0.3">
      <c r="A544" s="206">
        <v>46164</v>
      </c>
      <c r="B544" s="61">
        <v>46164.666666666701</v>
      </c>
      <c r="C544" s="138">
        <f t="shared" si="42"/>
        <v>46164.666666666701</v>
      </c>
      <c r="D544" s="19" t="s">
        <v>41</v>
      </c>
      <c r="E544" s="7" t="s">
        <v>11</v>
      </c>
      <c r="F544" s="118">
        <v>0.53</v>
      </c>
      <c r="G544" s="115">
        <v>0.55000000000000004</v>
      </c>
      <c r="H544" s="116">
        <v>0.55000000000000004</v>
      </c>
      <c r="I544" s="46">
        <f t="shared" si="43"/>
        <v>2.0000000000000018E-2</v>
      </c>
      <c r="J544" s="46">
        <f t="shared" si="44"/>
        <v>2.0000000000000018E-2</v>
      </c>
      <c r="K544" s="46">
        <f t="shared" si="45"/>
        <v>0</v>
      </c>
      <c r="L544" s="49" t="str">
        <f t="shared" si="46"/>
        <v>Within Tolerance</v>
      </c>
      <c r="M544" s="49" t="str">
        <f t="shared" si="46"/>
        <v>Within Tolerance</v>
      </c>
      <c r="N544" s="49" t="str">
        <f t="shared" si="46"/>
        <v>Within Tolerance</v>
      </c>
    </row>
    <row r="545" spans="1:14" hidden="1" x14ac:dyDescent="0.3">
      <c r="A545" s="207">
        <v>46164</v>
      </c>
      <c r="B545" s="61">
        <v>46164.75</v>
      </c>
      <c r="C545" s="138">
        <f t="shared" si="42"/>
        <v>46164.75</v>
      </c>
      <c r="D545" s="19" t="s">
        <v>41</v>
      </c>
      <c r="E545" s="7" t="s">
        <v>11</v>
      </c>
      <c r="F545" s="118" t="s">
        <v>93</v>
      </c>
      <c r="G545" s="115">
        <v>0.55000000000000004</v>
      </c>
      <c r="H545" s="116">
        <v>0.54</v>
      </c>
      <c r="I545" s="46" t="str">
        <f t="shared" si="43"/>
        <v/>
      </c>
      <c r="J545" s="46" t="str">
        <f t="shared" si="44"/>
        <v/>
      </c>
      <c r="K545" s="46">
        <f t="shared" si="45"/>
        <v>-1.0000000000000009E-2</v>
      </c>
      <c r="L545" s="49" t="str">
        <f t="shared" si="46"/>
        <v/>
      </c>
      <c r="M545" s="49" t="str">
        <f t="shared" si="46"/>
        <v/>
      </c>
      <c r="N545" s="49" t="str">
        <f t="shared" si="46"/>
        <v>Within Tolerance</v>
      </c>
    </row>
    <row r="546" spans="1:14" hidden="1" x14ac:dyDescent="0.3">
      <c r="A546" s="206">
        <v>46164</v>
      </c>
      <c r="B546" s="61">
        <v>46164.833333333299</v>
      </c>
      <c r="C546" s="138">
        <f t="shared" si="42"/>
        <v>46164.833333333299</v>
      </c>
      <c r="D546" s="19" t="s">
        <v>41</v>
      </c>
      <c r="E546" s="7" t="s">
        <v>11</v>
      </c>
      <c r="F546" s="118" t="s">
        <v>93</v>
      </c>
      <c r="G546" s="115">
        <v>0.53</v>
      </c>
      <c r="H546" s="116">
        <v>0.55000000000000004</v>
      </c>
      <c r="I546" s="46" t="str">
        <f t="shared" si="43"/>
        <v/>
      </c>
      <c r="J546" s="46" t="str">
        <f t="shared" si="44"/>
        <v/>
      </c>
      <c r="K546" s="46">
        <f t="shared" si="45"/>
        <v>2.0000000000000018E-2</v>
      </c>
      <c r="L546" s="49" t="str">
        <f t="shared" si="46"/>
        <v/>
      </c>
      <c r="M546" s="49" t="str">
        <f t="shared" si="46"/>
        <v/>
      </c>
      <c r="N546" s="49" t="str">
        <f t="shared" si="46"/>
        <v>Within Tolerance</v>
      </c>
    </row>
    <row r="547" spans="1:14" hidden="1" x14ac:dyDescent="0.3">
      <c r="A547" s="207">
        <v>46164</v>
      </c>
      <c r="B547" s="61">
        <v>46164.895833333299</v>
      </c>
      <c r="C547" s="138">
        <f t="shared" si="42"/>
        <v>46164.895833333299</v>
      </c>
      <c r="D547" s="19" t="s">
        <v>35</v>
      </c>
      <c r="E547" s="7" t="s">
        <v>11</v>
      </c>
      <c r="F547" s="118" t="s">
        <v>93</v>
      </c>
      <c r="G547" s="115">
        <v>0.55000000000000004</v>
      </c>
      <c r="H547" s="116">
        <v>0.56000000000000005</v>
      </c>
      <c r="I547" s="46" t="str">
        <f t="shared" si="43"/>
        <v/>
      </c>
      <c r="J547" s="46" t="str">
        <f t="shared" si="44"/>
        <v/>
      </c>
      <c r="K547" s="46">
        <f t="shared" si="45"/>
        <v>1.0000000000000009E-2</v>
      </c>
      <c r="L547" s="49" t="str">
        <f t="shared" si="46"/>
        <v/>
      </c>
      <c r="M547" s="49" t="str">
        <f t="shared" si="46"/>
        <v/>
      </c>
      <c r="N547" s="49" t="str">
        <f t="shared" si="46"/>
        <v>Within Tolerance</v>
      </c>
    </row>
    <row r="548" spans="1:14" x14ac:dyDescent="0.3">
      <c r="A548" s="206">
        <v>46164</v>
      </c>
      <c r="B548" s="61">
        <v>46164.947916666701</v>
      </c>
      <c r="C548" s="138">
        <f t="shared" si="42"/>
        <v>46164.947916666701</v>
      </c>
      <c r="D548" s="19" t="s">
        <v>35</v>
      </c>
      <c r="E548" s="7" t="s">
        <v>11</v>
      </c>
      <c r="F548" s="118" t="s">
        <v>93</v>
      </c>
      <c r="G548" s="115">
        <v>0.56000000000000005</v>
      </c>
      <c r="H548" s="116"/>
      <c r="I548" s="46" t="str">
        <f t="shared" si="43"/>
        <v/>
      </c>
      <c r="J548" s="46" t="str">
        <f t="shared" si="44"/>
        <v/>
      </c>
      <c r="K548" s="46" t="str">
        <f t="shared" si="45"/>
        <v/>
      </c>
      <c r="L548" s="49" t="str">
        <f t="shared" si="46"/>
        <v/>
      </c>
      <c r="M548" s="49" t="str">
        <f t="shared" si="46"/>
        <v/>
      </c>
      <c r="N548" s="49" t="str">
        <f t="shared" si="46"/>
        <v/>
      </c>
    </row>
    <row r="549" spans="1:14" hidden="1" x14ac:dyDescent="0.3">
      <c r="A549" s="207">
        <v>46164</v>
      </c>
      <c r="B549" s="61">
        <v>46165</v>
      </c>
      <c r="C549" s="138">
        <f t="shared" si="42"/>
        <v>46164</v>
      </c>
      <c r="D549" s="19" t="s">
        <v>35</v>
      </c>
      <c r="E549" s="7" t="s">
        <v>11</v>
      </c>
      <c r="F549" s="118">
        <v>0.54</v>
      </c>
      <c r="G549" s="115">
        <v>0.55000000000000004</v>
      </c>
      <c r="H549" s="116">
        <v>0.56999999999999995</v>
      </c>
      <c r="I549" s="46">
        <f t="shared" si="43"/>
        <v>1.0000000000000009E-2</v>
      </c>
      <c r="J549" s="46">
        <f t="shared" si="44"/>
        <v>2.9999999999999916E-2</v>
      </c>
      <c r="K549" s="46">
        <f t="shared" si="45"/>
        <v>1.9999999999999907E-2</v>
      </c>
      <c r="L549" s="49" t="str">
        <f t="shared" si="46"/>
        <v>Within Tolerance</v>
      </c>
      <c r="M549" s="49" t="str">
        <f t="shared" si="46"/>
        <v>Out of Tolerance</v>
      </c>
      <c r="N549" s="49" t="str">
        <f t="shared" si="46"/>
        <v>Within Tolerance</v>
      </c>
    </row>
    <row r="550" spans="1:14" hidden="1" x14ac:dyDescent="0.3">
      <c r="A550" s="206">
        <v>46164</v>
      </c>
      <c r="B550" s="61">
        <v>46165.041666666701</v>
      </c>
      <c r="C550" s="138">
        <f t="shared" si="42"/>
        <v>46164.041666666701</v>
      </c>
      <c r="D550" s="19" t="s">
        <v>35</v>
      </c>
      <c r="E550" s="7" t="s">
        <v>11</v>
      </c>
      <c r="F550" s="118" t="s">
        <v>93</v>
      </c>
      <c r="G550" s="115">
        <v>0.55000000000000004</v>
      </c>
      <c r="H550" s="116">
        <v>0.56999999999999995</v>
      </c>
      <c r="I550" s="46" t="str">
        <f t="shared" si="43"/>
        <v/>
      </c>
      <c r="J550" s="46" t="str">
        <f t="shared" si="44"/>
        <v/>
      </c>
      <c r="K550" s="46">
        <f t="shared" si="45"/>
        <v>1.9999999999999907E-2</v>
      </c>
      <c r="L550" s="49" t="str">
        <f t="shared" si="46"/>
        <v/>
      </c>
      <c r="M550" s="49" t="str">
        <f t="shared" si="46"/>
        <v/>
      </c>
      <c r="N550" s="49" t="str">
        <f t="shared" si="46"/>
        <v>Within Tolerance</v>
      </c>
    </row>
    <row r="551" spans="1:14" hidden="1" x14ac:dyDescent="0.3">
      <c r="A551" s="207">
        <v>46165</v>
      </c>
      <c r="B551" s="61">
        <v>46165.083333333299</v>
      </c>
      <c r="C551" s="138">
        <f t="shared" si="42"/>
        <v>46165.083333333299</v>
      </c>
      <c r="D551" s="19" t="s">
        <v>35</v>
      </c>
      <c r="E551" s="7" t="s">
        <v>11</v>
      </c>
      <c r="F551" s="118" t="s">
        <v>93</v>
      </c>
      <c r="G551" s="115">
        <v>0.55000000000000004</v>
      </c>
      <c r="H551" s="116">
        <v>0.57999999999999996</v>
      </c>
      <c r="I551" s="46" t="str">
        <f t="shared" si="43"/>
        <v/>
      </c>
      <c r="J551" s="46" t="str">
        <f t="shared" si="44"/>
        <v/>
      </c>
      <c r="K551" s="46">
        <f t="shared" si="45"/>
        <v>2.9999999999999916E-2</v>
      </c>
      <c r="L551" s="49" t="str">
        <f t="shared" si="46"/>
        <v/>
      </c>
      <c r="M551" s="49" t="str">
        <f t="shared" si="46"/>
        <v/>
      </c>
      <c r="N551" s="49" t="str">
        <f t="shared" si="46"/>
        <v>Out of Tolerance</v>
      </c>
    </row>
    <row r="552" spans="1:14" hidden="1" x14ac:dyDescent="0.3">
      <c r="A552" s="206">
        <v>46165</v>
      </c>
      <c r="B552" s="61">
        <v>46165.125</v>
      </c>
      <c r="C552" s="138">
        <f t="shared" si="42"/>
        <v>46165.125</v>
      </c>
      <c r="D552" s="19" t="s">
        <v>35</v>
      </c>
      <c r="E552" s="7" t="s">
        <v>11</v>
      </c>
      <c r="F552" s="118" t="s">
        <v>93</v>
      </c>
      <c r="G552" s="115">
        <v>0.55000000000000004</v>
      </c>
      <c r="H552" s="116">
        <v>0.59</v>
      </c>
      <c r="I552" s="46" t="str">
        <f t="shared" si="43"/>
        <v/>
      </c>
      <c r="J552" s="46" t="str">
        <f t="shared" si="44"/>
        <v/>
      </c>
      <c r="K552" s="46">
        <f t="shared" si="45"/>
        <v>3.9999999999999925E-2</v>
      </c>
      <c r="L552" s="49" t="str">
        <f t="shared" si="46"/>
        <v/>
      </c>
      <c r="M552" s="49" t="str">
        <f t="shared" si="46"/>
        <v/>
      </c>
      <c r="N552" s="49" t="str">
        <f t="shared" si="46"/>
        <v>Out of Tolerance</v>
      </c>
    </row>
    <row r="553" spans="1:14" hidden="1" x14ac:dyDescent="0.3">
      <c r="A553" s="207">
        <v>46165</v>
      </c>
      <c r="B553" s="61">
        <v>46165.166666666701</v>
      </c>
      <c r="C553" s="138">
        <f t="shared" si="42"/>
        <v>46165.166666666701</v>
      </c>
      <c r="D553" s="19" t="s">
        <v>35</v>
      </c>
      <c r="E553" s="7" t="s">
        <v>11</v>
      </c>
      <c r="F553" s="118" t="s">
        <v>93</v>
      </c>
      <c r="G553" s="115">
        <v>0.55000000000000004</v>
      </c>
      <c r="H553" s="116">
        <v>0.57999999999999996</v>
      </c>
      <c r="I553" s="46" t="str">
        <f t="shared" si="43"/>
        <v/>
      </c>
      <c r="J553" s="46" t="str">
        <f t="shared" si="44"/>
        <v/>
      </c>
      <c r="K553" s="46">
        <f t="shared" si="45"/>
        <v>2.9999999999999916E-2</v>
      </c>
      <c r="L553" s="49" t="str">
        <f t="shared" si="46"/>
        <v/>
      </c>
      <c r="M553" s="49" t="str">
        <f t="shared" si="46"/>
        <v/>
      </c>
      <c r="N553" s="49" t="str">
        <f t="shared" si="46"/>
        <v>Out of Tolerance</v>
      </c>
    </row>
    <row r="554" spans="1:14" hidden="1" x14ac:dyDescent="0.3">
      <c r="A554" s="206">
        <v>46165</v>
      </c>
      <c r="B554" s="61">
        <v>46165.208333333299</v>
      </c>
      <c r="C554" s="138">
        <f t="shared" si="42"/>
        <v>46165.208333333299</v>
      </c>
      <c r="D554" s="19" t="s">
        <v>35</v>
      </c>
      <c r="E554" s="7" t="s">
        <v>11</v>
      </c>
      <c r="F554" s="118" t="s">
        <v>93</v>
      </c>
      <c r="G554" s="115">
        <v>0.55000000000000004</v>
      </c>
      <c r="H554" s="116">
        <v>0.57999999999999996</v>
      </c>
      <c r="I554" s="46" t="str">
        <f t="shared" si="43"/>
        <v/>
      </c>
      <c r="J554" s="46" t="str">
        <f t="shared" si="44"/>
        <v/>
      </c>
      <c r="K554" s="46">
        <f t="shared" si="45"/>
        <v>2.9999999999999916E-2</v>
      </c>
      <c r="L554" s="49" t="str">
        <f t="shared" si="46"/>
        <v/>
      </c>
      <c r="M554" s="49" t="str">
        <f t="shared" si="46"/>
        <v/>
      </c>
      <c r="N554" s="49" t="str">
        <f t="shared" si="46"/>
        <v>Out of Tolerance</v>
      </c>
    </row>
    <row r="555" spans="1:14" hidden="1" x14ac:dyDescent="0.3">
      <c r="A555" s="207">
        <v>46165</v>
      </c>
      <c r="B555" s="61">
        <v>46165.25</v>
      </c>
      <c r="C555" s="138">
        <f t="shared" si="42"/>
        <v>46165.25</v>
      </c>
      <c r="D555" s="19" t="s">
        <v>35</v>
      </c>
      <c r="E555" s="7" t="s">
        <v>11</v>
      </c>
      <c r="F555" s="118" t="s">
        <v>93</v>
      </c>
      <c r="G555" s="115">
        <v>0.55000000000000004</v>
      </c>
      <c r="H555" s="116">
        <v>0.56000000000000005</v>
      </c>
      <c r="I555" s="46" t="str">
        <f t="shared" si="43"/>
        <v/>
      </c>
      <c r="J555" s="46" t="str">
        <f t="shared" si="44"/>
        <v/>
      </c>
      <c r="K555" s="46">
        <f t="shared" si="45"/>
        <v>1.0000000000000009E-2</v>
      </c>
      <c r="L555" s="49" t="str">
        <f t="shared" si="46"/>
        <v/>
      </c>
      <c r="M555" s="49" t="str">
        <f t="shared" si="46"/>
        <v/>
      </c>
      <c r="N555" s="49" t="str">
        <f t="shared" si="46"/>
        <v>Within Tolerance</v>
      </c>
    </row>
    <row r="556" spans="1:14" x14ac:dyDescent="0.3">
      <c r="A556" s="206">
        <v>46165</v>
      </c>
      <c r="B556" s="61">
        <v>46165.291666666701</v>
      </c>
      <c r="C556" s="138">
        <f t="shared" si="42"/>
        <v>46165.291666666701</v>
      </c>
      <c r="D556" s="19" t="s">
        <v>35</v>
      </c>
      <c r="E556" s="7" t="s">
        <v>11</v>
      </c>
      <c r="F556" s="118" t="s">
        <v>93</v>
      </c>
      <c r="G556" s="115">
        <v>0.54</v>
      </c>
      <c r="H556" s="116"/>
      <c r="I556" s="46" t="str">
        <f t="shared" si="43"/>
        <v/>
      </c>
      <c r="J556" s="46" t="str">
        <f t="shared" si="44"/>
        <v/>
      </c>
      <c r="K556" s="46" t="str">
        <f t="shared" si="45"/>
        <v/>
      </c>
      <c r="L556" s="49" t="str">
        <f t="shared" si="46"/>
        <v/>
      </c>
      <c r="M556" s="49" t="str">
        <f t="shared" si="46"/>
        <v/>
      </c>
      <c r="N556" s="49" t="str">
        <f t="shared" si="46"/>
        <v/>
      </c>
    </row>
    <row r="557" spans="1:14" hidden="1" x14ac:dyDescent="0.3">
      <c r="A557" s="207">
        <v>46164</v>
      </c>
      <c r="B557" s="61">
        <v>46164.333333333299</v>
      </c>
      <c r="C557" s="138">
        <f t="shared" si="42"/>
        <v>46164.333333333299</v>
      </c>
      <c r="D557" s="19" t="s">
        <v>29</v>
      </c>
      <c r="E557" s="7" t="s">
        <v>15</v>
      </c>
      <c r="F557" s="118">
        <v>0.52</v>
      </c>
      <c r="G557" s="115">
        <v>0.53</v>
      </c>
      <c r="H557" s="116">
        <v>0.54</v>
      </c>
      <c r="I557" s="46">
        <f t="shared" si="43"/>
        <v>1.0000000000000009E-2</v>
      </c>
      <c r="J557" s="46">
        <f t="shared" si="44"/>
        <v>2.0000000000000018E-2</v>
      </c>
      <c r="K557" s="46">
        <f t="shared" si="45"/>
        <v>1.0000000000000009E-2</v>
      </c>
      <c r="L557" s="49" t="str">
        <f t="shared" si="46"/>
        <v>Within Tolerance</v>
      </c>
      <c r="M557" s="49" t="str">
        <f t="shared" si="46"/>
        <v>Within Tolerance</v>
      </c>
      <c r="N557" s="49" t="str">
        <f t="shared" si="46"/>
        <v>Within Tolerance</v>
      </c>
    </row>
    <row r="558" spans="1:14" hidden="1" x14ac:dyDescent="0.3">
      <c r="A558" s="206">
        <v>46164</v>
      </c>
      <c r="B558" s="61">
        <v>46164.388888888898</v>
      </c>
      <c r="C558" s="138">
        <f t="shared" si="42"/>
        <v>46164.388888888898</v>
      </c>
      <c r="D558" s="19" t="s">
        <v>29</v>
      </c>
      <c r="E558" s="7" t="s">
        <v>15</v>
      </c>
      <c r="F558" s="118" t="s">
        <v>93</v>
      </c>
      <c r="G558" s="115">
        <v>0.56000000000000005</v>
      </c>
      <c r="H558" s="116">
        <v>0.54</v>
      </c>
      <c r="I558" s="46" t="str">
        <f t="shared" si="43"/>
        <v/>
      </c>
      <c r="J558" s="46" t="str">
        <f t="shared" si="44"/>
        <v/>
      </c>
      <c r="K558" s="46">
        <f t="shared" si="45"/>
        <v>-2.0000000000000018E-2</v>
      </c>
      <c r="L558" s="49" t="str">
        <f t="shared" si="46"/>
        <v/>
      </c>
      <c r="M558" s="49" t="str">
        <f t="shared" si="46"/>
        <v/>
      </c>
      <c r="N558" s="49" t="str">
        <f t="shared" si="46"/>
        <v>Within Tolerance</v>
      </c>
    </row>
    <row r="559" spans="1:14" x14ac:dyDescent="0.3">
      <c r="A559" s="207">
        <v>46164</v>
      </c>
      <c r="B559" s="61">
        <v>46164.447916666701</v>
      </c>
      <c r="C559" s="138">
        <f t="shared" si="42"/>
        <v>46164.447916666701</v>
      </c>
      <c r="D559" s="19" t="s">
        <v>29</v>
      </c>
      <c r="E559" s="7" t="s">
        <v>15</v>
      </c>
      <c r="F559" s="118" t="s">
        <v>93</v>
      </c>
      <c r="G559" s="115">
        <v>0.54</v>
      </c>
      <c r="H559" s="116"/>
      <c r="I559" s="46" t="str">
        <f t="shared" si="43"/>
        <v/>
      </c>
      <c r="J559" s="46" t="str">
        <f t="shared" si="44"/>
        <v/>
      </c>
      <c r="K559" s="46" t="str">
        <f t="shared" si="45"/>
        <v/>
      </c>
      <c r="L559" s="49" t="str">
        <f t="shared" si="46"/>
        <v/>
      </c>
      <c r="M559" s="49" t="str">
        <f t="shared" si="46"/>
        <v/>
      </c>
      <c r="N559" s="49" t="str">
        <f t="shared" si="46"/>
        <v/>
      </c>
    </row>
    <row r="560" spans="1:14" s="43" customFormat="1" hidden="1" x14ac:dyDescent="0.3">
      <c r="A560" s="206">
        <v>46164</v>
      </c>
      <c r="B560" s="61">
        <v>46164.5</v>
      </c>
      <c r="C560" s="138">
        <f t="shared" si="42"/>
        <v>46164.5</v>
      </c>
      <c r="D560" s="19" t="s">
        <v>29</v>
      </c>
      <c r="E560" s="7" t="s">
        <v>15</v>
      </c>
      <c r="F560" s="118">
        <v>0.52</v>
      </c>
      <c r="G560" s="115">
        <v>0.55000000000000004</v>
      </c>
      <c r="H560" s="116">
        <v>0.55000000000000004</v>
      </c>
      <c r="I560" s="46">
        <f t="shared" si="43"/>
        <v>3.0000000000000027E-2</v>
      </c>
      <c r="J560" s="46">
        <f t="shared" si="44"/>
        <v>3.0000000000000027E-2</v>
      </c>
      <c r="K560" s="46">
        <f t="shared" si="45"/>
        <v>0</v>
      </c>
      <c r="L560" s="49" t="str">
        <f t="shared" si="46"/>
        <v>Out of Tolerance</v>
      </c>
      <c r="M560" s="49" t="str">
        <f t="shared" si="46"/>
        <v>Out of Tolerance</v>
      </c>
      <c r="N560" s="49" t="str">
        <f t="shared" si="46"/>
        <v>Within Tolerance</v>
      </c>
    </row>
    <row r="561" spans="1:14" s="43" customFormat="1" hidden="1" x14ac:dyDescent="0.3">
      <c r="A561" s="207">
        <v>46164</v>
      </c>
      <c r="B561" s="61">
        <v>46164.583333333299</v>
      </c>
      <c r="C561" s="138">
        <f t="shared" si="42"/>
        <v>46164.583333333299</v>
      </c>
      <c r="D561" s="19" t="s">
        <v>29</v>
      </c>
      <c r="E561" s="7" t="s">
        <v>15</v>
      </c>
      <c r="F561" s="118" t="s">
        <v>93</v>
      </c>
      <c r="G561" s="115">
        <v>0.54</v>
      </c>
      <c r="H561" s="116">
        <v>0.54</v>
      </c>
      <c r="I561" s="46" t="str">
        <f t="shared" si="43"/>
        <v/>
      </c>
      <c r="J561" s="46" t="str">
        <f t="shared" si="44"/>
        <v/>
      </c>
      <c r="K561" s="46">
        <f t="shared" si="45"/>
        <v>0</v>
      </c>
      <c r="L561" s="49" t="str">
        <f t="shared" si="46"/>
        <v/>
      </c>
      <c r="M561" s="49" t="str">
        <f t="shared" si="46"/>
        <v/>
      </c>
      <c r="N561" s="49" t="str">
        <f t="shared" si="46"/>
        <v>Within Tolerance</v>
      </c>
    </row>
    <row r="562" spans="1:14" s="43" customFormat="1" hidden="1" x14ac:dyDescent="0.3">
      <c r="A562" s="206">
        <v>46164</v>
      </c>
      <c r="B562" s="61">
        <v>46164.666666666701</v>
      </c>
      <c r="C562" s="138">
        <f t="shared" si="42"/>
        <v>46164.666666666701</v>
      </c>
      <c r="D562" s="19" t="s">
        <v>29</v>
      </c>
      <c r="E562" s="7" t="s">
        <v>15</v>
      </c>
      <c r="F562" s="118">
        <v>0.53</v>
      </c>
      <c r="G562" s="115">
        <v>0.53</v>
      </c>
      <c r="H562" s="116">
        <v>0.52</v>
      </c>
      <c r="I562" s="46">
        <f t="shared" si="43"/>
        <v>0</v>
      </c>
      <c r="J562" s="46">
        <f t="shared" si="44"/>
        <v>-1.0000000000000009E-2</v>
      </c>
      <c r="K562" s="46">
        <f t="shared" si="45"/>
        <v>-1.0000000000000009E-2</v>
      </c>
      <c r="L562" s="49" t="str">
        <f t="shared" si="46"/>
        <v>Within Tolerance</v>
      </c>
      <c r="M562" s="49" t="str">
        <f t="shared" si="46"/>
        <v>Within Tolerance</v>
      </c>
      <c r="N562" s="49" t="str">
        <f t="shared" si="46"/>
        <v>Within Tolerance</v>
      </c>
    </row>
    <row r="563" spans="1:14" s="43" customFormat="1" hidden="1" x14ac:dyDescent="0.3">
      <c r="A563" s="207">
        <v>46164</v>
      </c>
      <c r="B563" s="61">
        <v>46164.75</v>
      </c>
      <c r="C563" s="138">
        <f t="shared" si="42"/>
        <v>46164.75</v>
      </c>
      <c r="D563" s="19" t="s">
        <v>29</v>
      </c>
      <c r="E563" s="7" t="s">
        <v>15</v>
      </c>
      <c r="F563" s="118" t="s">
        <v>93</v>
      </c>
      <c r="G563" s="115">
        <v>0.54</v>
      </c>
      <c r="H563" s="116">
        <v>0.53</v>
      </c>
      <c r="I563" s="46" t="str">
        <f t="shared" si="43"/>
        <v/>
      </c>
      <c r="J563" s="46" t="str">
        <f t="shared" si="44"/>
        <v/>
      </c>
      <c r="K563" s="46">
        <f t="shared" si="45"/>
        <v>-1.0000000000000009E-2</v>
      </c>
      <c r="L563" s="49" t="str">
        <f t="shared" si="46"/>
        <v/>
      </c>
      <c r="M563" s="49" t="str">
        <f t="shared" si="46"/>
        <v/>
      </c>
      <c r="N563" s="49" t="str">
        <f t="shared" si="46"/>
        <v>Within Tolerance</v>
      </c>
    </row>
    <row r="564" spans="1:14" s="43" customFormat="1" hidden="1" x14ac:dyDescent="0.3">
      <c r="A564" s="206">
        <v>46164</v>
      </c>
      <c r="B564" s="61">
        <v>46164.864583333299</v>
      </c>
      <c r="C564" s="138">
        <f t="shared" si="42"/>
        <v>46164.864583333299</v>
      </c>
      <c r="D564" s="19" t="s">
        <v>29</v>
      </c>
      <c r="E564" s="7" t="s">
        <v>15</v>
      </c>
      <c r="F564" s="118" t="s">
        <v>93</v>
      </c>
      <c r="G564" s="115">
        <v>0.54</v>
      </c>
      <c r="H564" s="116">
        <v>0.54</v>
      </c>
      <c r="I564" s="46" t="str">
        <f t="shared" si="43"/>
        <v/>
      </c>
      <c r="J564" s="46" t="str">
        <f t="shared" si="44"/>
        <v/>
      </c>
      <c r="K564" s="46">
        <f t="shared" si="45"/>
        <v>0</v>
      </c>
      <c r="L564" s="49" t="str">
        <f t="shared" si="46"/>
        <v/>
      </c>
      <c r="M564" s="49" t="str">
        <f t="shared" si="46"/>
        <v/>
      </c>
      <c r="N564" s="49" t="str">
        <f t="shared" si="46"/>
        <v>Within Tolerance</v>
      </c>
    </row>
    <row r="565" spans="1:14" s="43" customFormat="1" hidden="1" x14ac:dyDescent="0.3">
      <c r="A565" s="207">
        <v>46164</v>
      </c>
      <c r="B565" s="61">
        <v>46164.895833333299</v>
      </c>
      <c r="C565" s="138">
        <f t="shared" si="42"/>
        <v>46164.895833333299</v>
      </c>
      <c r="D565" s="19" t="s">
        <v>29</v>
      </c>
      <c r="E565" s="7" t="s">
        <v>15</v>
      </c>
      <c r="F565" s="118" t="s">
        <v>93</v>
      </c>
      <c r="G565" s="115">
        <v>0.55000000000000004</v>
      </c>
      <c r="H565" s="116">
        <v>0.54</v>
      </c>
      <c r="I565" s="46" t="str">
        <f t="shared" si="43"/>
        <v/>
      </c>
      <c r="J565" s="46" t="str">
        <f t="shared" si="44"/>
        <v/>
      </c>
      <c r="K565" s="46">
        <f t="shared" si="45"/>
        <v>-1.0000000000000009E-2</v>
      </c>
      <c r="L565" s="49" t="str">
        <f t="shared" si="46"/>
        <v/>
      </c>
      <c r="M565" s="49" t="str">
        <f t="shared" si="46"/>
        <v/>
      </c>
      <c r="N565" s="49" t="str">
        <f t="shared" si="46"/>
        <v>Within Tolerance</v>
      </c>
    </row>
    <row r="566" spans="1:14" s="43" customFormat="1" x14ac:dyDescent="0.3">
      <c r="A566" s="206">
        <v>46164</v>
      </c>
      <c r="B566" s="61">
        <v>46164.9375</v>
      </c>
      <c r="C566" s="138">
        <f t="shared" si="42"/>
        <v>46164.9375</v>
      </c>
      <c r="D566" s="19" t="s">
        <v>29</v>
      </c>
      <c r="E566" s="7" t="s">
        <v>15</v>
      </c>
      <c r="F566" s="118" t="s">
        <v>93</v>
      </c>
      <c r="G566" s="115">
        <v>0.53</v>
      </c>
      <c r="H566" s="116"/>
      <c r="I566" s="46" t="str">
        <f t="shared" si="43"/>
        <v/>
      </c>
      <c r="J566" s="46" t="str">
        <f t="shared" si="44"/>
        <v/>
      </c>
      <c r="K566" s="46" t="str">
        <f t="shared" si="45"/>
        <v/>
      </c>
      <c r="L566" s="49" t="str">
        <f t="shared" si="46"/>
        <v/>
      </c>
      <c r="M566" s="49" t="str">
        <f t="shared" si="46"/>
        <v/>
      </c>
      <c r="N566" s="49" t="str">
        <f t="shared" si="46"/>
        <v/>
      </c>
    </row>
    <row r="567" spans="1:14" s="43" customFormat="1" hidden="1" x14ac:dyDescent="0.3">
      <c r="A567" s="207">
        <v>46164</v>
      </c>
      <c r="B567" s="61">
        <v>46165</v>
      </c>
      <c r="C567" s="138">
        <f t="shared" si="42"/>
        <v>46164</v>
      </c>
      <c r="D567" s="19" t="s">
        <v>29</v>
      </c>
      <c r="E567" s="7" t="s">
        <v>15</v>
      </c>
      <c r="F567" s="118">
        <v>0.52</v>
      </c>
      <c r="G567" s="115">
        <v>0.53</v>
      </c>
      <c r="H567" s="116">
        <v>0.54</v>
      </c>
      <c r="I567" s="46">
        <f t="shared" si="43"/>
        <v>1.0000000000000009E-2</v>
      </c>
      <c r="J567" s="46">
        <f t="shared" si="44"/>
        <v>2.0000000000000018E-2</v>
      </c>
      <c r="K567" s="46">
        <f t="shared" si="45"/>
        <v>1.0000000000000009E-2</v>
      </c>
      <c r="L567" s="49" t="str">
        <f t="shared" si="46"/>
        <v>Within Tolerance</v>
      </c>
      <c r="M567" s="49" t="str">
        <f t="shared" si="46"/>
        <v>Within Tolerance</v>
      </c>
      <c r="N567" s="49" t="str">
        <f t="shared" si="46"/>
        <v>Within Tolerance</v>
      </c>
    </row>
    <row r="568" spans="1:14" s="43" customFormat="1" hidden="1" x14ac:dyDescent="0.3">
      <c r="A568" s="206">
        <v>46165</v>
      </c>
      <c r="B568" s="61">
        <v>46165.083333333299</v>
      </c>
      <c r="C568" s="138">
        <f t="shared" si="42"/>
        <v>46165.083333333299</v>
      </c>
      <c r="D568" s="19" t="s">
        <v>29</v>
      </c>
      <c r="E568" s="7" t="s">
        <v>15</v>
      </c>
      <c r="F568" s="118" t="s">
        <v>93</v>
      </c>
      <c r="G568" s="115">
        <v>0.52</v>
      </c>
      <c r="H568" s="116">
        <v>0.53</v>
      </c>
      <c r="I568" s="46" t="str">
        <f t="shared" si="43"/>
        <v/>
      </c>
      <c r="J568" s="46" t="str">
        <f t="shared" si="44"/>
        <v/>
      </c>
      <c r="K568" s="46">
        <f t="shared" si="45"/>
        <v>1.0000000000000009E-2</v>
      </c>
      <c r="L568" s="49" t="str">
        <f t="shared" si="46"/>
        <v/>
      </c>
      <c r="M568" s="49" t="str">
        <f t="shared" si="46"/>
        <v/>
      </c>
      <c r="N568" s="49" t="str">
        <f t="shared" si="46"/>
        <v>Within Tolerance</v>
      </c>
    </row>
    <row r="569" spans="1:14" s="43" customFormat="1" hidden="1" x14ac:dyDescent="0.3">
      <c r="A569" s="207">
        <v>46165</v>
      </c>
      <c r="B569" s="61">
        <v>46165.194444444402</v>
      </c>
      <c r="C569" s="138">
        <f t="shared" si="42"/>
        <v>46165.194444444402</v>
      </c>
      <c r="D569" s="19" t="s">
        <v>40</v>
      </c>
      <c r="E569" s="7" t="s">
        <v>15</v>
      </c>
      <c r="F569" s="118" t="s">
        <v>93</v>
      </c>
      <c r="G569" s="115">
        <v>0.52</v>
      </c>
      <c r="H569" s="116">
        <v>0.5</v>
      </c>
      <c r="I569" s="46" t="str">
        <f t="shared" si="43"/>
        <v/>
      </c>
      <c r="J569" s="46" t="str">
        <f t="shared" si="44"/>
        <v/>
      </c>
      <c r="K569" s="46">
        <f t="shared" si="45"/>
        <v>-2.0000000000000018E-2</v>
      </c>
      <c r="L569" s="49" t="str">
        <f t="shared" si="46"/>
        <v/>
      </c>
      <c r="M569" s="49" t="str">
        <f t="shared" si="46"/>
        <v/>
      </c>
      <c r="N569" s="49" t="str">
        <f t="shared" si="46"/>
        <v>Within Tolerance</v>
      </c>
    </row>
    <row r="570" spans="1:14" s="43" customFormat="1" x14ac:dyDescent="0.3">
      <c r="A570" s="206">
        <v>46165</v>
      </c>
      <c r="B570" s="61">
        <v>46165.21875</v>
      </c>
      <c r="C570" s="138">
        <f t="shared" si="42"/>
        <v>46165.21875</v>
      </c>
      <c r="D570" s="19" t="s">
        <v>40</v>
      </c>
      <c r="E570" s="7" t="s">
        <v>15</v>
      </c>
      <c r="F570" s="118" t="s">
        <v>93</v>
      </c>
      <c r="G570" s="115">
        <v>0.54</v>
      </c>
      <c r="H570" s="116"/>
      <c r="I570" s="46" t="str">
        <f t="shared" si="43"/>
        <v/>
      </c>
      <c r="J570" s="46" t="str">
        <f t="shared" si="44"/>
        <v/>
      </c>
      <c r="K570" s="46" t="str">
        <f t="shared" si="45"/>
        <v/>
      </c>
      <c r="L570" s="49" t="str">
        <f t="shared" si="46"/>
        <v/>
      </c>
      <c r="M570" s="49" t="str">
        <f t="shared" si="46"/>
        <v/>
      </c>
      <c r="N570" s="49" t="str">
        <f t="shared" si="46"/>
        <v/>
      </c>
    </row>
    <row r="571" spans="1:14" s="43" customFormat="1" hidden="1" x14ac:dyDescent="0.3">
      <c r="A571" s="204">
        <v>46164</v>
      </c>
      <c r="B571" s="78">
        <v>46164.465277777803</v>
      </c>
      <c r="C571" s="158">
        <f t="shared" si="42"/>
        <v>46164.465277777803</v>
      </c>
      <c r="D571" s="19" t="s">
        <v>20</v>
      </c>
      <c r="E571" s="15" t="s">
        <v>19</v>
      </c>
      <c r="F571" s="121">
        <v>0.57999999999999996</v>
      </c>
      <c r="G571" s="115">
        <v>0.56999999999999995</v>
      </c>
      <c r="H571" s="116">
        <v>0.57999999999999996</v>
      </c>
      <c r="I571" s="46">
        <f t="shared" si="43"/>
        <v>-1.0000000000000009E-2</v>
      </c>
      <c r="J571" s="46">
        <f t="shared" si="44"/>
        <v>0</v>
      </c>
      <c r="K571" s="46">
        <f t="shared" si="45"/>
        <v>1.0000000000000009E-2</v>
      </c>
      <c r="L571" s="49" t="str">
        <f t="shared" si="46"/>
        <v>Within Tolerance</v>
      </c>
      <c r="M571" s="49" t="str">
        <f t="shared" si="46"/>
        <v>Within Tolerance</v>
      </c>
      <c r="N571" s="49" t="str">
        <f t="shared" si="46"/>
        <v>Within Tolerance</v>
      </c>
    </row>
    <row r="572" spans="1:14" s="43" customFormat="1" hidden="1" x14ac:dyDescent="0.3">
      <c r="A572" s="208">
        <v>46164</v>
      </c>
      <c r="B572" s="79">
        <v>46164.5625</v>
      </c>
      <c r="C572" s="157">
        <f t="shared" si="42"/>
        <v>46164.5625</v>
      </c>
      <c r="D572" s="7" t="s">
        <v>31</v>
      </c>
      <c r="E572" s="15" t="s">
        <v>19</v>
      </c>
      <c r="F572" s="121">
        <v>0.57999999999999996</v>
      </c>
      <c r="G572" s="115">
        <v>0.6</v>
      </c>
      <c r="H572" s="116">
        <v>0.61</v>
      </c>
      <c r="I572" s="46">
        <f t="shared" si="43"/>
        <v>2.0000000000000018E-2</v>
      </c>
      <c r="J572" s="46">
        <f t="shared" si="44"/>
        <v>3.0000000000000027E-2</v>
      </c>
      <c r="K572" s="46">
        <f t="shared" si="45"/>
        <v>1.0000000000000009E-2</v>
      </c>
      <c r="L572" s="49" t="str">
        <f t="shared" si="46"/>
        <v>Within Tolerance</v>
      </c>
      <c r="M572" s="49" t="str">
        <f t="shared" si="46"/>
        <v>Out of Tolerance</v>
      </c>
      <c r="N572" s="49" t="str">
        <f t="shared" si="46"/>
        <v>Within Tolerance</v>
      </c>
    </row>
    <row r="573" spans="1:14" s="43" customFormat="1" hidden="1" x14ac:dyDescent="0.3">
      <c r="A573" s="209">
        <v>46164</v>
      </c>
      <c r="B573" s="79">
        <v>46164.595833333296</v>
      </c>
      <c r="C573" s="157">
        <f t="shared" si="42"/>
        <v>46164.595833333296</v>
      </c>
      <c r="D573" s="19" t="s">
        <v>21</v>
      </c>
      <c r="E573" s="15" t="s">
        <v>19</v>
      </c>
      <c r="F573" s="118">
        <v>0.56000000000000005</v>
      </c>
      <c r="G573" s="115">
        <v>0.56000000000000005</v>
      </c>
      <c r="H573" s="116">
        <v>0.56999999999999995</v>
      </c>
      <c r="I573" s="46">
        <f t="shared" si="43"/>
        <v>0</v>
      </c>
      <c r="J573" s="46">
        <f t="shared" si="44"/>
        <v>9.9999999999998979E-3</v>
      </c>
      <c r="K573" s="46">
        <f t="shared" si="45"/>
        <v>9.9999999999998979E-3</v>
      </c>
      <c r="L573" s="49" t="str">
        <f t="shared" si="46"/>
        <v>Within Tolerance</v>
      </c>
      <c r="M573" s="49" t="str">
        <f t="shared" si="46"/>
        <v>Within Tolerance</v>
      </c>
      <c r="N573" s="49" t="str">
        <f t="shared" si="46"/>
        <v>Within Tolerance</v>
      </c>
    </row>
    <row r="574" spans="1:14" s="43" customFormat="1" hidden="1" x14ac:dyDescent="0.3">
      <c r="A574" s="208">
        <v>46164</v>
      </c>
      <c r="B574" s="79">
        <v>46164.677083333299</v>
      </c>
      <c r="C574" s="157">
        <f t="shared" si="42"/>
        <v>46164.677083333299</v>
      </c>
      <c r="D574" s="19" t="s">
        <v>18</v>
      </c>
      <c r="E574" s="15" t="s">
        <v>19</v>
      </c>
      <c r="F574" s="121">
        <v>0.55000000000000004</v>
      </c>
      <c r="G574" s="115">
        <v>0.56000000000000005</v>
      </c>
      <c r="H574" s="116">
        <v>0.55000000000000004</v>
      </c>
      <c r="I574" s="46">
        <f t="shared" si="43"/>
        <v>1.0000000000000009E-2</v>
      </c>
      <c r="J574" s="46">
        <f t="shared" si="44"/>
        <v>0</v>
      </c>
      <c r="K574" s="46">
        <f t="shared" si="45"/>
        <v>-1.0000000000000009E-2</v>
      </c>
      <c r="L574" s="49" t="str">
        <f t="shared" si="46"/>
        <v>Within Tolerance</v>
      </c>
      <c r="M574" s="49" t="str">
        <f t="shared" si="46"/>
        <v>Within Tolerance</v>
      </c>
      <c r="N574" s="49" t="str">
        <f t="shared" si="46"/>
        <v>Within Tolerance</v>
      </c>
    </row>
    <row r="575" spans="1:14" s="43" customFormat="1" hidden="1" x14ac:dyDescent="0.3">
      <c r="A575" s="209">
        <v>46164</v>
      </c>
      <c r="B575" s="79">
        <v>46164.972222222197</v>
      </c>
      <c r="C575" s="157">
        <f t="shared" si="42"/>
        <v>46164.972222222197</v>
      </c>
      <c r="D575" s="7" t="s">
        <v>22</v>
      </c>
      <c r="E575" s="15" t="s">
        <v>19</v>
      </c>
      <c r="F575" s="121">
        <v>0.54</v>
      </c>
      <c r="G575" s="115">
        <v>0.56999999999999995</v>
      </c>
      <c r="H575" s="116">
        <v>0.55000000000000004</v>
      </c>
      <c r="I575" s="46">
        <f t="shared" si="43"/>
        <v>2.9999999999999916E-2</v>
      </c>
      <c r="J575" s="46">
        <f t="shared" si="44"/>
        <v>1.0000000000000009E-2</v>
      </c>
      <c r="K575" s="46">
        <f t="shared" si="45"/>
        <v>-1.9999999999999907E-2</v>
      </c>
      <c r="L575" s="49" t="str">
        <f t="shared" si="46"/>
        <v>Out of Tolerance</v>
      </c>
      <c r="M575" s="49" t="str">
        <f t="shared" si="46"/>
        <v>Within Tolerance</v>
      </c>
      <c r="N575" s="49" t="str">
        <f t="shared" si="46"/>
        <v>Within Tolerance</v>
      </c>
    </row>
    <row r="576" spans="1:14" hidden="1" x14ac:dyDescent="0.3">
      <c r="A576" s="205">
        <v>46164</v>
      </c>
      <c r="B576" s="70">
        <v>46165.076388888898</v>
      </c>
      <c r="C576" s="159">
        <f t="shared" si="42"/>
        <v>46164.076388888898</v>
      </c>
      <c r="D576" s="19" t="s">
        <v>30</v>
      </c>
      <c r="E576" s="15" t="s">
        <v>19</v>
      </c>
      <c r="F576" s="121">
        <v>0.56000000000000005</v>
      </c>
      <c r="G576" s="115">
        <v>0.59</v>
      </c>
      <c r="H576" s="116">
        <v>0.59</v>
      </c>
      <c r="I576" s="46">
        <f t="shared" si="43"/>
        <v>2.9999999999999916E-2</v>
      </c>
      <c r="J576" s="46">
        <f t="shared" si="44"/>
        <v>2.9999999999999916E-2</v>
      </c>
      <c r="K576" s="46">
        <f t="shared" si="45"/>
        <v>0</v>
      </c>
      <c r="L576" s="49" t="str">
        <f t="shared" si="46"/>
        <v>Out of Tolerance</v>
      </c>
      <c r="M576" s="49" t="str">
        <f t="shared" si="46"/>
        <v>Out of Tolerance</v>
      </c>
      <c r="N576" s="49" t="str">
        <f t="shared" si="46"/>
        <v>Within Tolerance</v>
      </c>
    </row>
    <row r="577" spans="1:14" hidden="1" x14ac:dyDescent="0.3">
      <c r="A577" s="204">
        <v>46164</v>
      </c>
      <c r="B577" s="78">
        <v>46164.458333333299</v>
      </c>
      <c r="C577" s="158">
        <f t="shared" si="42"/>
        <v>46164.458333333299</v>
      </c>
      <c r="D577" s="7" t="s">
        <v>26</v>
      </c>
      <c r="E577" s="7" t="s">
        <v>24</v>
      </c>
      <c r="F577" s="118">
        <v>0.64</v>
      </c>
      <c r="G577" s="115">
        <v>0.64</v>
      </c>
      <c r="H577" s="116">
        <v>0.64</v>
      </c>
      <c r="I577" s="46">
        <f t="shared" si="43"/>
        <v>0</v>
      </c>
      <c r="J577" s="46">
        <f t="shared" si="44"/>
        <v>0</v>
      </c>
      <c r="K577" s="46">
        <f t="shared" si="45"/>
        <v>0</v>
      </c>
      <c r="L577" s="49" t="str">
        <f t="shared" si="46"/>
        <v>Within Tolerance</v>
      </c>
      <c r="M577" s="49" t="str">
        <f t="shared" si="46"/>
        <v>Within Tolerance</v>
      </c>
      <c r="N577" s="49" t="str">
        <f t="shared" si="46"/>
        <v>Within Tolerance</v>
      </c>
    </row>
    <row r="578" spans="1:14" hidden="1" x14ac:dyDescent="0.3">
      <c r="A578" s="205">
        <v>46164</v>
      </c>
      <c r="B578" s="70">
        <v>46164.489583333299</v>
      </c>
      <c r="C578" s="159">
        <f t="shared" ref="C578:C625" si="47">A578+MOD(B578,1)</f>
        <v>46164.489583333299</v>
      </c>
      <c r="D578" s="7" t="s">
        <v>25</v>
      </c>
      <c r="E578" s="7" t="s">
        <v>24</v>
      </c>
      <c r="F578" s="118">
        <v>0.57999999999999996</v>
      </c>
      <c r="G578" s="115">
        <v>0.59</v>
      </c>
      <c r="H578" s="116">
        <v>0.57999999999999996</v>
      </c>
      <c r="I578" s="46">
        <f t="shared" si="43"/>
        <v>1.0000000000000009E-2</v>
      </c>
      <c r="J578" s="46">
        <f t="shared" si="44"/>
        <v>0</v>
      </c>
      <c r="K578" s="46">
        <f t="shared" si="45"/>
        <v>-1.0000000000000009E-2</v>
      </c>
      <c r="L578" s="49" t="str">
        <f t="shared" si="46"/>
        <v>Within Tolerance</v>
      </c>
      <c r="M578" s="49" t="str">
        <f t="shared" si="46"/>
        <v>Within Tolerance</v>
      </c>
      <c r="N578" s="49" t="str">
        <f t="shared" si="46"/>
        <v>Within Tolerance</v>
      </c>
    </row>
    <row r="579" spans="1:14" hidden="1" x14ac:dyDescent="0.3">
      <c r="A579" s="207">
        <v>46165</v>
      </c>
      <c r="B579" s="61">
        <v>46165.333333333299</v>
      </c>
      <c r="C579" s="138">
        <f t="shared" si="47"/>
        <v>46165.333333333299</v>
      </c>
      <c r="D579" s="19" t="s">
        <v>35</v>
      </c>
      <c r="E579" s="7" t="s">
        <v>11</v>
      </c>
      <c r="F579" s="118">
        <v>0.55000000000000004</v>
      </c>
      <c r="G579" s="115">
        <v>0.55000000000000004</v>
      </c>
      <c r="H579" s="116">
        <v>0.55000000000000004</v>
      </c>
      <c r="I579" s="46">
        <f t="shared" ref="I579:I625" si="48">IF(OR(TRIM(F579&amp;"")="",TRIM(G579&amp;"")="",F579="-",G579="-"),"",G579-F579)</f>
        <v>0</v>
      </c>
      <c r="J579" s="46">
        <f t="shared" ref="J579:J625" si="49">IF(OR(TRIM(F579&amp;"")="",TRIM(H579&amp;"")="",F579="-",H579="-"),"",H579-F579)</f>
        <v>0</v>
      </c>
      <c r="K579" s="46">
        <f t="shared" ref="K579:K625" si="50">IF(OR(TRIM(G579&amp;"")="",TRIM(H579&amp;"")="",G579="-",H579="-"),"",H579-G579)</f>
        <v>0</v>
      </c>
      <c r="L579" s="49" t="str">
        <f t="shared" ref="L579:N625" si="51">IF(ISNUMBER(I579),IF(ABS(I579)&lt;=0.02,"Within Tolerance","Out of Tolerance"),"")</f>
        <v>Within Tolerance</v>
      </c>
      <c r="M579" s="49" t="str">
        <f t="shared" si="51"/>
        <v>Within Tolerance</v>
      </c>
      <c r="N579" s="49" t="str">
        <f t="shared" si="51"/>
        <v>Within Tolerance</v>
      </c>
    </row>
    <row r="580" spans="1:14" hidden="1" x14ac:dyDescent="0.3">
      <c r="A580" s="206">
        <v>46165</v>
      </c>
      <c r="B580" s="61">
        <v>46165.378472222197</v>
      </c>
      <c r="C580" s="138">
        <f t="shared" si="47"/>
        <v>46165.378472222197</v>
      </c>
      <c r="D580" s="19" t="s">
        <v>42</v>
      </c>
      <c r="E580" s="7" t="s">
        <v>11</v>
      </c>
      <c r="F580" s="118" t="s">
        <v>93</v>
      </c>
      <c r="G580" s="115">
        <v>0.42</v>
      </c>
      <c r="H580" s="116">
        <v>0.43</v>
      </c>
      <c r="I580" s="46" t="str">
        <f t="shared" si="48"/>
        <v/>
      </c>
      <c r="J580" s="46" t="str">
        <f t="shared" si="49"/>
        <v/>
      </c>
      <c r="K580" s="46">
        <f t="shared" si="50"/>
        <v>1.0000000000000009E-2</v>
      </c>
      <c r="L580" s="49" t="str">
        <f t="shared" si="51"/>
        <v/>
      </c>
      <c r="M580" s="49" t="str">
        <f t="shared" si="51"/>
        <v/>
      </c>
      <c r="N580" s="49" t="str">
        <f t="shared" si="51"/>
        <v>Within Tolerance</v>
      </c>
    </row>
    <row r="581" spans="1:14" hidden="1" x14ac:dyDescent="0.3">
      <c r="A581" s="207">
        <v>46165</v>
      </c>
      <c r="B581" s="61">
        <v>46165.458333333299</v>
      </c>
      <c r="C581" s="138">
        <f t="shared" si="47"/>
        <v>46165.458333333299</v>
      </c>
      <c r="D581" s="19" t="s">
        <v>42</v>
      </c>
      <c r="E581" s="7" t="s">
        <v>11</v>
      </c>
      <c r="F581" s="118" t="s">
        <v>93</v>
      </c>
      <c r="G581" s="115">
        <v>0.42</v>
      </c>
      <c r="H581" s="116">
        <v>0.44</v>
      </c>
      <c r="I581" s="46" t="str">
        <f t="shared" si="48"/>
        <v/>
      </c>
      <c r="J581" s="46" t="str">
        <f t="shared" si="49"/>
        <v/>
      </c>
      <c r="K581" s="46">
        <f t="shared" si="50"/>
        <v>2.0000000000000018E-2</v>
      </c>
      <c r="L581" s="49" t="str">
        <f t="shared" si="51"/>
        <v/>
      </c>
      <c r="M581" s="49" t="str">
        <f t="shared" si="51"/>
        <v/>
      </c>
      <c r="N581" s="49" t="str">
        <f t="shared" si="51"/>
        <v>Within Tolerance</v>
      </c>
    </row>
    <row r="582" spans="1:14" hidden="1" x14ac:dyDescent="0.3">
      <c r="A582" s="206">
        <v>46165</v>
      </c>
      <c r="B582" s="61">
        <v>46165.541666666701</v>
      </c>
      <c r="C582" s="138">
        <f t="shared" si="47"/>
        <v>46165.541666666701</v>
      </c>
      <c r="D582" s="19" t="s">
        <v>42</v>
      </c>
      <c r="E582" s="7" t="s">
        <v>11</v>
      </c>
      <c r="F582" s="118" t="s">
        <v>93</v>
      </c>
      <c r="G582" s="115">
        <v>0.41</v>
      </c>
      <c r="H582" s="116">
        <v>0.43</v>
      </c>
      <c r="I582" s="46" t="str">
        <f t="shared" si="48"/>
        <v/>
      </c>
      <c r="J582" s="46" t="str">
        <f t="shared" si="49"/>
        <v/>
      </c>
      <c r="K582" s="46">
        <f t="shared" si="50"/>
        <v>2.0000000000000018E-2</v>
      </c>
      <c r="L582" s="49" t="str">
        <f t="shared" si="51"/>
        <v/>
      </c>
      <c r="M582" s="49" t="str">
        <f t="shared" si="51"/>
        <v/>
      </c>
      <c r="N582" s="49" t="str">
        <f t="shared" si="51"/>
        <v>Within Tolerance</v>
      </c>
    </row>
    <row r="583" spans="1:14" x14ac:dyDescent="0.3">
      <c r="A583" s="207">
        <v>46165</v>
      </c>
      <c r="B583" s="61">
        <v>46165.635416666701</v>
      </c>
      <c r="C583" s="138">
        <f t="shared" si="47"/>
        <v>46165.635416666701</v>
      </c>
      <c r="D583" s="19" t="s">
        <v>13</v>
      </c>
      <c r="E583" s="7" t="s">
        <v>11</v>
      </c>
      <c r="F583" s="118" t="s">
        <v>93</v>
      </c>
      <c r="G583" s="115">
        <v>0.52</v>
      </c>
      <c r="H583" s="116"/>
      <c r="I583" s="46" t="str">
        <f t="shared" si="48"/>
        <v/>
      </c>
      <c r="J583" s="46" t="str">
        <f t="shared" si="49"/>
        <v/>
      </c>
      <c r="K583" s="46" t="str">
        <f t="shared" si="50"/>
        <v/>
      </c>
      <c r="L583" s="49" t="str">
        <f t="shared" si="51"/>
        <v/>
      </c>
      <c r="M583" s="49" t="str">
        <f t="shared" si="51"/>
        <v/>
      </c>
      <c r="N583" s="49" t="str">
        <f t="shared" si="51"/>
        <v/>
      </c>
    </row>
    <row r="584" spans="1:14" hidden="1" x14ac:dyDescent="0.3">
      <c r="A584" s="206">
        <v>46165</v>
      </c>
      <c r="B584" s="61">
        <v>46165.677083333299</v>
      </c>
      <c r="C584" s="138">
        <f t="shared" si="47"/>
        <v>46165.677083333299</v>
      </c>
      <c r="D584" s="19" t="s">
        <v>13</v>
      </c>
      <c r="E584" s="7" t="s">
        <v>11</v>
      </c>
      <c r="F584" s="118">
        <v>0.52</v>
      </c>
      <c r="G584" s="115">
        <v>0.54</v>
      </c>
      <c r="H584" s="116">
        <v>0.56000000000000005</v>
      </c>
      <c r="I584" s="46">
        <f t="shared" si="48"/>
        <v>2.0000000000000018E-2</v>
      </c>
      <c r="J584" s="46">
        <f t="shared" si="49"/>
        <v>4.0000000000000036E-2</v>
      </c>
      <c r="K584" s="46">
        <f t="shared" si="50"/>
        <v>2.0000000000000018E-2</v>
      </c>
      <c r="L584" s="49" t="str">
        <f t="shared" si="51"/>
        <v>Within Tolerance</v>
      </c>
      <c r="M584" s="49" t="str">
        <f t="shared" si="51"/>
        <v>Out of Tolerance</v>
      </c>
      <c r="N584" s="49" t="str">
        <f t="shared" si="51"/>
        <v>Within Tolerance</v>
      </c>
    </row>
    <row r="585" spans="1:14" hidden="1" x14ac:dyDescent="0.3">
      <c r="A585" s="207">
        <v>46165</v>
      </c>
      <c r="B585" s="61">
        <v>46165.75</v>
      </c>
      <c r="C585" s="138">
        <f t="shared" si="47"/>
        <v>46165.75</v>
      </c>
      <c r="D585" s="19" t="s">
        <v>13</v>
      </c>
      <c r="E585" s="7" t="s">
        <v>11</v>
      </c>
      <c r="F585" s="118" t="s">
        <v>93</v>
      </c>
      <c r="G585" s="115">
        <v>0.56000000000000005</v>
      </c>
      <c r="H585" s="116">
        <v>0.57999999999999996</v>
      </c>
      <c r="I585" s="46" t="str">
        <f t="shared" si="48"/>
        <v/>
      </c>
      <c r="J585" s="46" t="str">
        <f t="shared" si="49"/>
        <v/>
      </c>
      <c r="K585" s="46">
        <f t="shared" si="50"/>
        <v>1.9999999999999907E-2</v>
      </c>
      <c r="L585" s="49" t="str">
        <f t="shared" si="51"/>
        <v/>
      </c>
      <c r="M585" s="49" t="str">
        <f t="shared" si="51"/>
        <v/>
      </c>
      <c r="N585" s="49" t="str">
        <f t="shared" si="51"/>
        <v>Within Tolerance</v>
      </c>
    </row>
    <row r="586" spans="1:14" hidden="1" x14ac:dyDescent="0.3">
      <c r="A586" s="206">
        <v>46165</v>
      </c>
      <c r="B586" s="61">
        <v>46165.833333333299</v>
      </c>
      <c r="C586" s="138">
        <f t="shared" si="47"/>
        <v>46165.833333333299</v>
      </c>
      <c r="D586" s="19" t="s">
        <v>13</v>
      </c>
      <c r="E586" s="7" t="s">
        <v>11</v>
      </c>
      <c r="F586" s="118" t="s">
        <v>93</v>
      </c>
      <c r="G586" s="115">
        <v>0.54</v>
      </c>
      <c r="H586" s="116">
        <v>0.56000000000000005</v>
      </c>
      <c r="I586" s="46" t="str">
        <f t="shared" si="48"/>
        <v/>
      </c>
      <c r="J586" s="46" t="str">
        <f t="shared" si="49"/>
        <v/>
      </c>
      <c r="K586" s="46">
        <f t="shared" si="50"/>
        <v>2.0000000000000018E-2</v>
      </c>
      <c r="L586" s="49" t="str">
        <f t="shared" si="51"/>
        <v/>
      </c>
      <c r="M586" s="49" t="str">
        <f t="shared" si="51"/>
        <v/>
      </c>
      <c r="N586" s="49" t="str">
        <f t="shared" si="51"/>
        <v>Within Tolerance</v>
      </c>
    </row>
    <row r="587" spans="1:14" hidden="1" x14ac:dyDescent="0.3">
      <c r="A587" s="207">
        <v>46165</v>
      </c>
      <c r="B587" s="61">
        <v>46165.916666666701</v>
      </c>
      <c r="C587" s="138">
        <f t="shared" si="47"/>
        <v>46165.916666666701</v>
      </c>
      <c r="D587" s="19" t="s">
        <v>13</v>
      </c>
      <c r="E587" s="7" t="s">
        <v>11</v>
      </c>
      <c r="F587" s="118" t="s">
        <v>93</v>
      </c>
      <c r="G587" s="115">
        <v>0.54</v>
      </c>
      <c r="H587" s="116">
        <v>0.56999999999999995</v>
      </c>
      <c r="I587" s="46" t="str">
        <f t="shared" si="48"/>
        <v/>
      </c>
      <c r="J587" s="46" t="str">
        <f t="shared" si="49"/>
        <v/>
      </c>
      <c r="K587" s="46">
        <f t="shared" si="50"/>
        <v>2.9999999999999916E-2</v>
      </c>
      <c r="L587" s="49" t="str">
        <f t="shared" si="51"/>
        <v/>
      </c>
      <c r="M587" s="49" t="str">
        <f t="shared" si="51"/>
        <v/>
      </c>
      <c r="N587" s="49" t="str">
        <f t="shared" si="51"/>
        <v>Out of Tolerance</v>
      </c>
    </row>
    <row r="588" spans="1:14" hidden="1" x14ac:dyDescent="0.3">
      <c r="A588" s="206">
        <v>46165</v>
      </c>
      <c r="B588" s="61">
        <v>46166</v>
      </c>
      <c r="C588" s="138">
        <f t="shared" si="47"/>
        <v>46165</v>
      </c>
      <c r="D588" s="19" t="s">
        <v>13</v>
      </c>
      <c r="E588" s="7" t="s">
        <v>11</v>
      </c>
      <c r="F588" s="118">
        <v>0.52</v>
      </c>
      <c r="G588" s="115">
        <v>0.55000000000000004</v>
      </c>
      <c r="H588" s="116">
        <v>0.56000000000000005</v>
      </c>
      <c r="I588" s="46">
        <f t="shared" si="48"/>
        <v>3.0000000000000027E-2</v>
      </c>
      <c r="J588" s="46">
        <f t="shared" si="49"/>
        <v>4.0000000000000036E-2</v>
      </c>
      <c r="K588" s="46">
        <f t="shared" si="50"/>
        <v>1.0000000000000009E-2</v>
      </c>
      <c r="L588" s="49" t="str">
        <f t="shared" si="51"/>
        <v>Out of Tolerance</v>
      </c>
      <c r="M588" s="49" t="str">
        <f t="shared" si="51"/>
        <v>Out of Tolerance</v>
      </c>
      <c r="N588" s="49" t="str">
        <f t="shared" si="51"/>
        <v>Within Tolerance</v>
      </c>
    </row>
    <row r="589" spans="1:14" hidden="1" x14ac:dyDescent="0.3">
      <c r="A589" s="207">
        <v>46166</v>
      </c>
      <c r="B589" s="61">
        <v>46166.104166666701</v>
      </c>
      <c r="C589" s="138">
        <f t="shared" si="47"/>
        <v>46166.104166666701</v>
      </c>
      <c r="D589" s="19" t="s">
        <v>41</v>
      </c>
      <c r="E589" s="7" t="s">
        <v>11</v>
      </c>
      <c r="F589" s="118" t="s">
        <v>93</v>
      </c>
      <c r="G589" s="115">
        <v>0.53</v>
      </c>
      <c r="H589" s="116">
        <v>0.53</v>
      </c>
      <c r="I589" s="46" t="str">
        <f t="shared" si="48"/>
        <v/>
      </c>
      <c r="J589" s="46" t="str">
        <f t="shared" si="49"/>
        <v/>
      </c>
      <c r="K589" s="46">
        <f t="shared" si="50"/>
        <v>0</v>
      </c>
      <c r="L589" s="49" t="str">
        <f t="shared" si="51"/>
        <v/>
      </c>
      <c r="M589" s="49" t="str">
        <f t="shared" si="51"/>
        <v/>
      </c>
      <c r="N589" s="49" t="str">
        <f t="shared" si="51"/>
        <v>Within Tolerance</v>
      </c>
    </row>
    <row r="590" spans="1:14" hidden="1" x14ac:dyDescent="0.3">
      <c r="A590" s="206">
        <v>46166</v>
      </c>
      <c r="B590" s="61">
        <v>46166.166666666701</v>
      </c>
      <c r="C590" s="138">
        <f t="shared" si="47"/>
        <v>46166.166666666701</v>
      </c>
      <c r="D590" s="19" t="s">
        <v>41</v>
      </c>
      <c r="E590" s="7" t="s">
        <v>11</v>
      </c>
      <c r="F590" s="118" t="s">
        <v>93</v>
      </c>
      <c r="G590" s="115">
        <v>0.54</v>
      </c>
      <c r="H590" s="116">
        <v>0.54</v>
      </c>
      <c r="I590" s="46" t="str">
        <f t="shared" si="48"/>
        <v/>
      </c>
      <c r="J590" s="46" t="str">
        <f t="shared" si="49"/>
        <v/>
      </c>
      <c r="K590" s="46">
        <f t="shared" si="50"/>
        <v>0</v>
      </c>
      <c r="L590" s="49" t="str">
        <f t="shared" si="51"/>
        <v/>
      </c>
      <c r="M590" s="49" t="str">
        <f t="shared" si="51"/>
        <v/>
      </c>
      <c r="N590" s="49" t="str">
        <f t="shared" si="51"/>
        <v>Within Tolerance</v>
      </c>
    </row>
    <row r="591" spans="1:14" hidden="1" x14ac:dyDescent="0.3">
      <c r="A591" s="207">
        <v>46166</v>
      </c>
      <c r="B591" s="61">
        <v>46166.25</v>
      </c>
      <c r="C591" s="138">
        <f t="shared" si="47"/>
        <v>46166.25</v>
      </c>
      <c r="D591" s="19" t="s">
        <v>41</v>
      </c>
      <c r="E591" s="7" t="s">
        <v>11</v>
      </c>
      <c r="F591" s="118" t="s">
        <v>93</v>
      </c>
      <c r="G591" s="115">
        <v>0.52</v>
      </c>
      <c r="H591" s="116">
        <v>0.53</v>
      </c>
      <c r="I591" s="46" t="str">
        <f t="shared" si="48"/>
        <v/>
      </c>
      <c r="J591" s="46" t="str">
        <f t="shared" si="49"/>
        <v/>
      </c>
      <c r="K591" s="46">
        <f t="shared" si="50"/>
        <v>1.0000000000000009E-2</v>
      </c>
      <c r="L591" s="49" t="str">
        <f t="shared" si="51"/>
        <v/>
      </c>
      <c r="M591" s="49" t="str">
        <f t="shared" si="51"/>
        <v/>
      </c>
      <c r="N591" s="49" t="str">
        <f t="shared" si="51"/>
        <v>Within Tolerance</v>
      </c>
    </row>
    <row r="592" spans="1:14" hidden="1" x14ac:dyDescent="0.3">
      <c r="A592" s="206">
        <v>46165</v>
      </c>
      <c r="B592" s="61">
        <v>46165.329861111102</v>
      </c>
      <c r="C592" s="138">
        <f t="shared" si="47"/>
        <v>46165.329861111102</v>
      </c>
      <c r="D592" s="19" t="s">
        <v>52</v>
      </c>
      <c r="E592" s="7" t="s">
        <v>15</v>
      </c>
      <c r="F592" s="118" t="s">
        <v>93</v>
      </c>
      <c r="G592" s="115">
        <v>0.52</v>
      </c>
      <c r="H592" s="116">
        <v>0.55000000000000004</v>
      </c>
      <c r="I592" s="46" t="str">
        <f t="shared" si="48"/>
        <v/>
      </c>
      <c r="J592" s="46" t="str">
        <f t="shared" si="49"/>
        <v/>
      </c>
      <c r="K592" s="46">
        <f t="shared" si="50"/>
        <v>3.0000000000000027E-2</v>
      </c>
      <c r="L592" s="49" t="str">
        <f t="shared" si="51"/>
        <v/>
      </c>
      <c r="M592" s="49" t="str">
        <f t="shared" si="51"/>
        <v/>
      </c>
      <c r="N592" s="49" t="str">
        <f t="shared" si="51"/>
        <v>Out of Tolerance</v>
      </c>
    </row>
    <row r="593" spans="1:14" hidden="1" x14ac:dyDescent="0.3">
      <c r="A593" s="207">
        <v>46165</v>
      </c>
      <c r="B593" s="61">
        <v>46165.395833333299</v>
      </c>
      <c r="C593" s="138">
        <f t="shared" si="47"/>
        <v>46165.395833333299</v>
      </c>
      <c r="D593" s="19" t="s">
        <v>52</v>
      </c>
      <c r="E593" s="7" t="s">
        <v>15</v>
      </c>
      <c r="F593" s="118">
        <v>0.54</v>
      </c>
      <c r="G593" s="115">
        <v>0.54</v>
      </c>
      <c r="H593" s="116">
        <v>0.55000000000000004</v>
      </c>
      <c r="I593" s="46">
        <f t="shared" si="48"/>
        <v>0</v>
      </c>
      <c r="J593" s="46">
        <f t="shared" si="49"/>
        <v>1.0000000000000009E-2</v>
      </c>
      <c r="K593" s="46">
        <f t="shared" si="50"/>
        <v>1.0000000000000009E-2</v>
      </c>
      <c r="L593" s="49" t="str">
        <f t="shared" si="51"/>
        <v>Within Tolerance</v>
      </c>
      <c r="M593" s="49" t="str">
        <f t="shared" si="51"/>
        <v>Within Tolerance</v>
      </c>
      <c r="N593" s="49" t="str">
        <f t="shared" si="51"/>
        <v>Within Tolerance</v>
      </c>
    </row>
    <row r="594" spans="1:14" hidden="1" x14ac:dyDescent="0.3">
      <c r="A594" s="206">
        <v>46165</v>
      </c>
      <c r="B594" s="61">
        <v>46165.479166666701</v>
      </c>
      <c r="C594" s="138">
        <f t="shared" si="47"/>
        <v>46165.479166666701</v>
      </c>
      <c r="D594" s="19" t="s">
        <v>40</v>
      </c>
      <c r="E594" s="7" t="s">
        <v>15</v>
      </c>
      <c r="F594" s="118" t="s">
        <v>93</v>
      </c>
      <c r="G594" s="115">
        <v>0.55000000000000004</v>
      </c>
      <c r="H594" s="116">
        <v>0.53</v>
      </c>
      <c r="I594" s="46" t="str">
        <f t="shared" si="48"/>
        <v/>
      </c>
      <c r="J594" s="46" t="str">
        <f t="shared" si="49"/>
        <v/>
      </c>
      <c r="K594" s="46">
        <f t="shared" si="50"/>
        <v>-2.0000000000000018E-2</v>
      </c>
      <c r="L594" s="49" t="str">
        <f t="shared" si="51"/>
        <v/>
      </c>
      <c r="M594" s="49" t="str">
        <f t="shared" si="51"/>
        <v/>
      </c>
      <c r="N594" s="49" t="str">
        <f t="shared" si="51"/>
        <v>Within Tolerance</v>
      </c>
    </row>
    <row r="595" spans="1:14" hidden="1" x14ac:dyDescent="0.3">
      <c r="A595" s="207">
        <v>46165</v>
      </c>
      <c r="B595" s="61">
        <v>46165.583333333299</v>
      </c>
      <c r="C595" s="138">
        <f t="shared" si="47"/>
        <v>46165.583333333299</v>
      </c>
      <c r="D595" s="19" t="s">
        <v>40</v>
      </c>
      <c r="E595" s="7" t="s">
        <v>15</v>
      </c>
      <c r="F595" s="118" t="s">
        <v>93</v>
      </c>
      <c r="G595" s="115">
        <v>0.55000000000000004</v>
      </c>
      <c r="H595" s="116">
        <v>0.55000000000000004</v>
      </c>
      <c r="I595" s="46" t="str">
        <f t="shared" si="48"/>
        <v/>
      </c>
      <c r="J595" s="46" t="str">
        <f t="shared" si="49"/>
        <v/>
      </c>
      <c r="K595" s="46">
        <f t="shared" si="50"/>
        <v>0</v>
      </c>
      <c r="L595" s="49" t="str">
        <f t="shared" si="51"/>
        <v/>
      </c>
      <c r="M595" s="49" t="str">
        <f t="shared" si="51"/>
        <v/>
      </c>
      <c r="N595" s="49" t="str">
        <f t="shared" si="51"/>
        <v>Within Tolerance</v>
      </c>
    </row>
    <row r="596" spans="1:14" hidden="1" x14ac:dyDescent="0.3">
      <c r="A596" s="206">
        <v>46165</v>
      </c>
      <c r="B596" s="61">
        <v>46165.666666666701</v>
      </c>
      <c r="C596" s="138">
        <f t="shared" si="47"/>
        <v>46165.666666666701</v>
      </c>
      <c r="D596" s="19" t="s">
        <v>40</v>
      </c>
      <c r="E596" s="7" t="s">
        <v>15</v>
      </c>
      <c r="F596" s="118">
        <v>0.56000000000000005</v>
      </c>
      <c r="G596" s="115">
        <v>0.55000000000000004</v>
      </c>
      <c r="H596" s="116">
        <v>0.54</v>
      </c>
      <c r="I596" s="46">
        <f t="shared" si="48"/>
        <v>-1.0000000000000009E-2</v>
      </c>
      <c r="J596" s="46">
        <f t="shared" si="49"/>
        <v>-2.0000000000000018E-2</v>
      </c>
      <c r="K596" s="46">
        <f t="shared" si="50"/>
        <v>-1.0000000000000009E-2</v>
      </c>
      <c r="L596" s="49" t="str">
        <f t="shared" si="51"/>
        <v>Within Tolerance</v>
      </c>
      <c r="M596" s="49" t="str">
        <f t="shared" si="51"/>
        <v>Within Tolerance</v>
      </c>
      <c r="N596" s="49" t="str">
        <f t="shared" si="51"/>
        <v>Within Tolerance</v>
      </c>
    </row>
    <row r="597" spans="1:14" hidden="1" x14ac:dyDescent="0.3">
      <c r="A597" s="207">
        <v>46165</v>
      </c>
      <c r="B597" s="61">
        <v>46165.756944444402</v>
      </c>
      <c r="C597" s="138">
        <f t="shared" si="47"/>
        <v>46165.756944444402</v>
      </c>
      <c r="D597" s="19" t="s">
        <v>41</v>
      </c>
      <c r="E597" s="7" t="s">
        <v>15</v>
      </c>
      <c r="F597" s="118" t="s">
        <v>93</v>
      </c>
      <c r="G597" s="115">
        <v>0.55000000000000004</v>
      </c>
      <c r="H597" s="116">
        <v>0.55000000000000004</v>
      </c>
      <c r="I597" s="46" t="str">
        <f t="shared" si="48"/>
        <v/>
      </c>
      <c r="J597" s="46" t="str">
        <f t="shared" si="49"/>
        <v/>
      </c>
      <c r="K597" s="46">
        <f t="shared" si="50"/>
        <v>0</v>
      </c>
      <c r="L597" s="49" t="str">
        <f t="shared" si="51"/>
        <v/>
      </c>
      <c r="M597" s="49" t="str">
        <f t="shared" si="51"/>
        <v/>
      </c>
      <c r="N597" s="49" t="str">
        <f t="shared" si="51"/>
        <v>Within Tolerance</v>
      </c>
    </row>
    <row r="598" spans="1:14" hidden="1" x14ac:dyDescent="0.3">
      <c r="A598" s="206">
        <v>46165</v>
      </c>
      <c r="B598" s="61">
        <v>46165.833333333299</v>
      </c>
      <c r="C598" s="138">
        <f t="shared" si="47"/>
        <v>46165.833333333299</v>
      </c>
      <c r="D598" s="19" t="s">
        <v>41</v>
      </c>
      <c r="E598" s="7" t="s">
        <v>15</v>
      </c>
      <c r="F598" s="118" t="s">
        <v>93</v>
      </c>
      <c r="G598" s="115">
        <v>0.56000000000000005</v>
      </c>
      <c r="H598" s="116">
        <v>0.55000000000000004</v>
      </c>
      <c r="I598" s="46" t="str">
        <f t="shared" si="48"/>
        <v/>
      </c>
      <c r="J598" s="46" t="str">
        <f t="shared" si="49"/>
        <v/>
      </c>
      <c r="K598" s="46">
        <f t="shared" si="50"/>
        <v>-1.0000000000000009E-2</v>
      </c>
      <c r="L598" s="49" t="str">
        <f t="shared" si="51"/>
        <v/>
      </c>
      <c r="M598" s="49" t="str">
        <f t="shared" si="51"/>
        <v/>
      </c>
      <c r="N598" s="49" t="str">
        <f t="shared" si="51"/>
        <v>Within Tolerance</v>
      </c>
    </row>
    <row r="599" spans="1:14" hidden="1" x14ac:dyDescent="0.3">
      <c r="A599" s="207">
        <v>46165</v>
      </c>
      <c r="B599" s="61">
        <v>46165.895833333299</v>
      </c>
      <c r="C599" s="138">
        <f t="shared" si="47"/>
        <v>46165.895833333299</v>
      </c>
      <c r="D599" s="19" t="s">
        <v>41</v>
      </c>
      <c r="E599" s="7" t="s">
        <v>15</v>
      </c>
      <c r="F599" s="118" t="s">
        <v>93</v>
      </c>
      <c r="G599" s="115">
        <v>0.54</v>
      </c>
      <c r="H599" s="116">
        <v>0.56000000000000005</v>
      </c>
      <c r="I599" s="46" t="str">
        <f t="shared" si="48"/>
        <v/>
      </c>
      <c r="J599" s="46" t="str">
        <f t="shared" si="49"/>
        <v/>
      </c>
      <c r="K599" s="46">
        <f t="shared" si="50"/>
        <v>2.0000000000000018E-2</v>
      </c>
      <c r="L599" s="49" t="str">
        <f t="shared" si="51"/>
        <v/>
      </c>
      <c r="M599" s="49" t="str">
        <f t="shared" si="51"/>
        <v/>
      </c>
      <c r="N599" s="49" t="str">
        <f t="shared" si="51"/>
        <v>Within Tolerance</v>
      </c>
    </row>
    <row r="600" spans="1:14" hidden="1" x14ac:dyDescent="0.3">
      <c r="A600" s="206">
        <v>46165</v>
      </c>
      <c r="B600" s="61">
        <v>46166</v>
      </c>
      <c r="C600" s="138">
        <f t="shared" si="47"/>
        <v>46165</v>
      </c>
      <c r="D600" s="19" t="s">
        <v>41</v>
      </c>
      <c r="E600" s="7" t="s">
        <v>15</v>
      </c>
      <c r="F600" s="118">
        <v>0.54</v>
      </c>
      <c r="G600" s="115">
        <v>0.55000000000000004</v>
      </c>
      <c r="H600" s="116">
        <v>0.56000000000000005</v>
      </c>
      <c r="I600" s="46">
        <f t="shared" si="48"/>
        <v>1.0000000000000009E-2</v>
      </c>
      <c r="J600" s="46">
        <f t="shared" si="49"/>
        <v>2.0000000000000018E-2</v>
      </c>
      <c r="K600" s="46">
        <f t="shared" si="50"/>
        <v>1.0000000000000009E-2</v>
      </c>
      <c r="L600" s="49" t="str">
        <f t="shared" si="51"/>
        <v>Within Tolerance</v>
      </c>
      <c r="M600" s="49" t="str">
        <f t="shared" si="51"/>
        <v>Within Tolerance</v>
      </c>
      <c r="N600" s="49" t="str">
        <f t="shared" si="51"/>
        <v>Within Tolerance</v>
      </c>
    </row>
    <row r="601" spans="1:14" hidden="1" x14ac:dyDescent="0.3">
      <c r="A601" s="207">
        <v>46165</v>
      </c>
      <c r="B601" s="61">
        <v>46166.083333333299</v>
      </c>
      <c r="C601" s="138">
        <f t="shared" si="47"/>
        <v>46165.083333333299</v>
      </c>
      <c r="D601" s="19" t="s">
        <v>41</v>
      </c>
      <c r="E601" s="7" t="s">
        <v>15</v>
      </c>
      <c r="F601" s="118" t="s">
        <v>93</v>
      </c>
      <c r="G601" s="115">
        <v>0.53</v>
      </c>
      <c r="H601" s="116">
        <v>0.55000000000000004</v>
      </c>
      <c r="I601" s="46" t="str">
        <f t="shared" si="48"/>
        <v/>
      </c>
      <c r="J601" s="46" t="str">
        <f t="shared" si="49"/>
        <v/>
      </c>
      <c r="K601" s="46">
        <f t="shared" si="50"/>
        <v>2.0000000000000018E-2</v>
      </c>
      <c r="L601" s="49" t="str">
        <f t="shared" si="51"/>
        <v/>
      </c>
      <c r="M601" s="49" t="str">
        <f t="shared" si="51"/>
        <v/>
      </c>
      <c r="N601" s="49" t="str">
        <f t="shared" si="51"/>
        <v>Within Tolerance</v>
      </c>
    </row>
    <row r="602" spans="1:14" hidden="1" x14ac:dyDescent="0.3">
      <c r="A602" s="206">
        <v>46166</v>
      </c>
      <c r="B602" s="61">
        <v>46166.166666666701</v>
      </c>
      <c r="C602" s="138">
        <f t="shared" si="47"/>
        <v>46166.166666666701</v>
      </c>
      <c r="D602" s="19" t="s">
        <v>41</v>
      </c>
      <c r="E602" s="7" t="s">
        <v>15</v>
      </c>
      <c r="F602" s="118" t="s">
        <v>93</v>
      </c>
      <c r="G602" s="115">
        <v>0.55000000000000004</v>
      </c>
      <c r="H602" s="116">
        <v>0.56999999999999995</v>
      </c>
      <c r="I602" s="46" t="str">
        <f t="shared" si="48"/>
        <v/>
      </c>
      <c r="J602" s="46" t="str">
        <f t="shared" si="49"/>
        <v/>
      </c>
      <c r="K602" s="46">
        <f t="shared" si="50"/>
        <v>1.9999999999999907E-2</v>
      </c>
      <c r="L602" s="49" t="str">
        <f t="shared" si="51"/>
        <v/>
      </c>
      <c r="M602" s="49" t="str">
        <f t="shared" si="51"/>
        <v/>
      </c>
      <c r="N602" s="49" t="str">
        <f t="shared" si="51"/>
        <v>Within Tolerance</v>
      </c>
    </row>
    <row r="603" spans="1:14" hidden="1" x14ac:dyDescent="0.3">
      <c r="A603" s="207">
        <v>46166</v>
      </c>
      <c r="B603" s="61">
        <v>46166.236111111102</v>
      </c>
      <c r="C603" s="138">
        <f t="shared" si="47"/>
        <v>46166.236111111102</v>
      </c>
      <c r="D603" s="19" t="s">
        <v>29</v>
      </c>
      <c r="E603" s="7" t="s">
        <v>15</v>
      </c>
      <c r="F603" s="118" t="s">
        <v>93</v>
      </c>
      <c r="G603" s="115">
        <v>0.54</v>
      </c>
      <c r="H603" s="116">
        <v>0.53</v>
      </c>
      <c r="I603" s="46" t="str">
        <f t="shared" si="48"/>
        <v/>
      </c>
      <c r="J603" s="46" t="str">
        <f t="shared" si="49"/>
        <v/>
      </c>
      <c r="K603" s="46">
        <f t="shared" si="50"/>
        <v>-1.0000000000000009E-2</v>
      </c>
      <c r="L603" s="49" t="str">
        <f t="shared" si="51"/>
        <v/>
      </c>
      <c r="M603" s="49" t="str">
        <f t="shared" si="51"/>
        <v/>
      </c>
      <c r="N603" s="49" t="str">
        <f t="shared" si="51"/>
        <v>Within Tolerance</v>
      </c>
    </row>
    <row r="604" spans="1:14" hidden="1" x14ac:dyDescent="0.3">
      <c r="A604" s="210">
        <v>46165</v>
      </c>
      <c r="B604" s="78">
        <v>46165.451388888898</v>
      </c>
      <c r="C604" s="158">
        <f t="shared" si="47"/>
        <v>46165.451388888898</v>
      </c>
      <c r="D604" s="19" t="s">
        <v>21</v>
      </c>
      <c r="E604" s="15" t="s">
        <v>19</v>
      </c>
      <c r="F604" s="118">
        <v>0.53</v>
      </c>
      <c r="G604" s="115">
        <v>0.54</v>
      </c>
      <c r="H604" s="116">
        <v>0.55000000000000004</v>
      </c>
      <c r="I604" s="46">
        <f t="shared" si="48"/>
        <v>1.0000000000000009E-2</v>
      </c>
      <c r="J604" s="46">
        <f t="shared" si="49"/>
        <v>2.0000000000000018E-2</v>
      </c>
      <c r="K604" s="46">
        <f t="shared" si="50"/>
        <v>1.0000000000000009E-2</v>
      </c>
      <c r="L604" s="49" t="str">
        <f t="shared" si="51"/>
        <v>Within Tolerance</v>
      </c>
      <c r="M604" s="49" t="str">
        <f t="shared" si="51"/>
        <v>Within Tolerance</v>
      </c>
      <c r="N604" s="49" t="str">
        <f t="shared" si="51"/>
        <v>Within Tolerance</v>
      </c>
    </row>
    <row r="605" spans="1:14" hidden="1" x14ac:dyDescent="0.3">
      <c r="A605" s="209">
        <v>46165</v>
      </c>
      <c r="B605" s="79">
        <v>46165.555555555598</v>
      </c>
      <c r="C605" s="157">
        <f t="shared" si="47"/>
        <v>46165.555555555598</v>
      </c>
      <c r="D605" s="19" t="s">
        <v>18</v>
      </c>
      <c r="E605" s="15" t="s">
        <v>19</v>
      </c>
      <c r="F605" s="118">
        <v>0.54</v>
      </c>
      <c r="G605" s="115">
        <v>0.51</v>
      </c>
      <c r="H605" s="116">
        <v>0.52</v>
      </c>
      <c r="I605" s="46">
        <f t="shared" si="48"/>
        <v>-3.0000000000000027E-2</v>
      </c>
      <c r="J605" s="46">
        <f t="shared" si="49"/>
        <v>-2.0000000000000018E-2</v>
      </c>
      <c r="K605" s="46">
        <f t="shared" si="50"/>
        <v>1.0000000000000009E-2</v>
      </c>
      <c r="L605" s="49" t="str">
        <f t="shared" si="51"/>
        <v>Out of Tolerance</v>
      </c>
      <c r="M605" s="49" t="str">
        <f t="shared" si="51"/>
        <v>Within Tolerance</v>
      </c>
      <c r="N605" s="49" t="str">
        <f t="shared" si="51"/>
        <v>Within Tolerance</v>
      </c>
    </row>
    <row r="606" spans="1:14" hidden="1" x14ac:dyDescent="0.3">
      <c r="A606" s="208">
        <v>46165</v>
      </c>
      <c r="B606" s="79">
        <v>46165.583333333336</v>
      </c>
      <c r="C606" s="157">
        <f t="shared" si="47"/>
        <v>46165.583333333336</v>
      </c>
      <c r="D606" s="19" t="s">
        <v>18</v>
      </c>
      <c r="E606" s="15" t="s">
        <v>19</v>
      </c>
      <c r="F606" s="118"/>
      <c r="G606" s="115">
        <v>0.51</v>
      </c>
      <c r="H606" s="116">
        <v>0.52</v>
      </c>
      <c r="I606" s="46" t="str">
        <f t="shared" si="48"/>
        <v/>
      </c>
      <c r="J606" s="46" t="str">
        <f t="shared" si="49"/>
        <v/>
      </c>
      <c r="K606" s="46">
        <f t="shared" si="50"/>
        <v>1.0000000000000009E-2</v>
      </c>
      <c r="L606" s="49" t="str">
        <f t="shared" si="51"/>
        <v/>
      </c>
      <c r="M606" s="49" t="str">
        <f t="shared" si="51"/>
        <v/>
      </c>
      <c r="N606" s="49" t="str">
        <f t="shared" si="51"/>
        <v>Within Tolerance</v>
      </c>
    </row>
    <row r="607" spans="1:14" hidden="1" x14ac:dyDescent="0.3">
      <c r="A607" s="209">
        <v>46165</v>
      </c>
      <c r="B607" s="79">
        <v>46165.774305555598</v>
      </c>
      <c r="C607" s="157">
        <f t="shared" si="47"/>
        <v>46165.774305555598</v>
      </c>
      <c r="D607" s="19" t="s">
        <v>37</v>
      </c>
      <c r="E607" s="15" t="s">
        <v>19</v>
      </c>
      <c r="F607" s="118">
        <v>0.42</v>
      </c>
      <c r="G607" s="115">
        <v>0.45</v>
      </c>
      <c r="H607" s="116">
        <v>0.45</v>
      </c>
      <c r="I607" s="46">
        <f t="shared" si="48"/>
        <v>3.0000000000000027E-2</v>
      </c>
      <c r="J607" s="46">
        <f t="shared" si="49"/>
        <v>3.0000000000000027E-2</v>
      </c>
      <c r="K607" s="46">
        <f t="shared" si="50"/>
        <v>0</v>
      </c>
      <c r="L607" s="49" t="str">
        <f t="shared" si="51"/>
        <v>Out of Tolerance</v>
      </c>
      <c r="M607" s="49" t="str">
        <f t="shared" si="51"/>
        <v>Out of Tolerance</v>
      </c>
      <c r="N607" s="49" t="str">
        <f t="shared" si="51"/>
        <v>Within Tolerance</v>
      </c>
    </row>
    <row r="608" spans="1:14" hidden="1" x14ac:dyDescent="0.3">
      <c r="A608" s="205">
        <v>46165</v>
      </c>
      <c r="B608" s="70">
        <v>46165.795138888898</v>
      </c>
      <c r="C608" s="159">
        <f t="shared" si="47"/>
        <v>46165.795138888898</v>
      </c>
      <c r="D608" s="19" t="s">
        <v>55</v>
      </c>
      <c r="E608" s="15" t="s">
        <v>19</v>
      </c>
      <c r="F608" s="118">
        <v>0.53</v>
      </c>
      <c r="G608" s="115">
        <v>0.55000000000000004</v>
      </c>
      <c r="H608" s="116">
        <v>0.55000000000000004</v>
      </c>
      <c r="I608" s="46">
        <f t="shared" si="48"/>
        <v>2.0000000000000018E-2</v>
      </c>
      <c r="J608" s="46">
        <f t="shared" si="49"/>
        <v>2.0000000000000018E-2</v>
      </c>
      <c r="K608" s="46">
        <f t="shared" si="50"/>
        <v>0</v>
      </c>
      <c r="L608" s="49" t="str">
        <f t="shared" si="51"/>
        <v>Within Tolerance</v>
      </c>
      <c r="M608" s="49" t="str">
        <f t="shared" si="51"/>
        <v>Within Tolerance</v>
      </c>
      <c r="N608" s="49" t="str">
        <f t="shared" si="51"/>
        <v>Within Tolerance</v>
      </c>
    </row>
    <row r="609" spans="1:14" hidden="1" x14ac:dyDescent="0.3">
      <c r="A609" s="204">
        <v>46165</v>
      </c>
      <c r="B609" s="69">
        <v>46165.4375</v>
      </c>
      <c r="C609" s="158">
        <f t="shared" si="47"/>
        <v>46165.4375</v>
      </c>
      <c r="D609" s="7" t="s">
        <v>26</v>
      </c>
      <c r="E609" s="7" t="s">
        <v>24</v>
      </c>
      <c r="F609" s="116">
        <v>0.63</v>
      </c>
      <c r="G609" s="115">
        <v>0.62</v>
      </c>
      <c r="H609" s="116">
        <v>0.66</v>
      </c>
      <c r="I609" s="46">
        <f t="shared" si="48"/>
        <v>-1.0000000000000009E-2</v>
      </c>
      <c r="J609" s="46">
        <f t="shared" si="49"/>
        <v>3.0000000000000027E-2</v>
      </c>
      <c r="K609" s="46">
        <f t="shared" si="50"/>
        <v>4.0000000000000036E-2</v>
      </c>
      <c r="L609" s="49" t="str">
        <f t="shared" si="51"/>
        <v>Within Tolerance</v>
      </c>
      <c r="M609" s="49" t="str">
        <f t="shared" si="51"/>
        <v>Out of Tolerance</v>
      </c>
      <c r="N609" s="49" t="str">
        <f t="shared" si="51"/>
        <v>Out of Tolerance</v>
      </c>
    </row>
    <row r="610" spans="1:14" hidden="1" x14ac:dyDescent="0.3">
      <c r="A610" s="205">
        <v>46165</v>
      </c>
      <c r="B610" s="70">
        <v>46165.451388888898</v>
      </c>
      <c r="C610" s="159">
        <f t="shared" si="47"/>
        <v>46165.451388888898</v>
      </c>
      <c r="D610" s="7" t="s">
        <v>25</v>
      </c>
      <c r="E610" s="7" t="s">
        <v>24</v>
      </c>
      <c r="F610" s="116">
        <v>0.59</v>
      </c>
      <c r="G610" s="115">
        <v>0.59</v>
      </c>
      <c r="H610" s="116">
        <v>0.57999999999999996</v>
      </c>
      <c r="I610" s="46">
        <f t="shared" si="48"/>
        <v>0</v>
      </c>
      <c r="J610" s="46">
        <f t="shared" si="49"/>
        <v>-1.0000000000000009E-2</v>
      </c>
      <c r="K610" s="46">
        <f t="shared" si="50"/>
        <v>-1.0000000000000009E-2</v>
      </c>
      <c r="L610" s="49" t="str">
        <f t="shared" si="51"/>
        <v>Within Tolerance</v>
      </c>
      <c r="M610" s="49" t="str">
        <f t="shared" si="51"/>
        <v>Within Tolerance</v>
      </c>
      <c r="N610" s="49" t="str">
        <f t="shared" si="51"/>
        <v>Within Tolerance</v>
      </c>
    </row>
    <row r="611" spans="1:14" hidden="1" x14ac:dyDescent="0.3">
      <c r="A611" s="211">
        <v>46165</v>
      </c>
      <c r="B611" s="70">
        <v>46165.583333333336</v>
      </c>
      <c r="C611" s="159">
        <f t="shared" si="47"/>
        <v>46165.583333333336</v>
      </c>
      <c r="D611" s="7" t="s">
        <v>87</v>
      </c>
      <c r="E611" s="7" t="s">
        <v>24</v>
      </c>
      <c r="F611" s="116">
        <v>0.51</v>
      </c>
      <c r="G611" s="115">
        <v>0.49</v>
      </c>
      <c r="H611" s="116">
        <v>0.48</v>
      </c>
      <c r="I611" s="46">
        <f t="shared" si="48"/>
        <v>-2.0000000000000018E-2</v>
      </c>
      <c r="J611" s="46">
        <f t="shared" si="49"/>
        <v>-3.0000000000000027E-2</v>
      </c>
      <c r="K611" s="46">
        <f t="shared" si="50"/>
        <v>-1.0000000000000009E-2</v>
      </c>
      <c r="L611" s="49" t="str">
        <f t="shared" si="51"/>
        <v>Within Tolerance</v>
      </c>
      <c r="M611" s="49" t="str">
        <f t="shared" si="51"/>
        <v>Out of Tolerance</v>
      </c>
      <c r="N611" s="49" t="str">
        <f t="shared" si="51"/>
        <v>Within Tolerance</v>
      </c>
    </row>
    <row r="612" spans="1:14" hidden="1" x14ac:dyDescent="0.3">
      <c r="A612" s="206">
        <v>46166</v>
      </c>
      <c r="B612" s="61">
        <v>46166.333333333299</v>
      </c>
      <c r="C612" s="138">
        <f t="shared" si="47"/>
        <v>46166.333333333299</v>
      </c>
      <c r="D612" s="19" t="s">
        <v>41</v>
      </c>
      <c r="E612" s="7" t="s">
        <v>11</v>
      </c>
      <c r="F612" s="118">
        <v>0.55000000000000004</v>
      </c>
      <c r="G612" s="115">
        <v>0.56000000000000005</v>
      </c>
      <c r="H612" s="116">
        <v>0.56000000000000005</v>
      </c>
      <c r="I612" s="46">
        <f t="shared" si="48"/>
        <v>1.0000000000000009E-2</v>
      </c>
      <c r="J612" s="46">
        <f t="shared" si="49"/>
        <v>1.0000000000000009E-2</v>
      </c>
      <c r="K612" s="46">
        <f t="shared" si="50"/>
        <v>0</v>
      </c>
      <c r="L612" s="49" t="str">
        <f t="shared" si="51"/>
        <v>Within Tolerance</v>
      </c>
      <c r="M612" s="49" t="str">
        <f t="shared" si="51"/>
        <v>Within Tolerance</v>
      </c>
      <c r="N612" s="49" t="str">
        <f t="shared" si="51"/>
        <v>Within Tolerance</v>
      </c>
    </row>
    <row r="613" spans="1:14" hidden="1" x14ac:dyDescent="0.3">
      <c r="A613" s="207">
        <v>46166</v>
      </c>
      <c r="B613" s="61">
        <v>46166.416666666701</v>
      </c>
      <c r="C613" s="138">
        <f t="shared" si="47"/>
        <v>46166.416666666701</v>
      </c>
      <c r="D613" s="19" t="s">
        <v>41</v>
      </c>
      <c r="E613" s="7" t="s">
        <v>11</v>
      </c>
      <c r="F613" s="118" t="s">
        <v>93</v>
      </c>
      <c r="G613" s="115">
        <v>0.56000000000000005</v>
      </c>
      <c r="H613" s="116">
        <v>0.56999999999999995</v>
      </c>
      <c r="I613" s="46" t="str">
        <f t="shared" si="48"/>
        <v/>
      </c>
      <c r="J613" s="46" t="str">
        <f t="shared" si="49"/>
        <v/>
      </c>
      <c r="K613" s="46">
        <f t="shared" si="50"/>
        <v>9.9999999999998979E-3</v>
      </c>
      <c r="L613" s="49" t="str">
        <f t="shared" si="51"/>
        <v/>
      </c>
      <c r="M613" s="49" t="str">
        <f t="shared" si="51"/>
        <v/>
      </c>
      <c r="N613" s="49" t="str">
        <f t="shared" si="51"/>
        <v>Within Tolerance</v>
      </c>
    </row>
    <row r="614" spans="1:14" hidden="1" x14ac:dyDescent="0.3">
      <c r="A614" s="206">
        <v>46166</v>
      </c>
      <c r="B614" s="61">
        <v>46166.5</v>
      </c>
      <c r="C614" s="138">
        <f t="shared" si="47"/>
        <v>46166.5</v>
      </c>
      <c r="D614" s="19" t="s">
        <v>41</v>
      </c>
      <c r="E614" s="7" t="s">
        <v>11</v>
      </c>
      <c r="F614" s="118" t="s">
        <v>93</v>
      </c>
      <c r="G614" s="115">
        <v>0.54</v>
      </c>
      <c r="H614" s="116">
        <v>0.54</v>
      </c>
      <c r="I614" s="46" t="str">
        <f t="shared" si="48"/>
        <v/>
      </c>
      <c r="J614" s="46" t="str">
        <f t="shared" si="49"/>
        <v/>
      </c>
      <c r="K614" s="46">
        <f t="shared" si="50"/>
        <v>0</v>
      </c>
      <c r="L614" s="49" t="str">
        <f t="shared" si="51"/>
        <v/>
      </c>
      <c r="M614" s="49" t="str">
        <f t="shared" si="51"/>
        <v/>
      </c>
      <c r="N614" s="49" t="str">
        <f t="shared" si="51"/>
        <v>Within Tolerance</v>
      </c>
    </row>
    <row r="615" spans="1:14" hidden="1" x14ac:dyDescent="0.3">
      <c r="A615" s="207">
        <v>46166</v>
      </c>
      <c r="B615" s="61">
        <v>46166.583333333299</v>
      </c>
      <c r="C615" s="138">
        <f t="shared" si="47"/>
        <v>46166.583333333299</v>
      </c>
      <c r="D615" s="19" t="s">
        <v>41</v>
      </c>
      <c r="E615" s="7" t="s">
        <v>11</v>
      </c>
      <c r="F615" s="118" t="s">
        <v>93</v>
      </c>
      <c r="G615" s="115">
        <v>0.55000000000000004</v>
      </c>
      <c r="H615" s="116">
        <v>0.56000000000000005</v>
      </c>
      <c r="I615" s="46" t="str">
        <f t="shared" si="48"/>
        <v/>
      </c>
      <c r="J615" s="46" t="str">
        <f t="shared" si="49"/>
        <v/>
      </c>
      <c r="K615" s="46">
        <f t="shared" si="50"/>
        <v>1.0000000000000009E-2</v>
      </c>
      <c r="L615" s="49" t="str">
        <f t="shared" si="51"/>
        <v/>
      </c>
      <c r="M615" s="49" t="str">
        <f t="shared" si="51"/>
        <v/>
      </c>
      <c r="N615" s="49" t="str">
        <f t="shared" si="51"/>
        <v>Within Tolerance</v>
      </c>
    </row>
    <row r="616" spans="1:14" hidden="1" x14ac:dyDescent="0.3">
      <c r="A616" s="206">
        <v>46166</v>
      </c>
      <c r="B616" s="61">
        <v>46166.666666666701</v>
      </c>
      <c r="C616" s="138">
        <f t="shared" si="47"/>
        <v>46166.666666666701</v>
      </c>
      <c r="D616" s="19" t="s">
        <v>41</v>
      </c>
      <c r="E616" s="7" t="s">
        <v>11</v>
      </c>
      <c r="F616" s="118" t="s">
        <v>93</v>
      </c>
      <c r="G616" s="115">
        <v>0.56000000000000005</v>
      </c>
      <c r="H616" s="116">
        <v>0.54</v>
      </c>
      <c r="I616" s="46" t="str">
        <f t="shared" si="48"/>
        <v/>
      </c>
      <c r="J616" s="46" t="str">
        <f t="shared" si="49"/>
        <v/>
      </c>
      <c r="K616" s="46">
        <f t="shared" si="50"/>
        <v>-2.0000000000000018E-2</v>
      </c>
      <c r="L616" s="49" t="str">
        <f t="shared" si="51"/>
        <v/>
      </c>
      <c r="M616" s="49" t="str">
        <f t="shared" si="51"/>
        <v/>
      </c>
      <c r="N616" s="49" t="str">
        <f t="shared" si="51"/>
        <v>Within Tolerance</v>
      </c>
    </row>
    <row r="617" spans="1:14" hidden="1" x14ac:dyDescent="0.3">
      <c r="A617" s="207">
        <v>46166</v>
      </c>
      <c r="B617" s="61">
        <v>46166.333333333299</v>
      </c>
      <c r="C617" s="138">
        <f t="shared" si="47"/>
        <v>46166.333333333299</v>
      </c>
      <c r="D617" s="19" t="s">
        <v>29</v>
      </c>
      <c r="E617" s="7" t="s">
        <v>15</v>
      </c>
      <c r="F617" s="118">
        <v>0.53</v>
      </c>
      <c r="G617" s="115">
        <v>0.53</v>
      </c>
      <c r="H617" s="116">
        <v>0.53</v>
      </c>
      <c r="I617" s="46">
        <f t="shared" si="48"/>
        <v>0</v>
      </c>
      <c r="J617" s="46">
        <f t="shared" si="49"/>
        <v>0</v>
      </c>
      <c r="K617" s="46">
        <f t="shared" si="50"/>
        <v>0</v>
      </c>
      <c r="L617" s="49" t="str">
        <f t="shared" si="51"/>
        <v>Within Tolerance</v>
      </c>
      <c r="M617" s="49" t="str">
        <f t="shared" si="51"/>
        <v>Within Tolerance</v>
      </c>
      <c r="N617" s="49" t="str">
        <f t="shared" si="51"/>
        <v>Within Tolerance</v>
      </c>
    </row>
    <row r="618" spans="1:14" hidden="1" x14ac:dyDescent="0.3">
      <c r="A618" s="206">
        <v>46166</v>
      </c>
      <c r="B618" s="61">
        <v>46166.416666666701</v>
      </c>
      <c r="C618" s="138">
        <f t="shared" si="47"/>
        <v>46166.416666666701</v>
      </c>
      <c r="D618" s="19" t="s">
        <v>29</v>
      </c>
      <c r="E618" s="7" t="s">
        <v>15</v>
      </c>
      <c r="F618" s="118" t="s">
        <v>93</v>
      </c>
      <c r="G618" s="115">
        <v>0.55000000000000004</v>
      </c>
      <c r="H618" s="116">
        <v>0.55000000000000004</v>
      </c>
      <c r="I618" s="46" t="str">
        <f t="shared" si="48"/>
        <v/>
      </c>
      <c r="J618" s="46" t="str">
        <f t="shared" si="49"/>
        <v/>
      </c>
      <c r="K618" s="46">
        <f t="shared" si="50"/>
        <v>0</v>
      </c>
      <c r="L618" s="49" t="str">
        <f t="shared" si="51"/>
        <v/>
      </c>
      <c r="M618" s="49" t="str">
        <f t="shared" si="51"/>
        <v/>
      </c>
      <c r="N618" s="49" t="str">
        <f t="shared" si="51"/>
        <v>Within Tolerance</v>
      </c>
    </row>
    <row r="619" spans="1:14" hidden="1" x14ac:dyDescent="0.3">
      <c r="A619" s="207">
        <v>46166</v>
      </c>
      <c r="B619" s="61">
        <v>46166.5</v>
      </c>
      <c r="C619" s="138">
        <f t="shared" si="47"/>
        <v>46166.5</v>
      </c>
      <c r="D619" s="19" t="s">
        <v>29</v>
      </c>
      <c r="E619" s="7" t="s">
        <v>15</v>
      </c>
      <c r="F619" s="118" t="s">
        <v>93</v>
      </c>
      <c r="G619" s="115">
        <v>0.55000000000000004</v>
      </c>
      <c r="H619" s="116">
        <v>0.55000000000000004</v>
      </c>
      <c r="I619" s="46" t="str">
        <f t="shared" si="48"/>
        <v/>
      </c>
      <c r="J619" s="46" t="str">
        <f t="shared" si="49"/>
        <v/>
      </c>
      <c r="K619" s="46">
        <f t="shared" si="50"/>
        <v>0</v>
      </c>
      <c r="L619" s="49" t="str">
        <f t="shared" si="51"/>
        <v/>
      </c>
      <c r="M619" s="49" t="str">
        <f t="shared" si="51"/>
        <v/>
      </c>
      <c r="N619" s="49" t="str">
        <f t="shared" si="51"/>
        <v>Within Tolerance</v>
      </c>
    </row>
    <row r="620" spans="1:14" hidden="1" x14ac:dyDescent="0.3">
      <c r="A620" s="206">
        <v>46166</v>
      </c>
      <c r="B620" s="61">
        <v>46166.534722222197</v>
      </c>
      <c r="C620" s="138">
        <f t="shared" si="47"/>
        <v>46166.534722222197</v>
      </c>
      <c r="D620" s="19" t="s">
        <v>29</v>
      </c>
      <c r="E620" s="7" t="s">
        <v>15</v>
      </c>
      <c r="F620" s="118" t="s">
        <v>93</v>
      </c>
      <c r="G620" s="115">
        <v>0.54</v>
      </c>
      <c r="H620" s="116">
        <v>0.55000000000000004</v>
      </c>
      <c r="I620" s="46" t="str">
        <f t="shared" si="48"/>
        <v/>
      </c>
      <c r="J620" s="46" t="str">
        <f t="shared" si="49"/>
        <v/>
      </c>
      <c r="K620" s="46">
        <f t="shared" si="50"/>
        <v>1.0000000000000009E-2</v>
      </c>
      <c r="L620" s="49" t="str">
        <f t="shared" si="51"/>
        <v/>
      </c>
      <c r="M620" s="49" t="str">
        <f t="shared" si="51"/>
        <v/>
      </c>
      <c r="N620" s="49" t="str">
        <f t="shared" si="51"/>
        <v>Within Tolerance</v>
      </c>
    </row>
    <row r="621" spans="1:14" hidden="1" x14ac:dyDescent="0.3">
      <c r="A621" s="207">
        <v>46166</v>
      </c>
      <c r="B621" s="61">
        <v>46166.666666666701</v>
      </c>
      <c r="C621" s="138">
        <f t="shared" si="47"/>
        <v>46166.666666666701</v>
      </c>
      <c r="D621" s="19" t="s">
        <v>29</v>
      </c>
      <c r="E621" s="7" t="s">
        <v>15</v>
      </c>
      <c r="F621" s="118" t="s">
        <v>93</v>
      </c>
      <c r="G621" s="115">
        <v>0.54</v>
      </c>
      <c r="H621" s="116">
        <v>0.51</v>
      </c>
      <c r="I621" s="46" t="str">
        <f t="shared" si="48"/>
        <v/>
      </c>
      <c r="J621" s="46" t="str">
        <f t="shared" si="49"/>
        <v/>
      </c>
      <c r="K621" s="46">
        <f t="shared" si="50"/>
        <v>-3.0000000000000027E-2</v>
      </c>
      <c r="L621" s="49" t="str">
        <f t="shared" si="51"/>
        <v/>
      </c>
      <c r="M621" s="49" t="str">
        <f t="shared" si="51"/>
        <v/>
      </c>
      <c r="N621" s="49" t="str">
        <f t="shared" si="51"/>
        <v>Out of Tolerance</v>
      </c>
    </row>
    <row r="622" spans="1:14" hidden="1" x14ac:dyDescent="0.3">
      <c r="A622" s="212">
        <v>46166</v>
      </c>
      <c r="B622" s="82">
        <v>46166.420138888898</v>
      </c>
      <c r="C622" s="163">
        <f t="shared" si="47"/>
        <v>46166.420138888898</v>
      </c>
      <c r="D622" s="33" t="s">
        <v>46</v>
      </c>
      <c r="E622" s="15" t="s">
        <v>19</v>
      </c>
      <c r="F622" s="118">
        <v>0.56000000000000005</v>
      </c>
      <c r="G622" s="115">
        <v>0.56000000000000005</v>
      </c>
      <c r="H622" s="116">
        <v>0.56000000000000005</v>
      </c>
      <c r="I622" s="46">
        <f t="shared" si="48"/>
        <v>0</v>
      </c>
      <c r="J622" s="46">
        <f t="shared" si="49"/>
        <v>0</v>
      </c>
      <c r="K622" s="46">
        <f t="shared" si="50"/>
        <v>0</v>
      </c>
      <c r="L622" s="49" t="str">
        <f t="shared" si="51"/>
        <v>Within Tolerance</v>
      </c>
      <c r="M622" s="49" t="str">
        <f t="shared" si="51"/>
        <v>Within Tolerance</v>
      </c>
      <c r="N622" s="49" t="str">
        <f t="shared" si="51"/>
        <v>Within Tolerance</v>
      </c>
    </row>
    <row r="623" spans="1:14" hidden="1" x14ac:dyDescent="0.3">
      <c r="A623" s="213">
        <v>46166</v>
      </c>
      <c r="B623" s="72">
        <v>46166.458333333299</v>
      </c>
      <c r="C623" s="151">
        <f t="shared" si="47"/>
        <v>46166.458333333299</v>
      </c>
      <c r="D623" s="29" t="s">
        <v>20</v>
      </c>
      <c r="E623" s="15" t="s">
        <v>19</v>
      </c>
      <c r="F623" s="118">
        <v>0.57999999999999996</v>
      </c>
      <c r="G623" s="115">
        <v>0.56999999999999995</v>
      </c>
      <c r="H623" s="116">
        <v>0.56000000000000005</v>
      </c>
      <c r="I623" s="46">
        <f t="shared" si="48"/>
        <v>-1.0000000000000009E-2</v>
      </c>
      <c r="J623" s="46">
        <f t="shared" si="49"/>
        <v>-1.9999999999999907E-2</v>
      </c>
      <c r="K623" s="46">
        <f t="shared" si="50"/>
        <v>-9.9999999999998979E-3</v>
      </c>
      <c r="L623" s="49" t="str">
        <f t="shared" si="51"/>
        <v>Within Tolerance</v>
      </c>
      <c r="M623" s="49" t="str">
        <f t="shared" si="51"/>
        <v>Within Tolerance</v>
      </c>
      <c r="N623" s="49" t="str">
        <f t="shared" si="51"/>
        <v>Within Tolerance</v>
      </c>
    </row>
    <row r="624" spans="1:14" s="43" customFormat="1" hidden="1" x14ac:dyDescent="0.3">
      <c r="A624" s="214">
        <v>46166</v>
      </c>
      <c r="B624" s="81">
        <v>46166.416666666701</v>
      </c>
      <c r="C624" s="152">
        <f t="shared" si="47"/>
        <v>46166.416666666701</v>
      </c>
      <c r="D624" s="7" t="s">
        <v>25</v>
      </c>
      <c r="E624" s="7" t="s">
        <v>24</v>
      </c>
      <c r="F624" s="116">
        <v>0.56999999999999995</v>
      </c>
      <c r="G624" s="116">
        <v>0.6</v>
      </c>
      <c r="H624" s="116">
        <v>0.6</v>
      </c>
      <c r="I624" s="46">
        <f t="shared" si="48"/>
        <v>3.0000000000000027E-2</v>
      </c>
      <c r="J624" s="46">
        <f t="shared" si="49"/>
        <v>3.0000000000000027E-2</v>
      </c>
      <c r="K624" s="46">
        <f t="shared" si="50"/>
        <v>0</v>
      </c>
      <c r="L624" s="49" t="str">
        <f t="shared" si="51"/>
        <v>Out of Tolerance</v>
      </c>
      <c r="M624" s="49" t="str">
        <f t="shared" si="51"/>
        <v>Out of Tolerance</v>
      </c>
      <c r="N624" s="49" t="str">
        <f t="shared" si="51"/>
        <v>Within Tolerance</v>
      </c>
    </row>
    <row r="625" spans="1:14" s="43" customFormat="1" hidden="1" x14ac:dyDescent="0.3">
      <c r="A625" s="215">
        <v>46166</v>
      </c>
      <c r="B625" s="81">
        <v>46166.451388888891</v>
      </c>
      <c r="C625" s="152">
        <f t="shared" si="47"/>
        <v>46166.451388888891</v>
      </c>
      <c r="D625" s="7" t="s">
        <v>25</v>
      </c>
      <c r="E625" s="7" t="s">
        <v>24</v>
      </c>
      <c r="F625" s="116">
        <v>0.59</v>
      </c>
      <c r="G625" s="116">
        <v>0.57999999999999996</v>
      </c>
      <c r="H625" s="116">
        <v>0.61</v>
      </c>
      <c r="I625" s="46">
        <f t="shared" si="48"/>
        <v>-1.0000000000000009E-2</v>
      </c>
      <c r="J625" s="46">
        <f t="shared" si="49"/>
        <v>2.0000000000000018E-2</v>
      </c>
      <c r="K625" s="46">
        <f t="shared" si="50"/>
        <v>3.0000000000000027E-2</v>
      </c>
      <c r="L625" s="49" t="str">
        <f t="shared" si="51"/>
        <v>Within Tolerance</v>
      </c>
      <c r="M625" s="49" t="str">
        <f t="shared" si="51"/>
        <v>Within Tolerance</v>
      </c>
      <c r="N625" s="49" t="str">
        <f t="shared" si="51"/>
        <v>Out of Tolerance</v>
      </c>
    </row>
  </sheetData>
  <conditionalFormatting sqref="I2:K625">
    <cfRule type="cellIs" dxfId="2" priority="1" stopIfTrue="1" operator="notBetween">
      <formula>-0.02</formula>
      <formula>0.02</formula>
    </cfRule>
    <cfRule type="cellIs" dxfId="1" priority="2" stopIfTrue="1" operator="lessThan">
      <formula>0</formula>
    </cfRule>
    <cfRule type="cellIs" dxfId="0" priority="3" stopIfTrue="1" operator="greaterThan">
      <formula>0</formula>
    </cfRule>
  </conditionalFormatting>
  <pageMargins left="0.7" right="0.7" top="0.75" bottom="0.75" header="0.3" footer="0.3"/>
  <pageSetup scale="10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05a6913-d532-46d5-825a-c983de7a8dd2}" enabled="0" method="" siteId="{805a6913-d532-46d5-825a-c983de7a8d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Background</vt:lpstr>
      <vt:lpstr>Moisture Weekly Trend</vt:lpstr>
      <vt:lpstr>Moisture </vt:lpstr>
      <vt:lpstr>Protein</vt:lpstr>
      <vt:lpstr>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LIEW, PooiSine (FFMB)</dc:creator>
  <cp:lastModifiedBy>Nurul Syuhada, MOHD NADZRI (FFMB)</cp:lastModifiedBy>
  <dcterms:created xsi:type="dcterms:W3CDTF">2026-05-25T04:42:08Z</dcterms:created>
  <dcterms:modified xsi:type="dcterms:W3CDTF">2026-09-09T01:08:57Z</dcterms:modified>
</cp:coreProperties>
</file>